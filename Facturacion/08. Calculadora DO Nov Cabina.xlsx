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lauravinazco/Library/CloudStorage/GoogleDrive-lvinazco@voccare.global/.shortcut-targets-by-id/1f8qGrdtEe0ytiov-w0SbBlnmB-L_dKew/Calculadora - Facturacion Voccare 2024/2025/11. Noviembre/"/>
    </mc:Choice>
  </mc:AlternateContent>
  <xr:revisionPtr revIDLastSave="0" documentId="13_ncr:1_{2D2AE0F7-E923-CB43-851B-4B99783D646C}" xr6:coauthVersionLast="47" xr6:coauthVersionMax="47" xr10:uidLastSave="{00000000-0000-0000-0000-000000000000}"/>
  <bookViews>
    <workbookView xWindow="12680" yWindow="500" windowWidth="16120" windowHeight="16120" xr2:uid="{914C0311-B4B4-4DBC-8705-4BA9495AC21C}"/>
  </bookViews>
  <sheets>
    <sheet name="Calculadora Nov" sheetId="20" r:id="rId1"/>
    <sheet name="Calculadora Junio" sheetId="19" state="hidden" r:id="rId2"/>
    <sheet name="Calculadora Mayo" sheetId="18" state="hidden" r:id="rId3"/>
    <sheet name="Calculadora Abril" sheetId="16" state="hidden" r:id="rId4"/>
    <sheet name="Servicios Cabina" sheetId="1" r:id="rId5"/>
    <sheet name="Indicadores" sheetId="2" r:id="rId6"/>
    <sheet name="Historico" sheetId="17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110_00_000_000">#REF!</definedName>
    <definedName name="_19______123Graph_BCHART_5" hidden="1">[1]MEX95IB!#REF!</definedName>
    <definedName name="_2__123Graph_BCHART_5" hidden="1">[2]MEX95IB!#REF!</definedName>
    <definedName name="_38_____123Graph_BCHART_5" hidden="1">[1]MEX95IB!#REF!</definedName>
    <definedName name="_57____123Graph_BCHART_5" hidden="1">[1]MEX95IB!#REF!</definedName>
    <definedName name="_76___123Graph_BCHART_5" hidden="1">[1]MEX95IB!#REF!</definedName>
    <definedName name="_95__123Graph_BCHART_5" hidden="1">[1]MEX95IB!#REF!</definedName>
    <definedName name="_Key1" hidden="1">#REF!</definedName>
    <definedName name="_Order1" hidden="1">255</definedName>
    <definedName name="_Sort" hidden="1">#REF!</definedName>
    <definedName name="aaaa" hidden="1">[2]MEX95IB!#REF!</definedName>
    <definedName name="act">#REF!</definedName>
    <definedName name="activocirculante">#REF!</definedName>
    <definedName name="activodiferido">#REF!</definedName>
    <definedName name="activofijo">#REF!</definedName>
    <definedName name="adadasgf" hidden="1">#REF!</definedName>
    <definedName name="adf">#REF!</definedName>
    <definedName name="adqadadasdasda" hidden="1">[2]MEX95IB!#REF!</definedName>
    <definedName name="Años_préstamo">#REF!</definedName>
    <definedName name="Aº">'[3]Balanza del mes'!#REF!</definedName>
    <definedName name="AS2DocOpenMode" hidden="1">"AS2DocumentEdit"</definedName>
    <definedName name="AS2NamedRange" hidden="1">2</definedName>
    <definedName name="ASD" hidden="1">{#N/A,#N/A,FALSE,"7) SERVS. X ESP.";#N/A,#N/A,FALSE,"8) DESGLOSE SERVS.";#N/A,#N/A,FALSE,"9) 1A. INTERV.";#N/A,#N/A,FALSE,"10-13) RESUMENES";#N/A,#N/A,FALSE,"14) PROVEEDORES";#N/A,#N/A,FALSE,"15) SERVICIO"}</definedName>
    <definedName name="ASDF" hidden="1">{#N/A,#N/A,FALSE,"7) SERVS. X ESP.";#N/A,#N/A,FALSE,"8) DESGLOSE SERVS.";#N/A,#N/A,FALSE,"9) 1A. INTERV.";#N/A,#N/A,FALSE,"10-13) RESUMENES";#N/A,#N/A,FALSE,"14) PROVEEDORES";#N/A,#N/A,FALSE,"15) SERVICIO"}</definedName>
    <definedName name="asdfasd" hidden="1">{#N/A,#N/A,FALSE,"7) SERVS. X ESP.";#N/A,#N/A,FALSE,"8) DESGLOSE SERVS.";#N/A,#N/A,FALSE,"9) 1A. INTERV.";#N/A,#N/A,FALSE,"10-13) RESUMENES";#N/A,#N/A,FALSE,"14) PROVEEDORES";#N/A,#N/A,FALSE,"15) SERVICIO"}</definedName>
    <definedName name="asdfghjk" hidden="1">#REF!</definedName>
    <definedName name="ASSSSSSSSS">#REF!</definedName>
    <definedName name="Balance">#REF!</definedName>
    <definedName name="BALANZA">#REF!</definedName>
    <definedName name="bb">#REF!</definedName>
    <definedName name="BCVB">#REF!</definedName>
    <definedName name="Caja_chica_Administracion">#REF!</definedName>
    <definedName name="CALCULAR">#REF!</definedName>
    <definedName name="capital">#REF!</definedName>
    <definedName name="cbvnbvnbvn" hidden="1">#REF!</definedName>
    <definedName name="CCC">#REF!</definedName>
    <definedName name="Crédito" localSheetId="3">'Calculadora Abril'!#REF!</definedName>
    <definedName name="Crédito" localSheetId="1">'Calculadora Junio'!#REF!</definedName>
    <definedName name="Crédito" localSheetId="2">'Calculadora Mayo'!#REF!</definedName>
    <definedName name="Crédito" localSheetId="0">'Calculadora Nov'!#REF!</definedName>
    <definedName name="Crédito">#REF!</definedName>
    <definedName name="CUEN">#REF!</definedName>
    <definedName name="dadadadads" hidden="1">[4]MEX95IB!#REF!</definedName>
    <definedName name="dasdasdasffff" hidden="1">#REF!</definedName>
    <definedName name="Datos">#REF!</definedName>
    <definedName name="dd" hidden="1">{#N/A,#N/A,FALSE,"7) SERVS. X ESP.";#N/A,#N/A,FALSE,"8) DESGLOSE SERVS.";#N/A,#N/A,FALSE,"9) 1A. INTERV.";#N/A,#N/A,FALSE,"10-13) RESUMENES";#N/A,#N/A,FALSE,"14) PROVEEDORES";#N/A,#N/A,FALSE,"15) SERVICIO"}</definedName>
    <definedName name="Descuento_adicional" localSheetId="3">'Calculadora Abril'!$F$16</definedName>
    <definedName name="Descuento_adicional" localSheetId="1">'Calculadora Junio'!$F$16</definedName>
    <definedName name="Descuento_adicional" localSheetId="2">'Calculadora Mayo'!$F$16</definedName>
    <definedName name="Descuento_adicional" localSheetId="0">'Calculadora Nov'!$F$16</definedName>
    <definedName name="Descuento_adicional">#REF!</definedName>
    <definedName name="Día_de_pago" localSheetId="3">DATE(YEAR([0]!Inicio_prestamo),MONTH([0]!Inicio_prestamo)+Payment_Number,DAY([0]!Inicio_prestamo))</definedName>
    <definedName name="Día_de_pago" localSheetId="1">DATE(YEAR([0]!Inicio_prestamo),MONTH([0]!Inicio_prestamo)+Payment_Number,DAY([0]!Inicio_prestamo))</definedName>
    <definedName name="Día_de_pago" localSheetId="2">DATE(YEAR([0]!Inicio_prestamo),MONTH([0]!Inicio_prestamo)+Payment_Number,DAY([0]!Inicio_prestamo))</definedName>
    <definedName name="Día_de_pago" localSheetId="0">DATE(YEAR([0]!Inicio_prestamo),MONTH([0]!Inicio_prestamo)+Payment_Number,DAY([0]!Inicio_prestamo))</definedName>
    <definedName name="Día_de_pago">DATE(YEAR(Inicio_prestamo),MONTH(Inicio_prestamo)+Payment_Number,DAY(Inicio_prestamo))</definedName>
    <definedName name="E">#REF!</definedName>
    <definedName name="EST">#REF!</definedName>
    <definedName name="EXTRA" hidden="1">{#N/A,#N/A,FALSE,"7) SERVS. X ESP.";#N/A,#N/A,FALSE,"8) DESGLOSE SERVS.";#N/A,#N/A,FALSE,"9) 1A. INTERV.";#N/A,#N/A,FALSE,"10-13) RESUMENES";#N/A,#N/A,FALSE,"14) PROVEEDORES";#N/A,#N/A,FALSE,"15) SERVICIO"}</definedName>
    <definedName name="extra1" hidden="1">{#N/A,#N/A,FALSE,"7) SERVS. X ESP.";#N/A,#N/A,FALSE,"8) DESGLOSE SERVS.";#N/A,#N/A,FALSE,"9) 1A. INTERV.";#N/A,#N/A,FALSE,"10-13) RESUMENES";#N/A,#N/A,FALSE,"14) PROVEEDORES";#N/A,#N/A,FALSE,"15) SERVICIO"}</definedName>
    <definedName name="fci">#REF!</definedName>
    <definedName name="Fecha_de_pago">#REF!</definedName>
    <definedName name="fechas2">[5]Movimientos!$C$11:$C$1011</definedName>
    <definedName name="Fila_de_encabezado">ROW(#REF!)</definedName>
    <definedName name="FSDFSDAFSD" hidden="1">#REF!</definedName>
    <definedName name="g" hidden="1">[6]MEX95IB!#REF!</definedName>
    <definedName name="hhhrthy" hidden="1">{#N/A,#N/A,FALSE,"Aging Summary";#N/A,#N/A,FALSE,"Ratio Analysis";#N/A,#N/A,FALSE,"Test 120 Day Accts";#N/A,#N/A,FALSE,"Tickmarks"}</definedName>
    <definedName name="hkhlkl">#REF!</definedName>
    <definedName name="Importe">'[7]Propuesta 2'!$C1*'[7]Propuesta 2'!$E1-IF('[7]Propuesta 2'!$C1*'[7]Propuesta 2'!$E1&gt;ImporteParaElDescuento,1,0)*'[7]Propuesta 2'!$C1*'[7]Propuesta 2'!$E1*PorcentajeDeDescuento</definedName>
    <definedName name="Importe_del_préstamo">#REF!</definedName>
    <definedName name="ImporteParaElDescuento">'[7]Propuesta 2'!#REF!</definedName>
    <definedName name="Impresión_completa">#REF!</definedName>
    <definedName name="Impuesto" localSheetId="3">'Calculadora Abril'!#REF!</definedName>
    <definedName name="Impuesto" localSheetId="1">'Calculadora Junio'!#REF!</definedName>
    <definedName name="Impuesto" localSheetId="2">'Calculadora Mayo'!#REF!</definedName>
    <definedName name="Impuesto" localSheetId="0">'Calculadora Nov'!#REF!</definedName>
    <definedName name="Impuesto">#REF!</definedName>
    <definedName name="Inicio_prestamo">#REF!</definedName>
    <definedName name="Int">#REF!</definedName>
    <definedName name="Int_acum">#REF!</definedName>
    <definedName name="Interés_total">#REF!</definedName>
    <definedName name="j">#REF!</definedName>
    <definedName name="jdjdjdjdjjd" hidden="1">#REF!</definedName>
    <definedName name="jess">#REF!</definedName>
    <definedName name="jfjdjjdjdjd" hidden="1">[2]MEX95IB!#REF!</definedName>
    <definedName name="jkgh" hidden="1">[1]MEX95IB!#REF!</definedName>
    <definedName name="k" hidden="1">[2]MEX95IB!#REF!</definedName>
    <definedName name="kkkkkk" hidden="1">{#N/A,#N/A,FALSE,"7) SERVS. X ESP.";#N/A,#N/A,FALSE,"8) DESGLOSE SERVS.";#N/A,#N/A,FALSE,"9) 1A. INTERV.";#N/A,#N/A,FALSE,"10-13) RESUMENES";#N/A,#N/A,FALSE,"14) PROVEEDORES";#N/A,#N/A,FALSE,"15) SERVICIO"}</definedName>
    <definedName name="lkkjjjh" hidden="1">#REF!</definedName>
    <definedName name="lTipoMov">[5]Resumenes!$M$8:$M$10</definedName>
    <definedName name="M" hidden="1">{#N/A,#N/A,FALSE,"7) SERVS. X ESP.";#N/A,#N/A,FALSE,"8) DESGLOSE SERVS.";#N/A,#N/A,FALSE,"9) 1A. INTERV.";#N/A,#N/A,FALSE,"10-13) RESUMENES";#N/A,#N/A,FALSE,"14) PROVEEDORES";#N/A,#N/A,FALSE,"15) SERVICIO"}</definedName>
    <definedName name="mmmm" hidden="1">{#N/A,#N/A,FALSE,"7) SERVS. X ESP.";#N/A,#N/A,FALSE,"8) DESGLOSE SERVS.";#N/A,#N/A,FALSE,"9) 1A. INTERV.";#N/A,#N/A,FALSE,"10-13) RESUMENES";#N/A,#N/A,FALSE,"14) PROVEEDORES";#N/A,#N/A,FALSE,"15) SERVICIO"}</definedName>
    <definedName name="mmmmm" hidden="1">{#N/A,#N/A,FALSE,"7) SERVS. X ESP.";#N/A,#N/A,FALSE,"8) DESGLOSE SERVS.";#N/A,#N/A,FALSE,"9) 1A. INTERV.";#N/A,#N/A,FALSE,"10-13) RESUMENES";#N/A,#N/A,FALSE,"14) PROVEEDORES";#N/A,#N/A,FALSE,"15) SERVICIO"}</definedName>
    <definedName name="n" hidden="1">#REF!</definedName>
    <definedName name="nicaragua" hidden="1">{#N/A,#N/A,FALSE,"7) SERVS. X ESP.";#N/A,#N/A,FALSE,"8) DESGLOSE SERVS.";#N/A,#N/A,FALSE,"9) 1A. INTERV.";#N/A,#N/A,FALSE,"10-13) RESUMENES";#N/A,#N/A,FALSE,"14) PROVEEDORES";#N/A,#N/A,FALSE,"15) SERVICIO"}</definedName>
    <definedName name="NNN" hidden="1">{#N/A,#N/A,FALSE,"Aging Summary";#N/A,#N/A,FALSE,"Ratio Analysis";#N/A,#N/A,FALSE,"Test 120 Day Accts";#N/A,#N/A,FALSE,"Tickmarks"}</definedName>
    <definedName name="NNN_1" hidden="1">{#N/A,#N/A,FALSE,"Aging Summary";#N/A,#N/A,FALSE,"Ratio Analysis";#N/A,#N/A,FALSE,"Test 120 Day Accts";#N/A,#N/A,FALSE,"Tickmarks"}</definedName>
    <definedName name="NNNNNNNNNNN" hidden="1">{#N/A,#N/A,FALSE,"7) SERVS. X ESP.";#N/A,#N/A,FALSE,"8) DESGLOSE SERVS.";#N/A,#N/A,FALSE,"9) 1A. INTERV.";#N/A,#N/A,FALSE,"10-13) RESUMENES";#N/A,#N/A,FALSE,"14) PROVEEDORES";#N/A,#N/A,FALSE,"15) SERVICIO"}</definedName>
    <definedName name="Núm_de_pago">#REF!</definedName>
    <definedName name="Núm_pagos_al_año">#REF!</definedName>
    <definedName name="Número_de_pagos">MATCH(0.01,Saldo_final,-1)+1</definedName>
    <definedName name="O" hidden="1">{#N/A,#N/A,FALSE,"7) SERVS. X ESP.";#N/A,#N/A,FALSE,"8) DESGLOSE SERVS.";#N/A,#N/A,FALSE,"9) 1A. INTERV.";#N/A,#N/A,FALSE,"10-13) RESUMENES";#N/A,#N/A,FALSE,"14) PROVEEDORES";#N/A,#N/A,FALSE,"15) SERVICIO"}</definedName>
    <definedName name="otro1" hidden="1">{#N/A,#N/A,FALSE,"Aging Summary";#N/A,#N/A,FALSE,"Ratio Analysis";#N/A,#N/A,FALSE,"Test 120 Day Accts";#N/A,#N/A,FALSE,"Tickmarks"}</definedName>
    <definedName name="otros" hidden="1">{#N/A,#N/A,FALSE,"Aging Summary";#N/A,#N/A,FALSE,"Ratio Analysis";#N/A,#N/A,FALSE,"Test 120 Day Accts";#N/A,#N/A,FALSE,"Tickmarks"}</definedName>
    <definedName name="otros_1" hidden="1">{#N/A,#N/A,FALSE,"Aging Summary";#N/A,#N/A,FALSE,"Ratio Analysis";#N/A,#N/A,FALSE,"Test 120 Day Accts";#N/A,#N/A,FALSE,"Tickmarks"}</definedName>
    <definedName name="Otros1" hidden="1">{#N/A,#N/A,FALSE,"Aging Summary";#N/A,#N/A,FALSE,"Ratio Analysis";#N/A,#N/A,FALSE,"Test 120 Day Accts";#N/A,#N/A,FALSE,"Tickmarks"}</definedName>
    <definedName name="Otros1_1" hidden="1">{#N/A,#N/A,FALSE,"Aging Summary";#N/A,#N/A,FALSE,"Ratio Analysis";#N/A,#N/A,FALSE,"Test 120 Day Accts";#N/A,#N/A,FALSE,"Tickmarks"}</definedName>
    <definedName name="otros1111" hidden="1">{#N/A,#N/A,FALSE,"Aging Summary";#N/A,#N/A,FALSE,"Ratio Analysis";#N/A,#N/A,FALSE,"Test 120 Day Accts";#N/A,#N/A,FALSE,"Tickmarks"}</definedName>
    <definedName name="Otros2" hidden="1">{#N/A,#N/A,FALSE,"Aging Summary";#N/A,#N/A,FALSE,"Ratio Analysis";#N/A,#N/A,FALSE,"Test 120 Day Accts";#N/A,#N/A,FALSE,"Tickmarks"}</definedName>
    <definedName name="Otros2_1" hidden="1">{#N/A,#N/A,FALSE,"Aging Summary";#N/A,#N/A,FALSE,"Ratio Analysis";#N/A,#N/A,FALSE,"Test 120 Day Accts";#N/A,#N/A,FALSE,"Tickmarks"}</definedName>
    <definedName name="otros2a" hidden="1">{#N/A,#N/A,FALSE,"Aging Summary";#N/A,#N/A,FALSE,"Ratio Analysis";#N/A,#N/A,FALSE,"Test 120 Day Accts";#N/A,#N/A,FALSE,"Tickmarks"}</definedName>
    <definedName name="OTROSSSS" hidden="1">{#N/A,#N/A,FALSE,"Aging Summary";#N/A,#N/A,FALSE,"Ratio Analysis";#N/A,#N/A,FALSE,"Test 120 Day Accts";#N/A,#N/A,FALSE,"Tickmarks"}</definedName>
    <definedName name="OTROSSSS_1" hidden="1">{#N/A,#N/A,FALSE,"Aging Summary";#N/A,#N/A,FALSE,"Ratio Analysis";#N/A,#N/A,FALSE,"Test 120 Day Accts";#N/A,#N/A,FALSE,"Tickmarks"}</definedName>
    <definedName name="Pago_adicional">#REF!</definedName>
    <definedName name="Pago_mensual_programado">#REF!</definedName>
    <definedName name="Pago_progr">#REF!</definedName>
    <definedName name="Pago_total">#REF!</definedName>
    <definedName name="Pagos_adicionales_programados">#REF!</definedName>
    <definedName name="pasivocortoplazo">#REF!</definedName>
    <definedName name="pasivodiferido">#REF!</definedName>
    <definedName name="PorcentajeDeDescuento">'[7]Propuesta 2'!#REF!</definedName>
    <definedName name="Prom">#REF!</definedName>
    <definedName name="qadadasd" hidden="1">[6]MEX95IB!#REF!</definedName>
    <definedName name="qeqweqweqweqwe" hidden="1">[6]MEX95IB!#REF!</definedName>
    <definedName name="qwertyuio" hidden="1">#REF!</definedName>
    <definedName name="Restablecer_área_de_impresión">OFFSET(Impresión_completa,0,0,Última_fila)</definedName>
    <definedName name="resultados">#REF!</definedName>
    <definedName name="S">#REF!</definedName>
    <definedName name="Saldo_final">#REF!</definedName>
    <definedName name="Saldo_inicial">#REF!</definedName>
    <definedName name="Saldo_pendiente" localSheetId="3">([0]!subtotal-IF('Calculadora Abril'!Descuento_adicional&gt;0,'Calculadora Abril'!Descuento_adicional*[0]!subtotal,0))+(IF('Calculadora Abril'!Descuento_adicional&gt;0,[0]!subtotal-('Calculadora Abril'!Descuento_adicional*[0]!subtotal),[0]!subtotal)*'Calculadora Abril'!Impuesto)-'Calculadora Abril'!Crédito</definedName>
    <definedName name="Saldo_pendiente" localSheetId="1">([0]!subtotal-IF('Calculadora Junio'!Descuento_adicional&gt;0,'Calculadora Junio'!Descuento_adicional*[0]!subtotal,0))+(IF('Calculadora Junio'!Descuento_adicional&gt;0,[0]!subtotal-('Calculadora Junio'!Descuento_adicional*[0]!subtotal),[0]!subtotal)*'Calculadora Junio'!Impuesto)-'Calculadora Junio'!Crédito</definedName>
    <definedName name="Saldo_pendiente" localSheetId="2">([0]!subtotal-IF('Calculadora Mayo'!Descuento_adicional&gt;0,'Calculadora Mayo'!Descuento_adicional*[0]!subtotal,0))+(IF('Calculadora Mayo'!Descuento_adicional&gt;0,[0]!subtotal-('Calculadora Mayo'!Descuento_adicional*[0]!subtotal),[0]!subtotal)*'Calculadora Mayo'!Impuesto)-'Calculadora Mayo'!Crédito</definedName>
    <definedName name="Saldo_pendiente" localSheetId="0">([0]!subtotal-IF('Calculadora Nov'!Descuento_adicional&gt;0,'Calculadora Nov'!Descuento_adicional*[0]!subtotal,0))+(IF('Calculadora Nov'!Descuento_adicional&gt;0,[0]!subtotal-('Calculadora Nov'!Descuento_adicional*[0]!subtotal),[0]!subtotal)*'Calculadora Nov'!Impuesto)-'Calculadora Nov'!Crédito</definedName>
    <definedName name="Saldo_pendiente">(subtotal-IF(Descuento_adicional&gt;0,Descuento_adicional*subtotal,0))+(IF(Descuento_adicional&gt;0,subtotal-(Descuento_adicional*subtotal),subtotal)*Impuesto)-Crédito</definedName>
    <definedName name="subtotal">[8]!DetallesFactura[[#Totals],[Importe]]</definedName>
    <definedName name="Tasa_de_interés">#REF!</definedName>
    <definedName name="Tasa_de_interés_programada">#REF!</definedName>
    <definedName name="tes" hidden="1">[4]MEX95IB!#REF!</definedName>
    <definedName name="TOTAL">#REF!</definedName>
    <definedName name="TOTAL1">#REF!</definedName>
    <definedName name="TOTAL2">#REF!</definedName>
    <definedName name="TOTAL3">#REF!</definedName>
    <definedName name="TTT">#REF!</definedName>
    <definedName name="uiyutuytyty" hidden="1">#REF!</definedName>
    <definedName name="Última_fila">IF(Valores_especificados,Fila_de_encabezado+Número_de_pagos,Fila_de_encabezado)</definedName>
    <definedName name="Valores_especificados">IF(Importe_del_préstamo*Tasa_de_interés*Años_préstamo*Inicio_prestamo&gt;0,1,0)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IJCJUN." hidden="1">{#N/A,#N/A,FALSE,"7) SERVS. X ESP.";#N/A,#N/A,FALSE,"8) DESGLOSE SERVS.";#N/A,#N/A,FALSE,"9) 1A. INTERV.";#N/A,#N/A,FALSE,"10-13) RESUMENES";#N/A,#N/A,FALSE,"14) PROVEEDORES";#N/A,#N/A,FALSE,"15) SERVICIO"}</definedName>
    <definedName name="wrn.IJCJUN.1" hidden="1">{#N/A,#N/A,FALSE,"7) SERVS. X ESP.";#N/A,#N/A,FALSE,"8) DESGLOSE SERVS.";#N/A,#N/A,FALSE,"9) 1A. INTERV.";#N/A,#N/A,FALSE,"10-13) RESUMENES";#N/A,#N/A,FALSE,"14) PROVEEDORES";#N/A,#N/A,FALSE,"15) SERVICIO"}</definedName>
    <definedName name="XXXXX" hidden="1">{#N/A,#N/A,FALSE,"Aging Summary";#N/A,#N/A,FALSE,"Ratio Analysis";#N/A,#N/A,FALSE,"Test 120 Day Accts";#N/A,#N/A,FALSE,"Tickmarks"}</definedName>
    <definedName name="XXXXX_1" hidden="1">{#N/A,#N/A,FALSE,"Aging Summary";#N/A,#N/A,FALSE,"Ratio Analysis";#N/A,#N/A,FALSE,"Test 120 Day Accts";#N/A,#N/A,FALSE,"Tickmarks"}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20" l="1"/>
  <c r="T8" i="1"/>
  <c r="T6" i="1"/>
  <c r="T9" i="1"/>
  <c r="T10" i="1"/>
  <c r="S8" i="1"/>
  <c r="S6" i="1"/>
  <c r="S9" i="1"/>
  <c r="S10" i="1"/>
  <c r="R8" i="1"/>
  <c r="R6" i="1"/>
  <c r="R9" i="1"/>
  <c r="R10" i="1"/>
  <c r="Q8" i="1"/>
  <c r="Q6" i="1"/>
  <c r="Q9" i="1"/>
  <c r="Q10" i="1"/>
  <c r="T7" i="1" l="1"/>
  <c r="S7" i="1"/>
  <c r="R7" i="1"/>
  <c r="Q7" i="1"/>
  <c r="P8" i="1" l="1"/>
  <c r="P6" i="1"/>
  <c r="P9" i="1"/>
  <c r="P10" i="1"/>
  <c r="G6" i="20"/>
  <c r="P7" i="1" l="1"/>
  <c r="F13" i="19"/>
  <c r="G13" i="19"/>
  <c r="G21" i="18"/>
  <c r="G3" i="17"/>
  <c r="O8" i="1"/>
  <c r="O7" i="1" s="1"/>
  <c r="N8" i="1"/>
  <c r="N6" i="1"/>
  <c r="O6" i="1"/>
  <c r="N9" i="1"/>
  <c r="O9" i="1"/>
  <c r="N10" i="1"/>
  <c r="O10" i="1"/>
  <c r="G6" i="19"/>
  <c r="G13" i="18"/>
  <c r="G15" i="18"/>
  <c r="G6" i="18"/>
  <c r="M9" i="1"/>
  <c r="M10" i="1"/>
  <c r="M6" i="1"/>
  <c r="N7" i="1" l="1"/>
  <c r="L8" i="1"/>
  <c r="L6" i="1"/>
  <c r="L9" i="1"/>
  <c r="L10" i="1"/>
  <c r="C58" i="1"/>
  <c r="C55" i="1"/>
  <c r="C54" i="1"/>
  <c r="C53" i="1"/>
  <c r="C50" i="1"/>
  <c r="C49" i="1"/>
  <c r="C48" i="1"/>
  <c r="C47" i="1"/>
  <c r="C34" i="1"/>
  <c r="L7" i="1" l="1"/>
  <c r="G13" i="16"/>
  <c r="K10" i="1" l="1"/>
  <c r="K9" i="1"/>
  <c r="K6" i="1"/>
  <c r="C46" i="1"/>
  <c r="C45" i="1"/>
  <c r="C44" i="1"/>
  <c r="C43" i="1"/>
  <c r="C42" i="1"/>
  <c r="M8" i="1"/>
  <c r="M7" i="1" s="1"/>
  <c r="K8" i="1"/>
  <c r="K7" i="1" s="1"/>
  <c r="U8" i="1"/>
  <c r="U7" i="1" s="1"/>
  <c r="V8" i="1"/>
  <c r="V7" i="1" s="1"/>
  <c r="AC84" i="2"/>
  <c r="AC83" i="2"/>
  <c r="AC82" i="2"/>
  <c r="AC81" i="2"/>
  <c r="AC80" i="2"/>
  <c r="AC79" i="2"/>
  <c r="AC78" i="2"/>
  <c r="AC77" i="2"/>
  <c r="AD77" i="2" s="1"/>
  <c r="AC76" i="2"/>
  <c r="AD76" i="2" s="1"/>
  <c r="AC75" i="2"/>
  <c r="AD75" i="2" s="1"/>
  <c r="AC74" i="2"/>
  <c r="AD74" i="2" s="1"/>
  <c r="AC73" i="2"/>
  <c r="AD73" i="2" s="1"/>
  <c r="AC72" i="2"/>
  <c r="AD72" i="2" s="1"/>
  <c r="AC71" i="2"/>
  <c r="AD71" i="2" s="1"/>
  <c r="AC70" i="2"/>
  <c r="AD70" i="2" s="1"/>
  <c r="AC69" i="2"/>
  <c r="AD69" i="2" s="1"/>
  <c r="AC68" i="2"/>
  <c r="AD68" i="2" s="1"/>
  <c r="AC67" i="2"/>
  <c r="AD67" i="2" s="1"/>
  <c r="AC66" i="2"/>
  <c r="AD66" i="2" s="1"/>
  <c r="AC65" i="2"/>
  <c r="AD65" i="2" s="1"/>
  <c r="AC64" i="2"/>
  <c r="AD64" i="2" s="1"/>
  <c r="AC63" i="2"/>
  <c r="AD63" i="2" s="1"/>
  <c r="AC62" i="2"/>
  <c r="AD62" i="2" s="1"/>
  <c r="AC61" i="2"/>
  <c r="AD61" i="2" s="1"/>
  <c r="AC60" i="2"/>
  <c r="AD60" i="2" s="1"/>
  <c r="AC59" i="2"/>
  <c r="AD59" i="2" s="1"/>
  <c r="AC58" i="2"/>
  <c r="AD58" i="2" s="1"/>
  <c r="AC57" i="2"/>
  <c r="AD57" i="2" s="1"/>
  <c r="AC56" i="2"/>
  <c r="AD56" i="2" s="1"/>
  <c r="AC55" i="2"/>
  <c r="AD55" i="2" s="1"/>
  <c r="AC54" i="2"/>
  <c r="AD54" i="2" s="1"/>
  <c r="AC53" i="2"/>
  <c r="AD53" i="2" s="1"/>
  <c r="AC52" i="2"/>
  <c r="AD52" i="2" s="1"/>
  <c r="AC51" i="2"/>
  <c r="AD51" i="2" s="1"/>
  <c r="AC50" i="2"/>
  <c r="AD50" i="2" s="1"/>
  <c r="AC49" i="2"/>
  <c r="AD49" i="2" s="1"/>
  <c r="AC48" i="2"/>
  <c r="AD48" i="2" s="1"/>
  <c r="AC47" i="2"/>
  <c r="AD47" i="2" s="1"/>
  <c r="AC46" i="2"/>
  <c r="AD46" i="2" s="1"/>
  <c r="AC45" i="2"/>
  <c r="AD45" i="2" s="1"/>
  <c r="AC44" i="2"/>
  <c r="AD44" i="2" s="1"/>
  <c r="AC43" i="2"/>
  <c r="AD43" i="2" s="1"/>
  <c r="AC42" i="2"/>
  <c r="AD42" i="2" s="1"/>
  <c r="AC41" i="2"/>
  <c r="AD41" i="2" s="1"/>
  <c r="AC40" i="2"/>
  <c r="AD40" i="2" s="1"/>
  <c r="AC39" i="2"/>
  <c r="AD39" i="2" s="1"/>
  <c r="AC38" i="2"/>
  <c r="AD38" i="2" s="1"/>
  <c r="AC37" i="2"/>
  <c r="AD37" i="2" s="1"/>
  <c r="AC36" i="2"/>
  <c r="AD36" i="2" s="1"/>
  <c r="AC35" i="2"/>
  <c r="AD35" i="2" s="1"/>
  <c r="AC34" i="2"/>
  <c r="AD34" i="2" s="1"/>
  <c r="AC33" i="2"/>
  <c r="AD33" i="2" s="1"/>
  <c r="AC32" i="2"/>
  <c r="AD32" i="2" s="1"/>
  <c r="AC31" i="2"/>
  <c r="AD31" i="2" s="1"/>
  <c r="AC30" i="2"/>
  <c r="AD30" i="2" s="1"/>
  <c r="AC29" i="2"/>
  <c r="AD29" i="2" s="1"/>
  <c r="AC28" i="2"/>
  <c r="AD28" i="2" s="1"/>
  <c r="AC27" i="2"/>
  <c r="AD27" i="2" s="1"/>
  <c r="AC26" i="2"/>
  <c r="AD26" i="2" s="1"/>
  <c r="AC25" i="2"/>
  <c r="AD25" i="2" s="1"/>
  <c r="AC24" i="2"/>
  <c r="AD24" i="2" s="1"/>
  <c r="AC23" i="2"/>
  <c r="AD23" i="2" s="1"/>
  <c r="AC22" i="2"/>
  <c r="AD22" i="2" s="1"/>
  <c r="AC21" i="2"/>
  <c r="AD21" i="2" s="1"/>
  <c r="AC20" i="2"/>
  <c r="AD20" i="2" s="1"/>
  <c r="AC19" i="2"/>
  <c r="AD19" i="2" s="1"/>
  <c r="AC18" i="2"/>
  <c r="AD18" i="2" s="1"/>
  <c r="AC17" i="2"/>
  <c r="AD17" i="2" s="1"/>
  <c r="AC16" i="2"/>
  <c r="AD16" i="2" s="1"/>
  <c r="AC15" i="2"/>
  <c r="AD15" i="2" s="1"/>
  <c r="AC14" i="2"/>
  <c r="AD14" i="2" s="1"/>
  <c r="AC13" i="2"/>
  <c r="AD13" i="2" s="1"/>
  <c r="AC12" i="2"/>
  <c r="AD12" i="2" s="1"/>
  <c r="G6" i="16"/>
  <c r="L34" i="1" l="1"/>
  <c r="L62" i="1" s="1"/>
  <c r="K58" i="1" l="1"/>
  <c r="K64" i="1" s="1"/>
  <c r="K15" i="1" l="1"/>
  <c r="K27" i="1"/>
  <c r="K34" i="1" l="1"/>
  <c r="K62" i="1" s="1"/>
  <c r="P34" i="1"/>
  <c r="P62" i="1" s="1"/>
  <c r="O34" i="1"/>
  <c r="O62" i="1" s="1"/>
  <c r="N34" i="1"/>
  <c r="N62" i="1" s="1"/>
  <c r="M34" i="1"/>
  <c r="M62" i="1" s="1"/>
  <c r="Q34" i="1"/>
  <c r="Q62" i="1" s="1"/>
  <c r="K17" i="1"/>
  <c r="S34" i="1" l="1"/>
  <c r="S62" i="1" s="1"/>
  <c r="U34" i="1"/>
  <c r="U62" i="1" s="1"/>
  <c r="V34" i="1"/>
  <c r="V62" i="1" s="1"/>
  <c r="T34" i="1"/>
  <c r="T62" i="1" s="1"/>
  <c r="R34" i="1"/>
  <c r="R62" i="1" s="1"/>
  <c r="K41" i="1" l="1"/>
  <c r="H55" i="1"/>
  <c r="G55" i="1"/>
  <c r="F55" i="1"/>
  <c r="B31" i="1"/>
  <c r="B30" i="1"/>
  <c r="B26" i="1"/>
  <c r="B25" i="1"/>
  <c r="B24" i="1"/>
  <c r="B23" i="1"/>
  <c r="B22" i="1"/>
  <c r="B21" i="1"/>
  <c r="B20" i="1"/>
  <c r="B19" i="1"/>
  <c r="B18" i="1"/>
  <c r="U15" i="1"/>
  <c r="U19" i="1" s="1"/>
  <c r="U43" i="1" s="1"/>
  <c r="Q15" i="1"/>
  <c r="P15" i="1"/>
  <c r="P17" i="1" s="1"/>
  <c r="P41" i="1" s="1"/>
  <c r="M15" i="1"/>
  <c r="L15" i="1"/>
  <c r="L17" i="1" s="1"/>
  <c r="L41" i="1" s="1"/>
  <c r="I15" i="1"/>
  <c r="U27" i="1"/>
  <c r="N27" i="1"/>
  <c r="M27" i="1"/>
  <c r="L27" i="1"/>
  <c r="I9" i="1"/>
  <c r="I27" i="1" s="1"/>
  <c r="V27" i="1"/>
  <c r="T15" i="1"/>
  <c r="P27" i="1"/>
  <c r="J15" i="1"/>
  <c r="I10" i="1"/>
  <c r="I64" i="1" s="1"/>
  <c r="H9" i="1"/>
  <c r="H27" i="1" s="1"/>
  <c r="V31" i="1" l="1"/>
  <c r="V55" i="1" s="1"/>
  <c r="O58" i="1"/>
  <c r="O64" i="1" s="1"/>
  <c r="M58" i="1"/>
  <c r="M64" i="1" s="1"/>
  <c r="P58" i="1"/>
  <c r="P64" i="1" s="1"/>
  <c r="V58" i="1"/>
  <c r="V64" i="1" s="1"/>
  <c r="U58" i="1"/>
  <c r="U64" i="1" s="1"/>
  <c r="L58" i="1"/>
  <c r="L64" i="1" s="1"/>
  <c r="M21" i="1"/>
  <c r="M45" i="1" s="1"/>
  <c r="I23" i="1"/>
  <c r="I47" i="1" s="1"/>
  <c r="L31" i="1"/>
  <c r="L55" i="1" s="1"/>
  <c r="Q18" i="1"/>
  <c r="Q42" i="1" s="1"/>
  <c r="H30" i="1"/>
  <c r="H54" i="1" s="1"/>
  <c r="U31" i="1"/>
  <c r="U55" i="1" s="1"/>
  <c r="M18" i="1"/>
  <c r="M42" i="1" s="1"/>
  <c r="M19" i="1"/>
  <c r="M43" i="1" s="1"/>
  <c r="I18" i="1"/>
  <c r="I42" i="1" s="1"/>
  <c r="U29" i="1"/>
  <c r="U53" i="1" s="1"/>
  <c r="M20" i="1"/>
  <c r="M44" i="1" s="1"/>
  <c r="L30" i="1"/>
  <c r="L54" i="1" s="1"/>
  <c r="M22" i="1"/>
  <c r="M46" i="1" s="1"/>
  <c r="M23" i="1"/>
  <c r="M47" i="1" s="1"/>
  <c r="Q20" i="1"/>
  <c r="Q44" i="1" s="1"/>
  <c r="U20" i="1"/>
  <c r="U44" i="1" s="1"/>
  <c r="U30" i="1"/>
  <c r="U54" i="1" s="1"/>
  <c r="Q17" i="1"/>
  <c r="Q41" i="1" s="1"/>
  <c r="U22" i="1"/>
  <c r="U46" i="1" s="1"/>
  <c r="L29" i="1"/>
  <c r="L53" i="1" s="1"/>
  <c r="L63" i="1" s="1"/>
  <c r="P31" i="1"/>
  <c r="P55" i="1" s="1"/>
  <c r="P30" i="1"/>
  <c r="P54" i="1" s="1"/>
  <c r="P29" i="1"/>
  <c r="P53" i="1" s="1"/>
  <c r="F9" i="1"/>
  <c r="F27" i="1" s="1"/>
  <c r="F15" i="1"/>
  <c r="F10" i="1"/>
  <c r="F64" i="1" s="1"/>
  <c r="K31" i="1"/>
  <c r="K55" i="1" s="1"/>
  <c r="K30" i="1"/>
  <c r="K54" i="1" s="1"/>
  <c r="K29" i="1"/>
  <c r="T24" i="1"/>
  <c r="T48" i="1" s="1"/>
  <c r="T21" i="1"/>
  <c r="T45" i="1" s="1"/>
  <c r="T18" i="1"/>
  <c r="T42" i="1" s="1"/>
  <c r="T20" i="1"/>
  <c r="T44" i="1" s="1"/>
  <c r="T17" i="1"/>
  <c r="T41" i="1" s="1"/>
  <c r="T26" i="1"/>
  <c r="T50" i="1" s="1"/>
  <c r="T23" i="1"/>
  <c r="T47" i="1" s="1"/>
  <c r="T25" i="1"/>
  <c r="T49" i="1" s="1"/>
  <c r="T19" i="1"/>
  <c r="T43" i="1" s="1"/>
  <c r="T22" i="1"/>
  <c r="T46" i="1" s="1"/>
  <c r="I30" i="1"/>
  <c r="I54" i="1" s="1"/>
  <c r="I29" i="1"/>
  <c r="I31" i="1"/>
  <c r="I55" i="1" s="1"/>
  <c r="J24" i="1"/>
  <c r="J48" i="1" s="1"/>
  <c r="M24" i="1"/>
  <c r="M48" i="1" s="1"/>
  <c r="K24" i="1"/>
  <c r="K48" i="1" s="1"/>
  <c r="I24" i="1"/>
  <c r="I48" i="1" s="1"/>
  <c r="M30" i="1"/>
  <c r="M54" i="1" s="1"/>
  <c r="M29" i="1"/>
  <c r="M53" i="1" s="1"/>
  <c r="M31" i="1"/>
  <c r="M55" i="1" s="1"/>
  <c r="P20" i="1"/>
  <c r="P44" i="1" s="1"/>
  <c r="P25" i="1"/>
  <c r="P49" i="1" s="1"/>
  <c r="P22" i="1"/>
  <c r="P46" i="1" s="1"/>
  <c r="P19" i="1"/>
  <c r="P43" i="1" s="1"/>
  <c r="P24" i="1"/>
  <c r="P48" i="1" s="1"/>
  <c r="P18" i="1"/>
  <c r="P42" i="1" s="1"/>
  <c r="P23" i="1"/>
  <c r="P47" i="1" s="1"/>
  <c r="P26" i="1"/>
  <c r="P50" i="1" s="1"/>
  <c r="I25" i="1"/>
  <c r="I49" i="1" s="1"/>
  <c r="L25" i="1"/>
  <c r="L49" i="1" s="1"/>
  <c r="N30" i="1"/>
  <c r="N54" i="1" s="1"/>
  <c r="N29" i="1"/>
  <c r="N53" i="1" s="1"/>
  <c r="N31" i="1"/>
  <c r="N55" i="1" s="1"/>
  <c r="Q25" i="1"/>
  <c r="Q49" i="1" s="1"/>
  <c r="Q21" i="1"/>
  <c r="Q45" i="1" s="1"/>
  <c r="Q23" i="1"/>
  <c r="Q47" i="1" s="1"/>
  <c r="Q22" i="1"/>
  <c r="Q46" i="1" s="1"/>
  <c r="Q24" i="1"/>
  <c r="Q48" i="1" s="1"/>
  <c r="Q26" i="1"/>
  <c r="Q50" i="1" s="1"/>
  <c r="P21" i="1"/>
  <c r="P45" i="1" s="1"/>
  <c r="Q19" i="1"/>
  <c r="Q43" i="1" s="1"/>
  <c r="I26" i="1"/>
  <c r="I50" i="1" s="1"/>
  <c r="M26" i="1"/>
  <c r="M50" i="1" s="1"/>
  <c r="E9" i="1"/>
  <c r="E27" i="1" s="1"/>
  <c r="E15" i="1"/>
  <c r="E10" i="1"/>
  <c r="E64" i="1" s="1"/>
  <c r="Q27" i="1"/>
  <c r="R15" i="1"/>
  <c r="R27" i="1"/>
  <c r="G15" i="1"/>
  <c r="G9" i="1"/>
  <c r="G27" i="1" s="1"/>
  <c r="U21" i="1"/>
  <c r="U45" i="1" s="1"/>
  <c r="U17" i="1"/>
  <c r="U41" i="1" s="1"/>
  <c r="U24" i="1"/>
  <c r="U48" i="1" s="1"/>
  <c r="U18" i="1"/>
  <c r="U42" i="1" s="1"/>
  <c r="U26" i="1"/>
  <c r="U50" i="1" s="1"/>
  <c r="U23" i="1"/>
  <c r="U47" i="1" s="1"/>
  <c r="J26" i="1"/>
  <c r="J50" i="1" s="1"/>
  <c r="J22" i="1"/>
  <c r="J46" i="1" s="1"/>
  <c r="J20" i="1"/>
  <c r="J44" i="1" s="1"/>
  <c r="J23" i="1"/>
  <c r="J47" i="1" s="1"/>
  <c r="J17" i="1"/>
  <c r="J41" i="1" s="1"/>
  <c r="J25" i="1"/>
  <c r="J49" i="1" s="1"/>
  <c r="V29" i="1"/>
  <c r="V53" i="1" s="1"/>
  <c r="V30" i="1"/>
  <c r="V54" i="1" s="1"/>
  <c r="V15" i="1"/>
  <c r="L23" i="1"/>
  <c r="L47" i="1" s="1"/>
  <c r="S15" i="1"/>
  <c r="S27" i="1"/>
  <c r="T27" i="1"/>
  <c r="G10" i="1"/>
  <c r="G64" i="1" s="1"/>
  <c r="H15" i="1"/>
  <c r="J9" i="1"/>
  <c r="J27" i="1" s="1"/>
  <c r="H10" i="1"/>
  <c r="H64" i="1" s="1"/>
  <c r="I21" i="1"/>
  <c r="I45" i="1" s="1"/>
  <c r="I17" i="1"/>
  <c r="I41" i="1" s="1"/>
  <c r="I20" i="1"/>
  <c r="I44" i="1" s="1"/>
  <c r="I22" i="1"/>
  <c r="I46" i="1" s="1"/>
  <c r="J18" i="1"/>
  <c r="J42" i="1" s="1"/>
  <c r="I19" i="1"/>
  <c r="I43" i="1" s="1"/>
  <c r="J21" i="1"/>
  <c r="J45" i="1" s="1"/>
  <c r="L22" i="1"/>
  <c r="L46" i="1" s="1"/>
  <c r="H29" i="1"/>
  <c r="N15" i="1"/>
  <c r="J10" i="1"/>
  <c r="J64" i="1" s="1"/>
  <c r="K19" i="1"/>
  <c r="K43" i="1" s="1"/>
  <c r="K23" i="1"/>
  <c r="K47" i="1" s="1"/>
  <c r="K26" i="1"/>
  <c r="K50" i="1" s="1"/>
  <c r="K25" i="1"/>
  <c r="K49" i="1" s="1"/>
  <c r="K22" i="1"/>
  <c r="K46" i="1" s="1"/>
  <c r="K18" i="1"/>
  <c r="K42" i="1" s="1"/>
  <c r="J19" i="1"/>
  <c r="J43" i="1" s="1"/>
  <c r="K20" i="1"/>
  <c r="K44" i="1" s="1"/>
  <c r="K21" i="1"/>
  <c r="K45" i="1" s="1"/>
  <c r="U25" i="1"/>
  <c r="U49" i="1" s="1"/>
  <c r="O15" i="1"/>
  <c r="O27" i="1"/>
  <c r="L24" i="1"/>
  <c r="L48" i="1" s="1"/>
  <c r="L20" i="1"/>
  <c r="L44" i="1" s="1"/>
  <c r="L26" i="1"/>
  <c r="L50" i="1" s="1"/>
  <c r="L19" i="1"/>
  <c r="L43" i="1" s="1"/>
  <c r="L18" i="1"/>
  <c r="L42" i="1" s="1"/>
  <c r="L21" i="1"/>
  <c r="L45" i="1" s="1"/>
  <c r="M17" i="1"/>
  <c r="M41" i="1" s="1"/>
  <c r="M25" i="1"/>
  <c r="M49" i="1" s="1"/>
  <c r="P63" i="1" l="1"/>
  <c r="U37" i="1"/>
  <c r="U38" i="1" s="1"/>
  <c r="U61" i="1" s="1"/>
  <c r="K37" i="1"/>
  <c r="L37" i="1"/>
  <c r="L38" i="1" s="1"/>
  <c r="L61" i="1" s="1"/>
  <c r="L65" i="1" s="1"/>
  <c r="V63" i="1"/>
  <c r="U63" i="1"/>
  <c r="T37" i="1"/>
  <c r="T38" i="1" s="1"/>
  <c r="T61" i="1" s="1"/>
  <c r="Q37" i="1"/>
  <c r="Q38" i="1" s="1"/>
  <c r="Q61" i="1" s="1"/>
  <c r="P37" i="1"/>
  <c r="P38" i="1" s="1"/>
  <c r="P61" i="1" s="1"/>
  <c r="P65" i="1" s="1"/>
  <c r="N63" i="1"/>
  <c r="M63" i="1"/>
  <c r="M37" i="1"/>
  <c r="M38" i="1" s="1"/>
  <c r="M61" i="1" s="1"/>
  <c r="T58" i="1"/>
  <c r="T64" i="1" s="1"/>
  <c r="N58" i="1"/>
  <c r="N64" i="1" s="1"/>
  <c r="S58" i="1"/>
  <c r="S64" i="1" s="1"/>
  <c r="R58" i="1"/>
  <c r="R64" i="1" s="1"/>
  <c r="Q58" i="1"/>
  <c r="Q64" i="1" s="1"/>
  <c r="H34" i="1"/>
  <c r="H38" i="1"/>
  <c r="I34" i="1"/>
  <c r="I38" i="1"/>
  <c r="H53" i="1"/>
  <c r="H63" i="1" s="1"/>
  <c r="H58" i="1"/>
  <c r="I53" i="1"/>
  <c r="I63" i="1" s="1"/>
  <c r="I58" i="1"/>
  <c r="K53" i="1"/>
  <c r="K63" i="1" s="1"/>
  <c r="V26" i="1"/>
  <c r="V50" i="1" s="1"/>
  <c r="V22" i="1"/>
  <c r="V46" i="1" s="1"/>
  <c r="V25" i="1"/>
  <c r="V49" i="1" s="1"/>
  <c r="V24" i="1"/>
  <c r="V48" i="1" s="1"/>
  <c r="V20" i="1"/>
  <c r="V44" i="1" s="1"/>
  <c r="V19" i="1"/>
  <c r="V43" i="1" s="1"/>
  <c r="V17" i="1"/>
  <c r="V41" i="1" s="1"/>
  <c r="V18" i="1"/>
  <c r="V42" i="1" s="1"/>
  <c r="V21" i="1"/>
  <c r="V45" i="1" s="1"/>
  <c r="V23" i="1"/>
  <c r="V47" i="1" s="1"/>
  <c r="E29" i="1"/>
  <c r="E31" i="1"/>
  <c r="E55" i="1" s="1"/>
  <c r="E30" i="1"/>
  <c r="E54" i="1" s="1"/>
  <c r="O23" i="1"/>
  <c r="O47" i="1" s="1"/>
  <c r="O25" i="1"/>
  <c r="O49" i="1" s="1"/>
  <c r="O22" i="1"/>
  <c r="O46" i="1" s="1"/>
  <c r="O19" i="1"/>
  <c r="O43" i="1" s="1"/>
  <c r="O21" i="1"/>
  <c r="O45" i="1" s="1"/>
  <c r="O24" i="1"/>
  <c r="O48" i="1" s="1"/>
  <c r="O26" i="1"/>
  <c r="O50" i="1" s="1"/>
  <c r="O18" i="1"/>
  <c r="O42" i="1" s="1"/>
  <c r="O20" i="1"/>
  <c r="O44" i="1" s="1"/>
  <c r="O17" i="1"/>
  <c r="O41" i="1" s="1"/>
  <c r="Q29" i="1"/>
  <c r="Q53" i="1" s="1"/>
  <c r="Q31" i="1"/>
  <c r="Q55" i="1" s="1"/>
  <c r="Q30" i="1"/>
  <c r="Q54" i="1" s="1"/>
  <c r="S23" i="1"/>
  <c r="S47" i="1" s="1"/>
  <c r="S19" i="1"/>
  <c r="S43" i="1" s="1"/>
  <c r="S24" i="1"/>
  <c r="S48" i="1" s="1"/>
  <c r="S21" i="1"/>
  <c r="S45" i="1" s="1"/>
  <c r="S20" i="1"/>
  <c r="S44" i="1" s="1"/>
  <c r="S26" i="1"/>
  <c r="S50" i="1" s="1"/>
  <c r="S25" i="1"/>
  <c r="S49" i="1" s="1"/>
  <c r="S18" i="1"/>
  <c r="S42" i="1" s="1"/>
  <c r="S17" i="1"/>
  <c r="S41" i="1" s="1"/>
  <c r="S22" i="1"/>
  <c r="S46" i="1" s="1"/>
  <c r="E25" i="1"/>
  <c r="E49" i="1" s="1"/>
  <c r="E21" i="1"/>
  <c r="E45" i="1" s="1"/>
  <c r="E24" i="1"/>
  <c r="E48" i="1" s="1"/>
  <c r="E18" i="1"/>
  <c r="E42" i="1" s="1"/>
  <c r="E26" i="1"/>
  <c r="E50" i="1" s="1"/>
  <c r="E23" i="1"/>
  <c r="E47" i="1" s="1"/>
  <c r="E20" i="1"/>
  <c r="E44" i="1" s="1"/>
  <c r="E17" i="1"/>
  <c r="E41" i="1" s="1"/>
  <c r="E19" i="1"/>
  <c r="E43" i="1" s="1"/>
  <c r="E22" i="1"/>
  <c r="E46" i="1" s="1"/>
  <c r="O30" i="1"/>
  <c r="O54" i="1" s="1"/>
  <c r="O31" i="1"/>
  <c r="O55" i="1" s="1"/>
  <c r="O29" i="1"/>
  <c r="O53" i="1" s="1"/>
  <c r="J29" i="1"/>
  <c r="J31" i="1"/>
  <c r="J55" i="1" s="1"/>
  <c r="J30" i="1"/>
  <c r="J54" i="1" s="1"/>
  <c r="G30" i="1"/>
  <c r="G54" i="1" s="1"/>
  <c r="G29" i="1"/>
  <c r="F18" i="1"/>
  <c r="F42" i="1" s="1"/>
  <c r="F26" i="1"/>
  <c r="F50" i="1" s="1"/>
  <c r="F24" i="1"/>
  <c r="F48" i="1" s="1"/>
  <c r="F21" i="1"/>
  <c r="F45" i="1" s="1"/>
  <c r="F23" i="1"/>
  <c r="F47" i="1" s="1"/>
  <c r="F20" i="1"/>
  <c r="F44" i="1" s="1"/>
  <c r="F17" i="1"/>
  <c r="F41" i="1" s="1"/>
  <c r="F19" i="1"/>
  <c r="F43" i="1" s="1"/>
  <c r="F22" i="1"/>
  <c r="F46" i="1" s="1"/>
  <c r="F25" i="1"/>
  <c r="F49" i="1" s="1"/>
  <c r="N22" i="1"/>
  <c r="N46" i="1" s="1"/>
  <c r="N18" i="1"/>
  <c r="N42" i="1" s="1"/>
  <c r="N21" i="1"/>
  <c r="N45" i="1" s="1"/>
  <c r="N17" i="1"/>
  <c r="N41" i="1" s="1"/>
  <c r="N23" i="1"/>
  <c r="N47" i="1" s="1"/>
  <c r="N24" i="1"/>
  <c r="N48" i="1" s="1"/>
  <c r="N26" i="1"/>
  <c r="N50" i="1" s="1"/>
  <c r="N25" i="1"/>
  <c r="N49" i="1" s="1"/>
  <c r="N19" i="1"/>
  <c r="N43" i="1" s="1"/>
  <c r="N20" i="1"/>
  <c r="N44" i="1" s="1"/>
  <c r="H24" i="1"/>
  <c r="H48" i="1" s="1"/>
  <c r="H20" i="1"/>
  <c r="H44" i="1" s="1"/>
  <c r="H17" i="1"/>
  <c r="H41" i="1" s="1"/>
  <c r="H22" i="1"/>
  <c r="H46" i="1" s="1"/>
  <c r="H21" i="1"/>
  <c r="H45" i="1" s="1"/>
  <c r="H19" i="1"/>
  <c r="H43" i="1" s="1"/>
  <c r="H23" i="1"/>
  <c r="H47" i="1" s="1"/>
  <c r="H18" i="1"/>
  <c r="H42" i="1" s="1"/>
  <c r="H25" i="1"/>
  <c r="H49" i="1" s="1"/>
  <c r="H26" i="1"/>
  <c r="H50" i="1" s="1"/>
  <c r="G23" i="1"/>
  <c r="G47" i="1" s="1"/>
  <c r="G19" i="1"/>
  <c r="G43" i="1" s="1"/>
  <c r="G18" i="1"/>
  <c r="G42" i="1" s="1"/>
  <c r="G26" i="1"/>
  <c r="G50" i="1" s="1"/>
  <c r="G20" i="1"/>
  <c r="G44" i="1" s="1"/>
  <c r="G17" i="1"/>
  <c r="G41" i="1" s="1"/>
  <c r="G25" i="1"/>
  <c r="G49" i="1" s="1"/>
  <c r="G22" i="1"/>
  <c r="G46" i="1" s="1"/>
  <c r="G21" i="1"/>
  <c r="G45" i="1" s="1"/>
  <c r="G24" i="1"/>
  <c r="G48" i="1" s="1"/>
  <c r="F29" i="1"/>
  <c r="F30" i="1"/>
  <c r="F54" i="1" s="1"/>
  <c r="S31" i="1"/>
  <c r="S55" i="1" s="1"/>
  <c r="S29" i="1"/>
  <c r="S53" i="1" s="1"/>
  <c r="S30" i="1"/>
  <c r="S54" i="1" s="1"/>
  <c r="R29" i="1"/>
  <c r="R53" i="1" s="1"/>
  <c r="R30" i="1"/>
  <c r="R54" i="1" s="1"/>
  <c r="R31" i="1"/>
  <c r="R55" i="1" s="1"/>
  <c r="T31" i="1"/>
  <c r="T55" i="1" s="1"/>
  <c r="T30" i="1"/>
  <c r="T54" i="1" s="1"/>
  <c r="T29" i="1"/>
  <c r="T53" i="1" s="1"/>
  <c r="T63" i="1" s="1"/>
  <c r="R18" i="1"/>
  <c r="R42" i="1" s="1"/>
  <c r="R26" i="1"/>
  <c r="R50" i="1" s="1"/>
  <c r="R24" i="1"/>
  <c r="R48" i="1" s="1"/>
  <c r="R20" i="1"/>
  <c r="R44" i="1" s="1"/>
  <c r="R17" i="1"/>
  <c r="R41" i="1" s="1"/>
  <c r="R25" i="1"/>
  <c r="R49" i="1" s="1"/>
  <c r="R19" i="1"/>
  <c r="R43" i="1" s="1"/>
  <c r="R21" i="1"/>
  <c r="R45" i="1" s="1"/>
  <c r="R23" i="1"/>
  <c r="R47" i="1" s="1"/>
  <c r="R22" i="1"/>
  <c r="R46" i="1" s="1"/>
  <c r="O63" i="1" l="1"/>
  <c r="V37" i="1"/>
  <c r="V38" i="1" s="1"/>
  <c r="V61" i="1" s="1"/>
  <c r="K38" i="1"/>
  <c r="K61" i="1" s="1"/>
  <c r="K65" i="1" s="1"/>
  <c r="S37" i="1"/>
  <c r="S38" i="1" s="1"/>
  <c r="S61" i="1" s="1"/>
  <c r="S63" i="1"/>
  <c r="R63" i="1"/>
  <c r="R37" i="1"/>
  <c r="R38" i="1" s="1"/>
  <c r="R61" i="1" s="1"/>
  <c r="Q63" i="1"/>
  <c r="Q65" i="1" s="1"/>
  <c r="O37" i="1"/>
  <c r="O38" i="1" s="1"/>
  <c r="O61" i="1" s="1"/>
  <c r="N37" i="1"/>
  <c r="N38" i="1" s="1"/>
  <c r="N61" i="1" s="1"/>
  <c r="J34" i="1"/>
  <c r="J38" i="1"/>
  <c r="F34" i="1"/>
  <c r="F38" i="1"/>
  <c r="E34" i="1"/>
  <c r="E38" i="1"/>
  <c r="G34" i="1"/>
  <c r="G38" i="1"/>
  <c r="J53" i="1"/>
  <c r="J63" i="1" s="1"/>
  <c r="J58" i="1"/>
  <c r="E53" i="1"/>
  <c r="E63" i="1" s="1"/>
  <c r="E58" i="1"/>
  <c r="F53" i="1"/>
  <c r="F63" i="1" s="1"/>
  <c r="F58" i="1"/>
  <c r="G53" i="1"/>
  <c r="G63" i="1" s="1"/>
  <c r="G58" i="1"/>
  <c r="I65" i="1"/>
  <c r="U65" i="1"/>
  <c r="M65" i="1"/>
  <c r="F12" i="16" s="1"/>
  <c r="G12" i="16" s="1"/>
  <c r="H13" i="16" l="1"/>
  <c r="H14" i="16" s="1"/>
  <c r="R65" i="1"/>
  <c r="G12" i="20" s="1"/>
  <c r="T65" i="1"/>
  <c r="J65" i="1"/>
  <c r="V65" i="1"/>
  <c r="E65" i="1"/>
  <c r="O65" i="1"/>
  <c r="H65" i="1"/>
  <c r="S65" i="1"/>
  <c r="N65" i="1"/>
  <c r="F12" i="18" s="1"/>
  <c r="H13" i="18" s="1"/>
  <c r="H14" i="18" s="1"/>
  <c r="G65" i="1"/>
  <c r="F65" i="1"/>
  <c r="F12" i="19" l="1"/>
  <c r="G15" i="16"/>
  <c r="H13" i="20" l="1"/>
  <c r="G15" i="20"/>
  <c r="H13" i="19"/>
  <c r="G12" i="19"/>
  <c r="H3" i="17" l="1"/>
  <c r="G15" i="19"/>
  <c r="H14" i="19"/>
  <c r="H14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 Lopez</author>
    <author>PABLO RUIZ</author>
  </authors>
  <commentList>
    <comment ref="D7" authorId="0" shapeId="0" xr:uid="{21EB7FB8-8EEC-4D04-B52E-00752E6FDEF1}">
      <text>
        <r>
          <rPr>
            <b/>
            <sz val="9"/>
            <color indexed="81"/>
            <rFont val="Tahoma"/>
            <family val="2"/>
          </rPr>
          <t>Andrea Lopez: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9" authorId="1" shapeId="0" xr:uid="{C0630851-0477-440A-8595-84A09101C486}">
      <text>
        <r>
          <rPr>
            <b/>
            <sz val="9"/>
            <color rgb="FF000000"/>
            <rFont val="Tahoma"/>
            <family val="2"/>
          </rPr>
          <t>Cuantas llamadas por servicio concluido. Este es una estimación pero debe ser calculada por cada filial.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D10" authorId="1" shapeId="0" xr:uid="{79A7E604-4427-4B6F-9FBE-AEA21351194B}">
      <text>
        <r>
          <rPr>
            <b/>
            <sz val="9"/>
            <color indexed="81"/>
            <rFont val="Tahoma"/>
            <family val="2"/>
          </rPr>
          <t>Que porcentaje de los servicios concluidos representan los Cancelados posterior.
Cuantas llamadas por servicio concluido. Este es una estimación pero debe ser calculada por cada filial.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ASelzer</author>
    <author>Alexdander</author>
  </authors>
  <commentList>
    <comment ref="B17" authorId="0" shapeId="0" xr:uid="{CBEBDC88-B43D-495F-8847-20A937A2710D}">
      <text>
        <r>
          <rPr>
            <b/>
            <sz val="9"/>
            <color rgb="FF000000"/>
            <rFont val="Tahoma"/>
            <family val="2"/>
          </rPr>
          <t>CON PROVEEDOR CONCLUIDO</t>
        </r>
      </text>
    </comment>
    <comment ref="B22" authorId="1" shapeId="0" xr:uid="{B8E4D929-4DB5-4B8D-9C58-C6B6D9F5D56D}">
      <text>
        <r>
          <rPr>
            <b/>
            <sz val="9"/>
            <color indexed="81"/>
            <rFont val="Tahoma"/>
            <family val="2"/>
          </rPr>
          <t>Servicios x facturar concluidos</t>
        </r>
      </text>
    </comment>
    <comment ref="B23" authorId="1" shapeId="0" xr:uid="{0812232A-CCCF-4C12-9C38-78524175B504}">
      <text>
        <r>
          <rPr>
            <b/>
            <sz val="9"/>
            <color indexed="81"/>
            <rFont val="Tahoma"/>
            <family val="2"/>
          </rPr>
          <t xml:space="preserve">Concluidos
</t>
        </r>
      </text>
    </comment>
    <comment ref="B37" authorId="1" shapeId="0" xr:uid="{0134AF83-FA20-4609-8DF5-98C5C636EF43}">
      <text>
        <r>
          <rPr>
            <b/>
            <sz val="9"/>
            <color indexed="81"/>
            <rFont val="Tahoma"/>
            <family val="2"/>
          </rPr>
          <t>C + CP, incluye materiales de internos</t>
        </r>
      </text>
    </comment>
  </commentList>
</comments>
</file>

<file path=xl/sharedStrings.xml><?xml version="1.0" encoding="utf-8"?>
<sst xmlns="http://schemas.openxmlformats.org/spreadsheetml/2006/main" count="184" uniqueCount="133">
  <si>
    <t>SERVICIOS DE CABINA</t>
  </si>
  <si>
    <t>Tipo de cobro</t>
  </si>
  <si>
    <t>Servicios Concluidos</t>
  </si>
  <si>
    <t>Total de llamadas Validas</t>
  </si>
  <si>
    <t>Servicios Cancelados Posterior</t>
  </si>
  <si>
    <t>CANTIDADES</t>
  </si>
  <si>
    <t>Rangos Servicios concluidos</t>
  </si>
  <si>
    <t>Servicios concluidos</t>
  </si>
  <si>
    <t>Rangos Llamadas</t>
  </si>
  <si>
    <t>Llamadas</t>
  </si>
  <si>
    <t>VALORES EN USD</t>
  </si>
  <si>
    <t>Precios Servicios Concluidos</t>
  </si>
  <si>
    <t>Precios Llamadas</t>
  </si>
  <si>
    <t>Total usd</t>
  </si>
  <si>
    <t>Servicios Global</t>
  </si>
  <si>
    <t>Servicios Ekus</t>
  </si>
  <si>
    <t>Precio Unitario por Servicios Concluidos</t>
  </si>
  <si>
    <t>Filial</t>
  </si>
  <si>
    <t>REPUBLICA DOMINICANA</t>
  </si>
  <si>
    <t>TIPO DE CAMBIO USD $</t>
  </si>
  <si>
    <t>MES</t>
  </si>
  <si>
    <t>Acumulados</t>
  </si>
  <si>
    <t>Promedio</t>
  </si>
  <si>
    <t>MODULO CARTERA EN RIESGO</t>
  </si>
  <si>
    <t>Cartera en Riesgo</t>
  </si>
  <si>
    <t>Ingresos del Mes Técnico</t>
  </si>
  <si>
    <t>Ingreso / Afiliado</t>
  </si>
  <si>
    <t>COMPORTAMIENTO DE SERVICIOS</t>
  </si>
  <si>
    <t>Total de Asistencia Solicitadas</t>
  </si>
  <si>
    <t>Total Servicios Concluidos (C)</t>
  </si>
  <si>
    <t xml:space="preserve">% Servicios Concluidos </t>
  </si>
  <si>
    <t>Servicios (C) con Costo</t>
  </si>
  <si>
    <t xml:space="preserve">    Servicios (C) Locales</t>
  </si>
  <si>
    <t xml:space="preserve">    Servicios (C) Foraneos</t>
  </si>
  <si>
    <t>Servicios (C) Adicionales</t>
  </si>
  <si>
    <t>Servicios (C) en Conexión</t>
  </si>
  <si>
    <t>Servicios (C) por el CAT - Referencias</t>
  </si>
  <si>
    <t>Servicios (C) por Internos</t>
  </si>
  <si>
    <t>Servicios (C) por Externos</t>
  </si>
  <si>
    <t>Servicios Cancelado Posterior (CP)</t>
  </si>
  <si>
    <t>% Servicios Cancelado Posterior</t>
  </si>
  <si>
    <t>Servicios Cancelado al Momento (CM)</t>
  </si>
  <si>
    <t>% Servicios Cancelado al Momento</t>
  </si>
  <si>
    <t>COMPORTAMIENTO DE SINIESTRALIDAD</t>
  </si>
  <si>
    <t>Costo Siniestralidad Serv. (C) - Locales</t>
  </si>
  <si>
    <t>Costo Siniestralidad Serv. (C) - Foraneos</t>
  </si>
  <si>
    <t>Costo Siniestralidad Internos</t>
  </si>
  <si>
    <t>Costo Siniestralidad Externos</t>
  </si>
  <si>
    <t>Costo Siniestralidad Serv. (CP)</t>
  </si>
  <si>
    <t>Costo Siniestralidad Total</t>
  </si>
  <si>
    <t>LLAMADAS TOTALES</t>
  </si>
  <si>
    <t>Frecuencia Natural Llamadas Inbound, %</t>
  </si>
  <si>
    <t>Llamadas al CAT, %</t>
  </si>
  <si>
    <t>LLAMADAS PROVEEDORES</t>
  </si>
  <si>
    <t>Total de llamadas validas Proveedores</t>
  </si>
  <si>
    <t>Llamadas atendidas Proveedores</t>
  </si>
  <si>
    <t>Tiempo promedio conversación Proveedores</t>
  </si>
  <si>
    <t>Llamadas atendidas &lt; 15 seg. Proveedores</t>
  </si>
  <si>
    <t>2761</t>
  </si>
  <si>
    <t>Abandonos mayores a 5 seg. Proveedores</t>
  </si>
  <si>
    <t>174</t>
  </si>
  <si>
    <t>% Indice de abandono Proveedores</t>
  </si>
  <si>
    <t>6%</t>
  </si>
  <si>
    <t>Nivel de servicio &lt; 15 seg. Proveedores</t>
  </si>
  <si>
    <t>84%</t>
  </si>
  <si>
    <t>LLAMADAS CABINA DE EMERGENCIA CLIENTE</t>
  </si>
  <si>
    <t>Total de llamadas validas Clientes CAT</t>
  </si>
  <si>
    <t>7808</t>
  </si>
  <si>
    <t>Llamadas atendidas Clientes CAT</t>
  </si>
  <si>
    <t>Tiempo promedio conversación Clientes CAT</t>
  </si>
  <si>
    <t>Llamadas atendidas &lt; 15 seg. Cliente CAT</t>
  </si>
  <si>
    <t>5862</t>
  </si>
  <si>
    <t>Abandonos mayores a 5 seg. Clientes CAT</t>
  </si>
  <si>
    <t>499</t>
  </si>
  <si>
    <t>% Indice de abandono Clientes CAT</t>
  </si>
  <si>
    <t>Nivel de servicio &lt; 15 seg. Clientes CAT</t>
  </si>
  <si>
    <t>70%</t>
  </si>
  <si>
    <t>PRODUCTIVIDAD COORDINADORES CAT</t>
  </si>
  <si>
    <t>Dotacion de coordinadores efectivos</t>
  </si>
  <si>
    <t>Servicios solicitados X coordinador</t>
  </si>
  <si>
    <t>Servicios concluidos X coordinador</t>
  </si>
  <si>
    <t>Llamadas atendidas X coordinador</t>
  </si>
  <si>
    <t>ATENCION DE LLAMADAS SAC</t>
  </si>
  <si>
    <t>Total de llamadas validas SAC</t>
  </si>
  <si>
    <t>Llamadas atendidas SAC</t>
  </si>
  <si>
    <t>Tiempo promedio conversación SAC</t>
  </si>
  <si>
    <t>Llamadas atendidas &lt; 15 seg. SAC</t>
  </si>
  <si>
    <t>Abandonos mayores a 5 seg. SAC</t>
  </si>
  <si>
    <t>% Indice de abandono SAC</t>
  </si>
  <si>
    <t>Nivel de servicio &lt; 15 seg. SAC</t>
  </si>
  <si>
    <t>PRODUCTIVIDAD AGENTES SAC</t>
  </si>
  <si>
    <t>Dotacion de agentes SAC efectivos</t>
  </si>
  <si>
    <t>Llamadas atendidas X agente</t>
  </si>
  <si>
    <t xml:space="preserve">SEGUIMIENTO LLAMADAS OUTBOUND </t>
  </si>
  <si>
    <t xml:space="preserve">Llamadas Outbound Afiliado </t>
  </si>
  <si>
    <t xml:space="preserve">Lllamadas Outbound Proveedor </t>
  </si>
  <si>
    <t xml:space="preserve">Llamadas Outbound Totales </t>
  </si>
  <si>
    <t>RESULTADOS DE VARIABLES DEL MES</t>
  </si>
  <si>
    <t>% Frecuencia</t>
  </si>
  <si>
    <t>% Frecuencia con Costo</t>
  </si>
  <si>
    <t>% Siniestralidad Total</t>
  </si>
  <si>
    <t>% de servicios concluidos con internos</t>
  </si>
  <si>
    <t>% de servicios suceptibles con internos</t>
  </si>
  <si>
    <t>Costo Promedio X Serv. C. Total USD $</t>
  </si>
  <si>
    <t>Addiuva Enterprises                                                                                     Ayuda sin fronteras</t>
  </si>
  <si>
    <t>Fecha:</t>
  </si>
  <si>
    <t>Item</t>
  </si>
  <si>
    <t>Concepto</t>
  </si>
  <si>
    <t>Cantidad</t>
  </si>
  <si>
    <t>Subtotal</t>
  </si>
  <si>
    <t>Total</t>
  </si>
  <si>
    <t>Cabina mes anterior</t>
  </si>
  <si>
    <t>Cabina</t>
  </si>
  <si>
    <t>Conectividad</t>
  </si>
  <si>
    <t>REPORTE EJECUTIVO OPERACIÓN VOCCARE 2025</t>
  </si>
  <si>
    <t>1,28%</t>
  </si>
  <si>
    <t>1,52%</t>
  </si>
  <si>
    <t>A 31 de Diciembre 2025 (expresado en ML)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</si>
  <si>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</si>
  <si>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</si>
  <si>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</si>
  <si>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</si>
  <si>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</si>
  <si>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</si>
  <si>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</si>
  <si>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</si>
  <si>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</si>
  <si>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</si>
  <si>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</si>
  <si>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</si>
  <si>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PENDIENTE</t>
  </si>
  <si>
    <t>2911</t>
  </si>
  <si>
    <t>Ajuste por valor cobrado de mas en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</si>
</sst>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(* #,##0_);_(* \(#,##0\);_(* &quot;-&quot;_);_(@_)"/>
    <numFmt numFmtId="166" formatCode="#,##0_ ;[Red]\-#,##0\ "/>
    <numFmt numFmtId="167" formatCode="[$USD]\ #,##0"/>
    <numFmt numFmtId="168" formatCode="_-* #,##0\ _$_-;\-* #,##0\ _$_-;_-* &quot;-&quot;\ _$_-;_-@_-"/>
    <numFmt numFmtId="169" formatCode="[$$-240A]\ #,##0.00"/>
    <numFmt numFmtId="170" formatCode="[$$-540A]#,##0.00"/>
    <numFmt numFmtId="171" formatCode="[$UYU]\ #,##0.000"/>
    <numFmt numFmtId="172" formatCode="[$UYU]\ #,##0"/>
    <numFmt numFmtId="173" formatCode="[$USD]\ #,##0.00"/>
    <numFmt numFmtId="174" formatCode="0.0%"/>
    <numFmt numFmtId="175" formatCode="#,##0.0"/>
    <numFmt numFmtId="176" formatCode="[&lt;=9999999]###\-####;\(###\)\ ###\-####"/>
    <numFmt numFmtId="177" formatCode="_-[$$-409]* #,##0.00_ ;_-[$$-409]* \-#,##0.00\ ;_-[$$-409]* &quot;-&quot;??_ ;_-@_ "/>
    <numFmt numFmtId="178" formatCode="_-* #,##0.00\ &quot;€&quot;_-;\-* #,##0.00\ &quot;€&quot;_-;_-* &quot;-&quot;??\ &quot;€&quot;_-;_-@_-"/>
    <numFmt numFmtId="179" formatCode="_(* #,##0.00_);_(* \(#,##0.00\);_(* &quot;-&quot;_);_(@_)"/>
  </numFmts>
  <fonts count="42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10"/>
      <name val="Arial"/>
      <family val="2"/>
    </font>
    <font>
      <b/>
      <sz val="12"/>
      <color theme="0"/>
      <name val="Aptos Narrow"/>
      <family val="2"/>
      <scheme val="minor"/>
    </font>
    <font>
      <sz val="8"/>
      <name val="Arial"/>
      <family val="2"/>
      <charset val="1"/>
    </font>
    <font>
      <sz val="9"/>
      <color theme="0"/>
      <name val="Arial"/>
      <family val="2"/>
    </font>
    <font>
      <b/>
      <sz val="10"/>
      <color theme="0"/>
      <name val="Aptos Narrow"/>
      <family val="2"/>
      <scheme val="minor"/>
    </font>
    <font>
      <sz val="8"/>
      <color theme="0"/>
      <name val="Arial"/>
      <family val="2"/>
      <charset val="1"/>
    </font>
    <font>
      <i/>
      <sz val="10"/>
      <color theme="0" tint="-4.9989318521683403E-2"/>
      <name val="Aptos Narrow"/>
      <family val="2"/>
      <scheme val="minor"/>
    </font>
    <font>
      <sz val="10"/>
      <name val="Aptos Narrow"/>
      <family val="2"/>
      <scheme val="minor"/>
    </font>
    <font>
      <b/>
      <sz val="9"/>
      <color theme="0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2"/>
      <color rgb="FF000000"/>
      <name val="Calibri"/>
      <family val="2"/>
    </font>
    <font>
      <b/>
      <sz val="9"/>
      <color rgb="FF000000"/>
      <name val="Tahoma"/>
      <family val="2"/>
    </font>
    <font>
      <sz val="36"/>
      <color theme="2"/>
      <name val="Arial (Headings)"/>
    </font>
    <font>
      <b/>
      <i/>
      <sz val="14"/>
      <color theme="3" tint="-0.499984740745262"/>
      <name val="Aptos Narrow"/>
      <family val="2"/>
      <scheme val="minor"/>
    </font>
    <font>
      <b/>
      <sz val="14"/>
      <color theme="3" tint="-0.49998474074526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Calibri"/>
      <family val="2"/>
    </font>
    <font>
      <sz val="9"/>
      <color rgb="FF000000"/>
      <name val="Tahoma"/>
      <family val="2"/>
    </font>
    <font>
      <sz val="8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435CC8"/>
        <bgColor indexed="64"/>
      </patternFill>
    </fill>
    <fill>
      <patternFill patternType="solid">
        <fgColor rgb="FFE75CE0"/>
        <bgColor indexed="64"/>
      </patternFill>
    </fill>
    <fill>
      <patternFill patternType="solid">
        <fgColor rgb="FF8B46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8B4595"/>
        <bgColor indexed="64"/>
      </patternFill>
    </fill>
    <fill>
      <patternFill patternType="solid">
        <fgColor rgb="FFF4DCF2"/>
        <bgColor indexed="64"/>
      </patternFill>
    </fill>
    <fill>
      <patternFill patternType="solid">
        <fgColor rgb="FFB981AA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rgb="FF7030A0"/>
        <bgColor indexed="64"/>
      </patternFill>
    </fill>
  </fills>
  <borders count="44">
    <border>
      <left/>
      <right/>
      <top/>
      <bottom/>
      <diagonal/>
    </border>
    <border>
      <left style="dashed">
        <color rgb="FF435CC8"/>
      </left>
      <right style="dashed">
        <color rgb="FF435CC8"/>
      </right>
      <top style="dashed">
        <color rgb="FF435CC8"/>
      </top>
      <bottom style="dashed">
        <color rgb="FF435CC8"/>
      </bottom>
      <diagonal/>
    </border>
    <border>
      <left style="dashed">
        <color rgb="FF435CC8"/>
      </left>
      <right/>
      <top style="dashed">
        <color rgb="FF435CC8"/>
      </top>
      <bottom/>
      <diagonal/>
    </border>
    <border>
      <left/>
      <right style="dashed">
        <color rgb="FF435CC8"/>
      </right>
      <top style="dashed">
        <color rgb="FF435CC8"/>
      </top>
      <bottom/>
      <diagonal/>
    </border>
    <border>
      <left/>
      <right/>
      <top style="dashed">
        <color rgb="FF435CC8"/>
      </top>
      <bottom/>
      <diagonal/>
    </border>
    <border>
      <left style="dashed">
        <color rgb="FF435CC8"/>
      </left>
      <right/>
      <top/>
      <bottom/>
      <diagonal/>
    </border>
    <border>
      <left/>
      <right style="dashed">
        <color rgb="FF435CC8"/>
      </right>
      <top/>
      <bottom/>
      <diagonal/>
    </border>
    <border>
      <left style="dashed">
        <color rgb="FF435CC8"/>
      </left>
      <right/>
      <top/>
      <bottom style="dashed">
        <color rgb="FF435CC8"/>
      </bottom>
      <diagonal/>
    </border>
    <border>
      <left/>
      <right style="dashed">
        <color rgb="FF435CC8"/>
      </right>
      <top/>
      <bottom style="dashed">
        <color rgb="FF435CC8"/>
      </bottom>
      <diagonal/>
    </border>
    <border>
      <left/>
      <right/>
      <top/>
      <bottom style="dashed">
        <color rgb="FF435CC8"/>
      </bottom>
      <diagonal/>
    </border>
    <border>
      <left style="dashed">
        <color rgb="FF435CC8"/>
      </left>
      <right style="dashed">
        <color rgb="FF435CC8"/>
      </right>
      <top style="dashed">
        <color rgb="FF435CC8"/>
      </top>
      <bottom/>
      <diagonal/>
    </border>
    <border>
      <left style="dashed">
        <color rgb="FF435CC8"/>
      </left>
      <right style="dashed">
        <color rgb="FF435CC8"/>
      </right>
      <top/>
      <bottom style="dashed">
        <color rgb="FF435CC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3F3F3F"/>
      </left>
      <right style="medium">
        <color rgb="FF3F3F3F"/>
      </right>
      <top/>
      <bottom style="medium">
        <color rgb="FF3F3F3F"/>
      </bottom>
      <diagonal/>
    </border>
    <border>
      <left style="medium">
        <color rgb="FFB981AA"/>
      </left>
      <right style="medium">
        <color rgb="FFB981AA"/>
      </right>
      <top style="medium">
        <color rgb="FFB981AA"/>
      </top>
      <bottom style="medium">
        <color rgb="FFB981AA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rgb="FF7030A0"/>
      </left>
      <right/>
      <top style="medium">
        <color rgb="FF7030A0"/>
      </top>
      <bottom/>
      <diagonal/>
    </border>
    <border>
      <left/>
      <right/>
      <top style="medium">
        <color rgb="FF7030A0"/>
      </top>
      <bottom/>
      <diagonal/>
    </border>
    <border>
      <left/>
      <right style="medium">
        <color rgb="FF7030A0"/>
      </right>
      <top style="medium">
        <color rgb="FF7030A0"/>
      </top>
      <bottom/>
      <diagonal/>
    </border>
    <border>
      <left style="medium">
        <color rgb="FF7030A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7030A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7030A0"/>
      </left>
      <right/>
      <top/>
      <bottom style="medium">
        <color rgb="FF7030A0"/>
      </bottom>
      <diagonal/>
    </border>
    <border>
      <left/>
      <right/>
      <top/>
      <bottom style="medium">
        <color rgb="FF7030A0"/>
      </bottom>
      <diagonal/>
    </border>
    <border>
      <left/>
      <right style="medium">
        <color rgb="FF7030A0"/>
      </right>
      <top/>
      <bottom style="medium">
        <color rgb="FF7030A0"/>
      </bottom>
      <diagonal/>
    </border>
  </borders>
  <cellStyleXfs count="28">
    <xf numFmtId="0" fontId="0" fillId="0" borderId="0"/>
    <xf numFmtId="165" fontId="1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 applyNumberFormat="0" applyFill="0" applyBorder="0" applyAlignment="0" applyProtection="0"/>
    <xf numFmtId="0" fontId="4" fillId="0" borderId="0"/>
    <xf numFmtId="167" fontId="2" fillId="0" borderId="0"/>
    <xf numFmtId="0" fontId="18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2" applyNumberFormat="0" applyFill="0" applyAlignment="0" applyProtection="0"/>
    <xf numFmtId="0" fontId="21" fillId="0" borderId="13" applyNumberFormat="0" applyFill="0" applyAlignment="0" applyProtection="0"/>
    <xf numFmtId="0" fontId="21" fillId="0" borderId="0" applyNumberFormat="0" applyFill="0" applyBorder="0" applyAlignment="0" applyProtection="0"/>
    <xf numFmtId="0" fontId="17" fillId="10" borderId="14" applyNumberFormat="0" applyFont="0" applyAlignment="0" applyProtection="0"/>
    <xf numFmtId="0" fontId="23" fillId="0" borderId="15" applyNumberFormat="0" applyFill="0" applyAlignment="0" applyProtection="0"/>
    <xf numFmtId="0" fontId="24" fillId="0" borderId="0"/>
    <xf numFmtId="0" fontId="12" fillId="0" borderId="0"/>
    <xf numFmtId="14" fontId="35" fillId="0" borderId="0" applyFont="0" applyFill="0" applyBorder="0" applyAlignment="0"/>
    <xf numFmtId="14" fontId="35" fillId="0" borderId="0" applyNumberFormat="0">
      <alignment horizontal="right" vertical="center" wrapText="1"/>
    </xf>
    <xf numFmtId="176" fontId="35" fillId="0" borderId="0" applyFont="0" applyFill="0" applyBorder="0">
      <alignment horizontal="left" vertical="top" indent="1"/>
    </xf>
    <xf numFmtId="0" fontId="37" fillId="0" borderId="0" applyNumberFormat="0" applyFill="0" applyBorder="0" applyAlignment="0" applyProtection="0"/>
  </cellStyleXfs>
  <cellXfs count="220">
    <xf numFmtId="0" fontId="0" fillId="0" borderId="0" xfId="0"/>
    <xf numFmtId="0" fontId="1" fillId="0" borderId="0" xfId="0" applyFont="1"/>
    <xf numFmtId="0" fontId="4" fillId="0" borderId="0" xfId="2" applyFont="1"/>
    <xf numFmtId="0" fontId="5" fillId="3" borderId="0" xfId="3" applyFont="1" applyFill="1"/>
    <xf numFmtId="0" fontId="6" fillId="3" borderId="0" xfId="4" applyFont="1" applyFill="1"/>
    <xf numFmtId="0" fontId="7" fillId="3" borderId="0" xfId="2" applyFont="1" applyFill="1"/>
    <xf numFmtId="17" fontId="8" fillId="3" borderId="1" xfId="5" applyNumberFormat="1" applyFont="1" applyFill="1" applyBorder="1" applyAlignment="1">
      <alignment horizontal="center"/>
    </xf>
    <xf numFmtId="0" fontId="9" fillId="0" borderId="0" xfId="5" applyFont="1" applyFill="1"/>
    <xf numFmtId="0" fontId="1" fillId="5" borderId="1" xfId="0" applyFont="1" applyFill="1" applyBorder="1"/>
    <xf numFmtId="0" fontId="11" fillId="0" borderId="1" xfId="3" applyFont="1" applyBorder="1"/>
    <xf numFmtId="166" fontId="1" fillId="5" borderId="1" xfId="1" applyNumberFormat="1" applyFont="1" applyFill="1" applyBorder="1" applyAlignment="1">
      <alignment horizontal="center"/>
    </xf>
    <xf numFmtId="0" fontId="11" fillId="0" borderId="0" xfId="3" applyFont="1"/>
    <xf numFmtId="165" fontId="11" fillId="0" borderId="0" xfId="1" applyFont="1"/>
    <xf numFmtId="0" fontId="11" fillId="0" borderId="0" xfId="6" applyFont="1"/>
    <xf numFmtId="165" fontId="11" fillId="0" borderId="0" xfId="1" applyFont="1" applyBorder="1"/>
    <xf numFmtId="0" fontId="11" fillId="0" borderId="2" xfId="3" applyFont="1" applyBorder="1"/>
    <xf numFmtId="0" fontId="11" fillId="0" borderId="3" xfId="6" applyFont="1" applyBorder="1"/>
    <xf numFmtId="0" fontId="11" fillId="0" borderId="4" xfId="6" applyFont="1" applyBorder="1"/>
    <xf numFmtId="3" fontId="11" fillId="0" borderId="4" xfId="6" applyNumberFormat="1" applyFont="1" applyBorder="1"/>
    <xf numFmtId="3" fontId="11" fillId="0" borderId="3" xfId="6" applyNumberFormat="1" applyFont="1" applyBorder="1"/>
    <xf numFmtId="166" fontId="11" fillId="5" borderId="5" xfId="7" applyNumberFormat="1" applyFont="1" applyFill="1" applyBorder="1" applyAlignment="1" applyProtection="1">
      <alignment horizontal="center"/>
      <protection locked="0"/>
    </xf>
    <xf numFmtId="166" fontId="11" fillId="5" borderId="6" xfId="7" applyNumberFormat="1" applyFont="1" applyFill="1" applyBorder="1" applyAlignment="1" applyProtection="1">
      <alignment horizontal="center"/>
      <protection locked="0"/>
    </xf>
    <xf numFmtId="166" fontId="11" fillId="5" borderId="0" xfId="7" applyNumberFormat="1" applyFont="1" applyFill="1" applyAlignment="1" applyProtection="1">
      <alignment horizontal="center"/>
      <protection hidden="1"/>
    </xf>
    <xf numFmtId="166" fontId="5" fillId="5" borderId="6" xfId="7" applyNumberFormat="1" applyFont="1" applyFill="1" applyBorder="1" applyAlignment="1" applyProtection="1">
      <alignment horizontal="center"/>
      <protection locked="0"/>
    </xf>
    <xf numFmtId="0" fontId="11" fillId="0" borderId="5" xfId="6" applyFont="1" applyBorder="1"/>
    <xf numFmtId="0" fontId="11" fillId="0" borderId="6" xfId="6" applyFont="1" applyBorder="1"/>
    <xf numFmtId="3" fontId="11" fillId="0" borderId="0" xfId="6" applyNumberFormat="1" applyFont="1"/>
    <xf numFmtId="166" fontId="11" fillId="5" borderId="6" xfId="7" applyNumberFormat="1" applyFont="1" applyFill="1" applyBorder="1" applyAlignment="1" applyProtection="1">
      <alignment horizontal="center"/>
      <protection hidden="1"/>
    </xf>
    <xf numFmtId="166" fontId="11" fillId="5" borderId="7" xfId="7" applyNumberFormat="1" applyFont="1" applyFill="1" applyBorder="1" applyAlignment="1" applyProtection="1">
      <alignment horizontal="center"/>
      <protection locked="0"/>
    </xf>
    <xf numFmtId="166" fontId="5" fillId="5" borderId="8" xfId="7" applyNumberFormat="1" applyFont="1" applyFill="1" applyBorder="1" applyAlignment="1" applyProtection="1">
      <alignment horizontal="center"/>
      <protection locked="0"/>
    </xf>
    <xf numFmtId="0" fontId="11" fillId="0" borderId="9" xfId="3" applyFont="1" applyBorder="1"/>
    <xf numFmtId="166" fontId="11" fillId="5" borderId="9" xfId="7" applyNumberFormat="1" applyFont="1" applyFill="1" applyBorder="1" applyAlignment="1" applyProtection="1">
      <alignment horizontal="center"/>
      <protection hidden="1"/>
    </xf>
    <xf numFmtId="166" fontId="11" fillId="5" borderId="8" xfId="7" applyNumberFormat="1" applyFont="1" applyFill="1" applyBorder="1" applyAlignment="1" applyProtection="1">
      <alignment horizontal="center"/>
      <protection hidden="1"/>
    </xf>
    <xf numFmtId="168" fontId="11" fillId="0" borderId="0" xfId="6" applyNumberFormat="1" applyFont="1"/>
    <xf numFmtId="0" fontId="11" fillId="0" borderId="4" xfId="3" applyFont="1" applyBorder="1"/>
    <xf numFmtId="0" fontId="1" fillId="0" borderId="5" xfId="0" applyFont="1" applyBorder="1"/>
    <xf numFmtId="169" fontId="11" fillId="5" borderId="6" xfId="7" applyNumberFormat="1" applyFont="1" applyFill="1" applyBorder="1" applyAlignment="1" applyProtection="1">
      <alignment horizontal="center"/>
      <protection locked="0"/>
    </xf>
    <xf numFmtId="8" fontId="1" fillId="0" borderId="0" xfId="6" applyNumberFormat="1" applyFont="1"/>
    <xf numFmtId="0" fontId="11" fillId="0" borderId="6" xfId="3" applyFont="1" applyBorder="1"/>
    <xf numFmtId="170" fontId="11" fillId="5" borderId="6" xfId="7" applyNumberFormat="1" applyFont="1" applyFill="1" applyBorder="1" applyAlignment="1" applyProtection="1">
      <alignment horizontal="center"/>
      <protection locked="0"/>
    </xf>
    <xf numFmtId="0" fontId="1" fillId="0" borderId="7" xfId="0" applyFont="1" applyBorder="1"/>
    <xf numFmtId="170" fontId="11" fillId="5" borderId="8" xfId="7" applyNumberFormat="1" applyFont="1" applyFill="1" applyBorder="1" applyAlignment="1" applyProtection="1">
      <alignment horizontal="center"/>
      <protection locked="0"/>
    </xf>
    <xf numFmtId="8" fontId="1" fillId="0" borderId="9" xfId="6" applyNumberFormat="1" applyFont="1" applyBorder="1"/>
    <xf numFmtId="6" fontId="1" fillId="5" borderId="1" xfId="1" applyNumberFormat="1" applyFont="1" applyFill="1" applyBorder="1"/>
    <xf numFmtId="0" fontId="13" fillId="5" borderId="1" xfId="0" applyFont="1" applyFill="1" applyBorder="1"/>
    <xf numFmtId="0" fontId="14" fillId="0" borderId="0" xfId="3" applyFont="1"/>
    <xf numFmtId="6" fontId="13" fillId="5" borderId="1" xfId="1" applyNumberFormat="1" applyFont="1" applyFill="1" applyBorder="1"/>
    <xf numFmtId="6" fontId="11" fillId="0" borderId="0" xfId="3" applyNumberFormat="1" applyFont="1"/>
    <xf numFmtId="3" fontId="1" fillId="0" borderId="0" xfId="0" applyNumberFormat="1" applyFont="1"/>
    <xf numFmtId="6" fontId="1" fillId="0" borderId="0" xfId="0" applyNumberFormat="1" applyFont="1"/>
    <xf numFmtId="165" fontId="1" fillId="0" borderId="0" xfId="1" applyFont="1"/>
    <xf numFmtId="0" fontId="11" fillId="8" borderId="1" xfId="3" applyFont="1" applyFill="1" applyBorder="1" applyAlignment="1">
      <alignment horizontal="center"/>
    </xf>
    <xf numFmtId="9" fontId="11" fillId="9" borderId="1" xfId="3" applyNumberFormat="1" applyFont="1" applyFill="1" applyBorder="1" applyAlignment="1">
      <alignment horizontal="center"/>
    </xf>
    <xf numFmtId="9" fontId="11" fillId="0" borderId="1" xfId="3" applyNumberFormat="1" applyFont="1" applyBorder="1" applyAlignment="1">
      <alignment horizontal="center"/>
    </xf>
    <xf numFmtId="166" fontId="13" fillId="5" borderId="1" xfId="1" applyNumberFormat="1" applyFont="1" applyFill="1" applyBorder="1" applyAlignment="1">
      <alignment horizontal="center"/>
    </xf>
    <xf numFmtId="170" fontId="11" fillId="5" borderId="0" xfId="7" applyNumberFormat="1" applyFont="1" applyFill="1" applyAlignment="1" applyProtection="1">
      <alignment horizontal="center"/>
      <protection locked="0"/>
    </xf>
    <xf numFmtId="0" fontId="24" fillId="11" borderId="0" xfId="22" applyFill="1"/>
    <xf numFmtId="0" fontId="25" fillId="11" borderId="0" xfId="22" applyFont="1" applyFill="1" applyAlignment="1">
      <alignment horizontal="center"/>
    </xf>
    <xf numFmtId="0" fontId="26" fillId="11" borderId="0" xfId="22" applyFont="1" applyFill="1"/>
    <xf numFmtId="0" fontId="24" fillId="0" borderId="0" xfId="22"/>
    <xf numFmtId="0" fontId="22" fillId="12" borderId="0" xfId="0" applyFont="1" applyFill="1"/>
    <xf numFmtId="0" fontId="28" fillId="11" borderId="0" xfId="22" applyFont="1" applyFill="1"/>
    <xf numFmtId="0" fontId="22" fillId="0" borderId="0" xfId="0" applyFont="1"/>
    <xf numFmtId="171" fontId="24" fillId="0" borderId="22" xfId="22" applyNumberFormat="1" applyBorder="1" applyAlignment="1">
      <alignment horizontal="center"/>
    </xf>
    <xf numFmtId="172" fontId="24" fillId="0" borderId="22" xfId="22" applyNumberFormat="1" applyBorder="1" applyAlignment="1">
      <alignment horizontal="center"/>
    </xf>
    <xf numFmtId="173" fontId="24" fillId="0" borderId="22" xfId="22" applyNumberFormat="1" applyBorder="1" applyAlignment="1">
      <alignment horizontal="center"/>
    </xf>
    <xf numFmtId="0" fontId="24" fillId="11" borderId="0" xfId="22" applyFill="1" applyAlignment="1">
      <alignment horizontal="center"/>
    </xf>
    <xf numFmtId="169" fontId="24" fillId="11" borderId="0" xfId="22" applyNumberFormat="1" applyFill="1"/>
    <xf numFmtId="0" fontId="24" fillId="0" borderId="0" xfId="22" applyAlignment="1">
      <alignment horizontal="center"/>
    </xf>
    <xf numFmtId="17" fontId="22" fillId="12" borderId="23" xfId="0" applyNumberFormat="1" applyFont="1" applyFill="1" applyBorder="1" applyAlignment="1">
      <alignment horizontal="center"/>
    </xf>
    <xf numFmtId="0" fontId="23" fillId="5" borderId="0" xfId="0" applyFont="1" applyFill="1" applyAlignment="1">
      <alignment horizontal="center"/>
    </xf>
    <xf numFmtId="0" fontId="22" fillId="1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23" fillId="5" borderId="0" xfId="0" applyFont="1" applyFill="1"/>
    <xf numFmtId="0" fontId="0" fillId="0" borderId="24" xfId="0" applyBorder="1"/>
    <xf numFmtId="3" fontId="0" fillId="13" borderId="24" xfId="0" applyNumberFormat="1" applyFill="1" applyBorder="1" applyAlignment="1">
      <alignment horizontal="right" vertical="center"/>
    </xf>
    <xf numFmtId="0" fontId="0" fillId="5" borderId="24" xfId="0" applyFill="1" applyBorder="1" applyAlignment="1">
      <alignment horizontal="center"/>
    </xf>
    <xf numFmtId="3" fontId="22" fillId="14" borderId="24" xfId="0" applyNumberFormat="1" applyFont="1" applyFill="1" applyBorder="1" applyAlignment="1">
      <alignment horizontal="center" vertical="center"/>
    </xf>
    <xf numFmtId="3" fontId="24" fillId="11" borderId="0" xfId="22" applyNumberFormat="1" applyFill="1"/>
    <xf numFmtId="167" fontId="0" fillId="13" borderId="24" xfId="0" applyNumberFormat="1" applyFill="1" applyBorder="1" applyAlignment="1">
      <alignment horizontal="right" vertical="center"/>
    </xf>
    <xf numFmtId="167" fontId="0" fillId="5" borderId="24" xfId="0" applyNumberFormat="1" applyFill="1" applyBorder="1" applyAlignment="1">
      <alignment horizontal="center"/>
    </xf>
    <xf numFmtId="167" fontId="22" fillId="14" borderId="24" xfId="0" applyNumberFormat="1" applyFont="1" applyFill="1" applyBorder="1" applyAlignment="1">
      <alignment horizontal="center" vertical="center"/>
    </xf>
    <xf numFmtId="173" fontId="0" fillId="13" borderId="24" xfId="0" applyNumberFormat="1" applyFill="1" applyBorder="1" applyAlignment="1">
      <alignment horizontal="right" vertical="center"/>
    </xf>
    <xf numFmtId="173" fontId="22" fillId="14" borderId="24" xfId="0" applyNumberFormat="1" applyFont="1" applyFill="1" applyBorder="1" applyAlignment="1">
      <alignment horizontal="center" vertical="center"/>
    </xf>
    <xf numFmtId="0" fontId="23" fillId="5" borderId="0" xfId="0" applyFont="1" applyFill="1" applyAlignment="1">
      <alignment vertical="center"/>
    </xf>
    <xf numFmtId="3" fontId="0" fillId="5" borderId="24" xfId="0" applyNumberFormat="1" applyFill="1" applyBorder="1" applyAlignment="1">
      <alignment horizontal="center"/>
    </xf>
    <xf numFmtId="174" fontId="17" fillId="13" borderId="24" xfId="15" applyNumberFormat="1" applyFill="1" applyBorder="1" applyAlignment="1">
      <alignment horizontal="right" vertical="center"/>
    </xf>
    <xf numFmtId="174" fontId="22" fillId="14" borderId="24" xfId="15" applyNumberFormat="1" applyFont="1" applyFill="1" applyBorder="1" applyAlignment="1">
      <alignment horizontal="center" vertical="center"/>
    </xf>
    <xf numFmtId="0" fontId="0" fillId="5" borderId="24" xfId="0" applyFill="1" applyBorder="1"/>
    <xf numFmtId="9" fontId="0" fillId="0" borderId="0" xfId="15" applyFont="1" applyBorder="1"/>
    <xf numFmtId="0" fontId="0" fillId="5" borderId="24" xfId="0" applyFill="1" applyBorder="1" applyAlignment="1">
      <alignment horizontal="center" vertical="center"/>
    </xf>
    <xf numFmtId="0" fontId="2" fillId="0" borderId="24" xfId="2" applyBorder="1"/>
    <xf numFmtId="0" fontId="0" fillId="0" borderId="24" xfId="0" applyBorder="1" applyAlignment="1">
      <alignment horizontal="center" vertical="center"/>
    </xf>
    <xf numFmtId="9" fontId="0" fillId="13" borderId="24" xfId="15" applyFont="1" applyFill="1" applyBorder="1" applyAlignment="1">
      <alignment horizontal="right" vertical="center"/>
    </xf>
    <xf numFmtId="0" fontId="17" fillId="0" borderId="0" xfId="15" applyNumberFormat="1" applyBorder="1"/>
    <xf numFmtId="0" fontId="2" fillId="0" borderId="24" xfId="2" applyBorder="1" applyAlignment="1">
      <alignment vertical="center"/>
    </xf>
    <xf numFmtId="0" fontId="24" fillId="11" borderId="0" xfId="22" applyFill="1" applyAlignment="1">
      <alignment vertical="center"/>
    </xf>
    <xf numFmtId="3" fontId="0" fillId="11" borderId="24" xfId="0" applyNumberFormat="1" applyFill="1" applyBorder="1" applyAlignment="1">
      <alignment horizontal="right" vertical="center"/>
    </xf>
    <xf numFmtId="3" fontId="0" fillId="5" borderId="24" xfId="0" applyNumberFormat="1" applyFill="1" applyBorder="1" applyAlignment="1">
      <alignment horizontal="right" vertical="center"/>
    </xf>
    <xf numFmtId="4" fontId="0" fillId="11" borderId="24" xfId="0" applyNumberFormat="1" applyFill="1" applyBorder="1" applyAlignment="1">
      <alignment horizontal="right" vertical="center"/>
    </xf>
    <xf numFmtId="175" fontId="22" fillId="14" borderId="24" xfId="0" applyNumberFormat="1" applyFont="1" applyFill="1" applyBorder="1" applyAlignment="1">
      <alignment horizontal="center" vertical="center"/>
    </xf>
    <xf numFmtId="9" fontId="0" fillId="11" borderId="24" xfId="0" applyNumberFormat="1" applyFill="1" applyBorder="1" applyAlignment="1">
      <alignment horizontal="right" vertical="center"/>
    </xf>
    <xf numFmtId="9" fontId="17" fillId="5" borderId="24" xfId="15" applyFill="1" applyBorder="1" applyAlignment="1">
      <alignment horizontal="right" vertical="center"/>
    </xf>
    <xf numFmtId="10" fontId="22" fillId="14" borderId="24" xfId="15" applyNumberFormat="1" applyFont="1" applyFill="1" applyBorder="1" applyAlignment="1">
      <alignment horizontal="center" vertical="center"/>
    </xf>
    <xf numFmtId="10" fontId="17" fillId="0" borderId="0" xfId="15" applyNumberFormat="1" applyBorder="1" applyAlignment="1">
      <alignment horizontal="right" vertical="center"/>
    </xf>
    <xf numFmtId="0" fontId="0" fillId="0" borderId="0" xfId="0" applyAlignment="1">
      <alignment horizontal="center" vertical="center"/>
    </xf>
    <xf numFmtId="10" fontId="23" fillId="0" borderId="0" xfId="15" applyNumberFormat="1" applyFont="1" applyBorder="1" applyAlignment="1">
      <alignment horizontal="center" vertical="center"/>
    </xf>
    <xf numFmtId="10" fontId="22" fillId="0" borderId="0" xfId="15" applyNumberFormat="1" applyFont="1" applyBorder="1" applyAlignment="1">
      <alignment horizontal="center" vertical="center"/>
    </xf>
    <xf numFmtId="3" fontId="0" fillId="0" borderId="24" xfId="0" applyNumberFormat="1" applyBorder="1" applyAlignment="1">
      <alignment horizontal="right" vertical="center"/>
    </xf>
    <xf numFmtId="4" fontId="0" fillId="5" borderId="24" xfId="0" applyNumberFormat="1" applyFill="1" applyBorder="1" applyAlignment="1">
      <alignment horizontal="right" vertical="center"/>
    </xf>
    <xf numFmtId="10" fontId="0" fillId="5" borderId="24" xfId="15" applyNumberFormat="1" applyFont="1" applyFill="1" applyBorder="1" applyAlignment="1">
      <alignment horizontal="right" vertical="center"/>
    </xf>
    <xf numFmtId="10" fontId="17" fillId="5" borderId="24" xfId="15" applyNumberFormat="1" applyFill="1" applyBorder="1" applyAlignment="1">
      <alignment horizontal="right" vertical="center"/>
    </xf>
    <xf numFmtId="4" fontId="0" fillId="0" borderId="24" xfId="0" applyNumberFormat="1" applyBorder="1" applyAlignment="1">
      <alignment horizontal="right" vertical="center"/>
    </xf>
    <xf numFmtId="0" fontId="12" fillId="0" borderId="24" xfId="23" applyBorder="1" applyAlignment="1">
      <alignment vertical="center"/>
    </xf>
    <xf numFmtId="10" fontId="17" fillId="0" borderId="24" xfId="15" applyNumberFormat="1" applyBorder="1" applyAlignment="1">
      <alignment horizontal="right" vertical="center"/>
    </xf>
    <xf numFmtId="3" fontId="17" fillId="5" borderId="24" xfId="15" applyNumberFormat="1" applyFill="1" applyBorder="1" applyAlignment="1">
      <alignment horizontal="right" vertical="center"/>
    </xf>
    <xf numFmtId="0" fontId="0" fillId="0" borderId="24" xfId="0" applyBorder="1" applyAlignment="1">
      <alignment vertical="center"/>
    </xf>
    <xf numFmtId="10" fontId="24" fillId="11" borderId="0" xfId="22" applyNumberFormat="1" applyFill="1"/>
    <xf numFmtId="0" fontId="26" fillId="11" borderId="0" xfId="22" applyFont="1" applyFill="1" applyAlignment="1">
      <alignment horizontal="center"/>
    </xf>
    <xf numFmtId="0" fontId="26" fillId="0" borderId="0" xfId="22" applyFont="1" applyAlignment="1">
      <alignment horizontal="center"/>
    </xf>
    <xf numFmtId="0" fontId="24" fillId="15" borderId="0" xfId="22" applyFill="1"/>
    <xf numFmtId="0" fontId="0" fillId="8" borderId="24" xfId="0" applyFill="1" applyBorder="1"/>
    <xf numFmtId="3" fontId="0" fillId="8" borderId="24" xfId="0" applyNumberFormat="1" applyFill="1" applyBorder="1" applyAlignment="1">
      <alignment horizontal="right" vertical="center"/>
    </xf>
    <xf numFmtId="3" fontId="0" fillId="8" borderId="24" xfId="0" applyNumberFormat="1" applyFill="1" applyBorder="1" applyAlignment="1">
      <alignment horizontal="center"/>
    </xf>
    <xf numFmtId="3" fontId="22" fillId="8" borderId="24" xfId="0" applyNumberFormat="1" applyFont="1" applyFill="1" applyBorder="1" applyAlignment="1">
      <alignment horizontal="center" vertical="center"/>
    </xf>
    <xf numFmtId="0" fontId="24" fillId="8" borderId="0" xfId="22" applyFill="1"/>
    <xf numFmtId="0" fontId="2" fillId="8" borderId="24" xfId="2" applyFill="1" applyBorder="1"/>
    <xf numFmtId="0" fontId="0" fillId="8" borderId="24" xfId="0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left" vertical="center" wrapText="1" indent="1"/>
    </xf>
    <xf numFmtId="0" fontId="0" fillId="0" borderId="28" xfId="0" applyBorder="1" applyAlignment="1">
      <alignment horizontal="left" vertical="center" wrapText="1" indent="1"/>
    </xf>
    <xf numFmtId="0" fontId="0" fillId="0" borderId="32" xfId="0" applyBorder="1"/>
    <xf numFmtId="0" fontId="33" fillId="0" borderId="35" xfId="0" applyFont="1" applyBorder="1" applyAlignment="1">
      <alignment horizontal="center" vertical="center" wrapText="1"/>
    </xf>
    <xf numFmtId="0" fontId="0" fillId="0" borderId="36" xfId="0" applyBorder="1" applyAlignment="1">
      <alignment horizontal="left" vertical="center" wrapText="1" indent="1"/>
    </xf>
    <xf numFmtId="0" fontId="0" fillId="0" borderId="0" xfId="0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23" fillId="0" borderId="36" xfId="0" applyFont="1" applyBorder="1" applyAlignment="1">
      <alignment horizontal="left" vertical="center" wrapText="1" indent="1"/>
    </xf>
    <xf numFmtId="0" fontId="0" fillId="0" borderId="0" xfId="0" applyAlignment="1">
      <alignment vertical="center" wrapText="1"/>
    </xf>
    <xf numFmtId="0" fontId="34" fillId="0" borderId="0" xfId="17" applyFont="1" applyBorder="1" applyAlignment="1">
      <alignment horizontal="left" vertical="center"/>
    </xf>
    <xf numFmtId="14" fontId="35" fillId="0" borderId="0" xfId="24" applyBorder="1" applyAlignment="1">
      <alignment horizontal="left" vertical="center"/>
    </xf>
    <xf numFmtId="14" fontId="35" fillId="0" borderId="37" xfId="24" applyBorder="1" applyAlignment="1">
      <alignment horizontal="left" vertical="center"/>
    </xf>
    <xf numFmtId="0" fontId="35" fillId="0" borderId="0" xfId="25" applyNumberFormat="1" applyAlignment="1">
      <alignment horizontal="left" vertical="center" wrapText="1"/>
    </xf>
    <xf numFmtId="0" fontId="35" fillId="0" borderId="37" xfId="25" applyNumberFormat="1" applyBorder="1" applyAlignment="1">
      <alignment horizontal="left" vertical="center" wrapText="1"/>
    </xf>
    <xf numFmtId="176" fontId="0" fillId="0" borderId="36" xfId="26" applyFont="1" applyBorder="1" applyAlignment="1">
      <alignment horizontal="left" vertical="center" indent="1"/>
    </xf>
    <xf numFmtId="176" fontId="0" fillId="0" borderId="0" xfId="26" applyFont="1" applyBorder="1" applyAlignment="1">
      <alignment horizontal="left" vertical="center" indent="1"/>
    </xf>
    <xf numFmtId="176" fontId="36" fillId="0" borderId="36" xfId="26" applyFont="1" applyBorder="1" applyAlignment="1">
      <alignment horizontal="left" vertical="center" indent="1"/>
    </xf>
    <xf numFmtId="0" fontId="37" fillId="0" borderId="36" xfId="27" applyBorder="1" applyAlignment="1">
      <alignment horizontal="left" vertical="center" indent="1"/>
    </xf>
    <xf numFmtId="0" fontId="37" fillId="0" borderId="0" xfId="27" applyBorder="1" applyAlignment="1">
      <alignment horizontal="left" vertical="center" indent="1"/>
    </xf>
    <xf numFmtId="0" fontId="17" fillId="0" borderId="0" xfId="0" applyFont="1" applyAlignment="1">
      <alignment horizontal="left" vertical="center" wrapText="1"/>
    </xf>
    <xf numFmtId="0" fontId="3" fillId="16" borderId="29" xfId="19" applyFont="1" applyFill="1" applyBorder="1" applyAlignment="1">
      <alignment horizontal="center" vertical="center" wrapText="1"/>
    </xf>
    <xf numFmtId="0" fontId="3" fillId="16" borderId="30" xfId="19" applyFont="1" applyFill="1" applyBorder="1" applyAlignment="1">
      <alignment horizontal="center" vertical="center" wrapText="1"/>
    </xf>
    <xf numFmtId="0" fontId="3" fillId="16" borderId="31" xfId="19" applyFont="1" applyFill="1" applyBorder="1" applyAlignment="1">
      <alignment horizontal="center" vertical="center" wrapText="1"/>
    </xf>
    <xf numFmtId="0" fontId="17" fillId="0" borderId="36" xfId="13" applyNumberFormat="1" applyFont="1" applyFill="1" applyBorder="1" applyAlignment="1">
      <alignment horizontal="center" vertical="center"/>
    </xf>
    <xf numFmtId="0" fontId="38" fillId="0" borderId="0" xfId="2" applyFont="1" applyAlignment="1">
      <alignment horizontal="left"/>
    </xf>
    <xf numFmtId="0" fontId="35" fillId="0" borderId="0" xfId="0" applyFont="1" applyAlignment="1">
      <alignment horizontal="center" vertical="center"/>
    </xf>
    <xf numFmtId="177" fontId="35" fillId="0" borderId="0" xfId="14" applyNumberFormat="1" applyFont="1" applyFill="1" applyBorder="1" applyAlignment="1">
      <alignment horizontal="center" vertical="center"/>
    </xf>
    <xf numFmtId="164" fontId="17" fillId="0" borderId="0" xfId="14" applyNumberFormat="1" applyFont="1" applyFill="1" applyBorder="1" applyAlignment="1">
      <alignment horizontal="center" vertical="center"/>
    </xf>
    <xf numFmtId="43" fontId="35" fillId="0" borderId="37" xfId="13" applyFont="1" applyBorder="1" applyAlignment="1">
      <alignment horizontal="center" vertical="center"/>
    </xf>
    <xf numFmtId="9" fontId="17" fillId="0" borderId="37" xfId="15" applyFont="1" applyFill="1" applyBorder="1" applyAlignment="1">
      <alignment horizontal="right" vertical="center"/>
    </xf>
    <xf numFmtId="0" fontId="39" fillId="0" borderId="0" xfId="2" applyFont="1" applyAlignment="1">
      <alignment horizontal="center"/>
    </xf>
    <xf numFmtId="0" fontId="0" fillId="0" borderId="3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0" xfId="0" applyFont="1" applyAlignment="1">
      <alignment horizontal="right" vertical="center"/>
    </xf>
    <xf numFmtId="164" fontId="0" fillId="0" borderId="0" xfId="0" applyNumberFormat="1" applyAlignment="1">
      <alignment horizontal="center" vertical="center"/>
    </xf>
    <xf numFmtId="0" fontId="0" fillId="0" borderId="37" xfId="0" applyBorder="1"/>
    <xf numFmtId="0" fontId="23" fillId="0" borderId="39" xfId="18" applyFont="1" applyFill="1" applyBorder="1" applyAlignment="1">
      <alignment horizontal="left" vertical="center" wrapText="1" indent="1"/>
    </xf>
    <xf numFmtId="9" fontId="35" fillId="0" borderId="39" xfId="15" applyFont="1" applyFill="1" applyBorder="1" applyAlignment="1">
      <alignment horizontal="right" vertical="center"/>
    </xf>
    <xf numFmtId="0" fontId="35" fillId="0" borderId="40" xfId="0" applyFont="1" applyBorder="1" applyAlignment="1">
      <alignment horizontal="left" vertical="center" wrapText="1" indent="1"/>
    </xf>
    <xf numFmtId="0" fontId="0" fillId="0" borderId="41" xfId="0" applyBorder="1" applyAlignment="1">
      <alignment horizontal="left" vertical="center" wrapText="1" indent="1"/>
    </xf>
    <xf numFmtId="0" fontId="3" fillId="0" borderId="42" xfId="17" applyFont="1" applyFill="1" applyBorder="1" applyAlignment="1">
      <alignment horizontal="left" vertical="center" indent="1"/>
    </xf>
    <xf numFmtId="178" fontId="3" fillId="0" borderId="42" xfId="21" applyNumberFormat="1" applyFont="1" applyFill="1" applyBorder="1" applyAlignment="1">
      <alignment horizontal="right" vertical="center"/>
    </xf>
    <xf numFmtId="0" fontId="35" fillId="0" borderId="42" xfId="0" applyFont="1" applyBorder="1" applyAlignment="1">
      <alignment horizontal="left" vertical="center" wrapText="1" indent="1"/>
    </xf>
    <xf numFmtId="0" fontId="0" fillId="0" borderId="43" xfId="0" applyBorder="1"/>
    <xf numFmtId="164" fontId="36" fillId="0" borderId="42" xfId="0" applyNumberFormat="1" applyFont="1" applyBorder="1" applyAlignment="1">
      <alignment horizontal="left" vertical="center" wrapText="1" indent="1"/>
    </xf>
    <xf numFmtId="43" fontId="0" fillId="0" borderId="0" xfId="13" applyFont="1"/>
    <xf numFmtId="179" fontId="0" fillId="0" borderId="0" xfId="1" applyNumberFormat="1" applyFont="1"/>
    <xf numFmtId="10" fontId="1" fillId="0" borderId="0" xfId="0" applyNumberFormat="1" applyFont="1"/>
    <xf numFmtId="165" fontId="0" fillId="0" borderId="0" xfId="1" applyFont="1"/>
    <xf numFmtId="10" fontId="17" fillId="0" borderId="37" xfId="15" applyNumberFormat="1" applyFont="1" applyFill="1" applyBorder="1" applyAlignment="1">
      <alignment horizontal="right" vertical="center"/>
    </xf>
    <xf numFmtId="0" fontId="31" fillId="16" borderId="29" xfId="16" applyFont="1" applyFill="1" applyBorder="1" applyAlignment="1">
      <alignment horizontal="center" vertical="center"/>
    </xf>
    <xf numFmtId="0" fontId="31" fillId="16" borderId="30" xfId="16" applyFont="1" applyFill="1" applyBorder="1" applyAlignment="1">
      <alignment horizontal="center" vertical="center"/>
    </xf>
    <xf numFmtId="0" fontId="31" fillId="16" borderId="31" xfId="16" applyFont="1" applyFill="1" applyBorder="1" applyAlignment="1">
      <alignment horizontal="center" vertical="center"/>
    </xf>
    <xf numFmtId="0" fontId="32" fillId="0" borderId="33" xfId="0" applyFont="1" applyBorder="1" applyAlignment="1">
      <alignment horizontal="center" vertical="center" wrapText="1"/>
    </xf>
    <xf numFmtId="0" fontId="33" fillId="0" borderId="34" xfId="0" applyFont="1" applyBorder="1" applyAlignment="1">
      <alignment horizontal="center" vertical="center" wrapText="1"/>
    </xf>
    <xf numFmtId="0" fontId="17" fillId="0" borderId="38" xfId="20" applyFill="1" applyBorder="1" applyAlignment="1">
      <alignment horizontal="left" vertical="center" wrapText="1" indent="1"/>
    </xf>
    <xf numFmtId="0" fontId="17" fillId="0" borderId="39" xfId="20" applyFill="1" applyBorder="1" applyAlignment="1">
      <alignment horizontal="left" vertical="center" wrapText="1" indent="1"/>
    </xf>
    <xf numFmtId="0" fontId="36" fillId="0" borderId="42" xfId="20" applyFont="1" applyFill="1" applyBorder="1" applyAlignment="1">
      <alignment horizontal="left" vertical="center" wrapText="1" indent="1"/>
    </xf>
    <xf numFmtId="0" fontId="10" fillId="4" borderId="1" xfId="3" applyFont="1" applyFill="1" applyBorder="1" applyAlignment="1">
      <alignment horizontal="center" vertical="center"/>
    </xf>
    <xf numFmtId="0" fontId="14" fillId="7" borderId="5" xfId="6" applyFont="1" applyFill="1" applyBorder="1" applyAlignment="1">
      <alignment horizontal="center"/>
    </xf>
    <xf numFmtId="0" fontId="14" fillId="7" borderId="6" xfId="6" applyFont="1" applyFill="1" applyBorder="1" applyAlignment="1">
      <alignment horizontal="center"/>
    </xf>
    <xf numFmtId="0" fontId="13" fillId="7" borderId="0" xfId="0" applyFont="1" applyFill="1" applyAlignment="1" applyProtection="1">
      <alignment horizontal="center"/>
      <protection locked="0"/>
    </xf>
    <xf numFmtId="0" fontId="13" fillId="7" borderId="6" xfId="0" applyFont="1" applyFill="1" applyBorder="1" applyAlignment="1" applyProtection="1">
      <alignment horizontal="center"/>
      <protection locked="0"/>
    </xf>
    <xf numFmtId="0" fontId="10" fillId="4" borderId="10" xfId="3" applyFont="1" applyFill="1" applyBorder="1" applyAlignment="1">
      <alignment horizontal="center" vertical="center"/>
    </xf>
    <xf numFmtId="0" fontId="10" fillId="4" borderId="11" xfId="3" applyFont="1" applyFill="1" applyBorder="1" applyAlignment="1">
      <alignment horizontal="center" vertical="center"/>
    </xf>
    <xf numFmtId="0" fontId="10" fillId="4" borderId="1" xfId="3" applyFont="1" applyFill="1" applyBorder="1" applyAlignment="1">
      <alignment horizontal="center" vertical="center" textRotation="255"/>
    </xf>
    <xf numFmtId="0" fontId="14" fillId="6" borderId="2" xfId="3" applyFont="1" applyFill="1" applyBorder="1" applyAlignment="1">
      <alignment horizontal="center"/>
    </xf>
    <xf numFmtId="0" fontId="14" fillId="6" borderId="3" xfId="3" applyFont="1" applyFill="1" applyBorder="1" applyAlignment="1">
      <alignment horizontal="center"/>
    </xf>
    <xf numFmtId="0" fontId="13" fillId="6" borderId="4" xfId="0" applyFont="1" applyFill="1" applyBorder="1" applyAlignment="1" applyProtection="1">
      <alignment horizontal="center"/>
      <protection locked="0"/>
    </xf>
    <xf numFmtId="0" fontId="13" fillId="6" borderId="3" xfId="0" applyFont="1" applyFill="1" applyBorder="1" applyAlignment="1" applyProtection="1">
      <alignment horizontal="center"/>
      <protection locked="0"/>
    </xf>
    <xf numFmtId="0" fontId="3" fillId="2" borderId="0" xfId="2" applyFont="1" applyFill="1" applyAlignment="1">
      <alignment horizontal="center" vertical="center" wrapText="1"/>
    </xf>
    <xf numFmtId="0" fontId="13" fillId="6" borderId="5" xfId="0" applyFont="1" applyFill="1" applyBorder="1" applyAlignment="1" applyProtection="1">
      <alignment horizontal="center"/>
      <protection locked="0"/>
    </xf>
    <xf numFmtId="0" fontId="13" fillId="6" borderId="6" xfId="0" applyFont="1" applyFill="1" applyBorder="1" applyAlignment="1" applyProtection="1">
      <alignment horizontal="center"/>
      <protection locked="0"/>
    </xf>
    <xf numFmtId="0" fontId="13" fillId="6" borderId="0" xfId="0" applyFont="1" applyFill="1" applyAlignment="1" applyProtection="1">
      <alignment horizontal="center"/>
      <protection locked="0"/>
    </xf>
    <xf numFmtId="0" fontId="13" fillId="7" borderId="5" xfId="0" applyFont="1" applyFill="1" applyBorder="1" applyAlignment="1" applyProtection="1">
      <alignment horizontal="center"/>
      <protection locked="0"/>
    </xf>
    <xf numFmtId="0" fontId="10" fillId="4" borderId="4" xfId="3" applyFont="1" applyFill="1" applyBorder="1" applyAlignment="1">
      <alignment horizontal="center" vertical="center"/>
    </xf>
    <xf numFmtId="0" fontId="10" fillId="4" borderId="0" xfId="3" applyFont="1" applyFill="1" applyAlignment="1">
      <alignment horizontal="center" vertical="center"/>
    </xf>
    <xf numFmtId="0" fontId="10" fillId="4" borderId="5" xfId="3" applyFont="1" applyFill="1" applyBorder="1" applyAlignment="1">
      <alignment horizontal="center" vertical="center"/>
    </xf>
    <xf numFmtId="0" fontId="25" fillId="11" borderId="0" xfId="22" applyFont="1" applyFill="1" applyAlignment="1">
      <alignment horizontal="left"/>
    </xf>
    <xf numFmtId="0" fontId="27" fillId="0" borderId="0" xfId="22" applyFont="1"/>
    <xf numFmtId="0" fontId="29" fillId="0" borderId="16" xfId="22" applyFont="1" applyBorder="1" applyAlignment="1">
      <alignment horizontal="center"/>
    </xf>
    <xf numFmtId="0" fontId="27" fillId="0" borderId="17" xfId="22" applyFont="1" applyBorder="1"/>
    <xf numFmtId="0" fontId="27" fillId="0" borderId="18" xfId="22" applyFont="1" applyBorder="1"/>
    <xf numFmtId="0" fontId="27" fillId="0" borderId="19" xfId="22" applyFont="1" applyBorder="1"/>
    <xf numFmtId="0" fontId="27" fillId="0" borderId="20" xfId="22" applyFont="1" applyBorder="1"/>
    <xf numFmtId="0" fontId="27" fillId="0" borderId="21" xfId="22" applyFont="1" applyBorder="1"/>
  </cellXfs>
  <cellStyles count="28">
    <cellStyle name="DetallesDeFactura" xfId="25" xr:uid="{54D68D00-C1EE-4C87-A22D-B34884CBA099}"/>
    <cellStyle name="Encabezado 1" xfId="17" builtinId="16"/>
    <cellStyle name="Encabezado 4" xfId="19" builtinId="19"/>
    <cellStyle name="Fecha" xfId="24" xr:uid="{C41FD02E-BD87-4ED5-8FB4-CDF4EC45BB90}"/>
    <cellStyle name="Hipervínculo" xfId="27" builtinId="8"/>
    <cellStyle name="Millares" xfId="13" builtinId="3"/>
    <cellStyle name="Millares [0]" xfId="1" builtinId="6"/>
    <cellStyle name="Millares 2" xfId="9" xr:uid="{33947CBD-1999-4FEE-A1E5-A0DB9C37D825}"/>
    <cellStyle name="Millares 3" xfId="12" xr:uid="{CC4BCDA4-D961-4C90-8165-D62290C3837C}"/>
    <cellStyle name="Moneda" xfId="14" builtinId="4"/>
    <cellStyle name="Normal" xfId="0" builtinId="0"/>
    <cellStyle name="Normal 12 2 3" xfId="4" xr:uid="{F3A314BD-4584-4328-9CA2-464E86EE0C19}"/>
    <cellStyle name="Normal 2" xfId="2" xr:uid="{FDD63CB9-ACCF-47E2-AD3A-6FC8822B75C1}"/>
    <cellStyle name="Normal 2 2" xfId="11" xr:uid="{D3FD4097-1D37-4ED8-B33D-FFFE30C87B03}"/>
    <cellStyle name="Normal 2 2 2" xfId="7" xr:uid="{B93BFD75-1CED-4D7E-AF94-B2496E0B252A}"/>
    <cellStyle name="Normal 2 3 2" xfId="23" xr:uid="{01472E1F-F9A1-4825-B335-1C9E85CE3EAB}"/>
    <cellStyle name="Normal 3" xfId="8" xr:uid="{665FD9D2-0332-456C-9F44-8C7EFFB298E7}"/>
    <cellStyle name="Normal 4" xfId="6" xr:uid="{5BB30799-AF62-48FB-A51B-C9B9675B7E98}"/>
    <cellStyle name="Normal 6" xfId="22" xr:uid="{89E70A96-4EDF-4FBD-8BDC-447D3A97E10B}"/>
    <cellStyle name="Normal_Hoja1" xfId="5" xr:uid="{18E55F46-7E38-4C60-A45F-22D1512CD057}"/>
    <cellStyle name="Normal_SHEET" xfId="3" xr:uid="{5B51ED05-2BA2-462F-A163-C50A8A573D83}"/>
    <cellStyle name="Notas" xfId="20" builtinId="10"/>
    <cellStyle name="Porcentaje" xfId="15" builtinId="5"/>
    <cellStyle name="Porcentaje 2" xfId="10" xr:uid="{B6595654-5EC9-41BA-93BA-9A9F54604B5B}"/>
    <cellStyle name="Teléfono" xfId="26" xr:uid="{BEE42F69-A6AD-43BE-A200-4CF8DE9EB84E}"/>
    <cellStyle name="Título" xfId="16" builtinId="15"/>
    <cellStyle name="Título 3" xfId="18" builtinId="18"/>
    <cellStyle name="Total" xfId="21" builtinId="25"/>
  </cellStyles>
  <dxfs count="46">
    <dxf>
      <border diagonalUp="0" diagonalDown="0" outline="0">
        <left/>
        <right style="medium">
          <color indexed="64"/>
        </right>
        <top/>
        <bottom/>
      </border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177" formatCode="_-[$$-409]* #,##0.00_ ;_-[$$-409]* \-#,##0.00\ ;_-[$$-409]* &quot;-&quot;??_ ;_-@_ "/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strike val="0"/>
        <color theme="0"/>
      </font>
    </dxf>
    <dxf>
      <font>
        <color theme="0"/>
      </font>
    </dxf>
    <dxf>
      <border diagonalUp="0" diagonalDown="0" outline="0">
        <left/>
        <right style="medium">
          <color indexed="64"/>
        </right>
        <top/>
        <bottom/>
      </border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0" indent="0" justifyLastLine="0" shrinkToFit="0" readingOrder="0"/>
    </dxf>
    <dxf>
      <numFmt numFmtId="177" formatCode="_-[$$-409]* #,##0.00_ ;_-[$$-409]* \-#,##0.00\ ;_-[$$-409]* &quot;-&quot;??_ ;_-@_ 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border diagonalUp="0" diagonalDown="0" outline="0">
        <left/>
        <right style="medium">
          <color indexed="64"/>
        </right>
        <top/>
        <bottom/>
      </border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0" indent="0" justifyLastLine="0" shrinkToFit="0" readingOrder="0"/>
    </dxf>
    <dxf>
      <numFmt numFmtId="177" formatCode="_-[$$-409]* #,##0.00_ ;_-[$$-409]* \-#,##0.00\ ;_-[$$-409]* &quot;-&quot;??_ ;_-@_ 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border diagonalUp="0" diagonalDown="0" outline="0">
        <left/>
        <right style="medium">
          <color indexed="64"/>
        </right>
        <top/>
        <bottom/>
      </border>
    </dxf>
    <dxf>
      <numFmt numFmtId="164" formatCode="_-&quot;$&quot;* #,##0.00_-;\-&quot;$&quot;* #,##0.00_-;_-&quot;$&quot;* &quot;-&quot;??_-;_-@_-"/>
      <alignment horizontal="center" vertical="center" textRotation="0" wrapText="0" indent="0" justifyLastLine="0" shrinkToFit="0" readingOrder="0"/>
    </dxf>
    <dxf>
      <numFmt numFmtId="164" formatCode="_-&quot;$&quot;* #,##0.00_-;\-&quot;$&quot;* #,##0.00_-;_-&quot;$&quot;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0" indent="0" justifyLastLine="0" shrinkToFit="0" readingOrder="0"/>
    </dxf>
    <dxf>
      <numFmt numFmtId="177" formatCode="_-[$$-409]* #,##0.00_ ;_-[$$-409]* \-#,##0.00\ ;_-[$$-409]* &quot;-&quot;??_ ;_-@_ 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numFmt numFmtId="164" formatCode="_-&quot;$&quot;* #,##0.00_-;\-&quot;$&quot;* #,##0.00_-;_-&quot;$&quot;* &quot;-&quot;??_-;_-@_-"/>
    </dxf>
    <dxf>
      <border>
        <bottom style="medium">
          <color rgb="FF000000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10" Type="http://schemas.openxmlformats.org/officeDocument/2006/relationships/externalLink" Target="externalLinks/externalLink3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'Portada e Index'!A1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632460</xdr:colOff>
      <xdr:row>2</xdr:row>
      <xdr:rowOff>121920</xdr:rowOff>
    </xdr:from>
    <xdr:to>
      <xdr:col>6</xdr:col>
      <xdr:colOff>806450</xdr:colOff>
      <xdr:row>2</xdr:row>
      <xdr:rowOff>476250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CD052AB-EEE6-2341-90C1-8B2B41958DBA}"/>
            </a:ext>
          </a:extLst>
        </xdr:cNvPr>
        <xdr:cNvSpPr txBox="1"/>
      </xdr:nvSpPr>
      <xdr:spPr>
        <a:xfrm>
          <a:off x="1927860" y="528320"/>
          <a:ext cx="5215890" cy="354330"/>
        </a:xfrm>
        <a:prstGeom prst="rect">
          <a:avLst/>
        </a:prstGeom>
        <a:solidFill>
          <a:srgbClr val="7030A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24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DOMINICANA</a:t>
          </a:r>
          <a:endParaRPr lang="es-MX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292100</xdr:colOff>
      <xdr:row>3</xdr:row>
      <xdr:rowOff>165100</xdr:rowOff>
    </xdr:from>
    <xdr:to>
      <xdr:col>3</xdr:col>
      <xdr:colOff>2028825</xdr:colOff>
      <xdr:row>9</xdr:row>
      <xdr:rowOff>13536</xdr:rowOff>
    </xdr:to>
    <xdr:pic>
      <xdr:nvPicPr>
        <xdr:cNvPr id="3" name="Imagen 2" descr="Un dibujo de una cara feliz&#10;&#10;Descripción generada automáticamente con confianza baja">
          <a:extLst>
            <a:ext uri="{FF2B5EF4-FFF2-40B4-BE49-F238E27FC236}">
              <a16:creationId xmlns:a16="http://schemas.microsoft.com/office/drawing/2014/main" id="{DAE29024-FE60-3F4D-ADC6-50E2FE2BE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8F8F8"/>
            </a:clrFrom>
            <a:clrTo>
              <a:srgbClr val="F8F8F8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600" y="1155700"/>
          <a:ext cx="2460625" cy="10930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632460</xdr:colOff>
      <xdr:row>2</xdr:row>
      <xdr:rowOff>121920</xdr:rowOff>
    </xdr:from>
    <xdr:to>
      <xdr:col>6</xdr:col>
      <xdr:colOff>806450</xdr:colOff>
      <xdr:row>2</xdr:row>
      <xdr:rowOff>476250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8992B1D5-C7F4-8548-A0A1-429FE8A6A741}"/>
            </a:ext>
          </a:extLst>
        </xdr:cNvPr>
        <xdr:cNvSpPr txBox="1"/>
      </xdr:nvSpPr>
      <xdr:spPr>
        <a:xfrm>
          <a:off x="1927860" y="528320"/>
          <a:ext cx="4555490" cy="354330"/>
        </a:xfrm>
        <a:prstGeom prst="rect">
          <a:avLst/>
        </a:prstGeom>
        <a:solidFill>
          <a:srgbClr val="7030A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24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DOMINICANA</a:t>
          </a:r>
          <a:endParaRPr lang="es-MX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292100</xdr:colOff>
      <xdr:row>3</xdr:row>
      <xdr:rowOff>165100</xdr:rowOff>
    </xdr:from>
    <xdr:to>
      <xdr:col>3</xdr:col>
      <xdr:colOff>2028825</xdr:colOff>
      <xdr:row>9</xdr:row>
      <xdr:rowOff>13536</xdr:rowOff>
    </xdr:to>
    <xdr:pic>
      <xdr:nvPicPr>
        <xdr:cNvPr id="3" name="Imagen 2" descr="Un dibujo de una cara feliz&#10;&#10;Descripción generada automáticamente con confianza baja">
          <a:extLst>
            <a:ext uri="{FF2B5EF4-FFF2-40B4-BE49-F238E27FC236}">
              <a16:creationId xmlns:a16="http://schemas.microsoft.com/office/drawing/2014/main" id="{C42563FB-3A29-2845-A081-F6345D1FE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8F8F8"/>
            </a:clrFrom>
            <a:clrTo>
              <a:srgbClr val="F8F8F8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600" y="1155700"/>
          <a:ext cx="2460625" cy="10930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632460</xdr:colOff>
      <xdr:row>2</xdr:row>
      <xdr:rowOff>121920</xdr:rowOff>
    </xdr:from>
    <xdr:to>
      <xdr:col>6</xdr:col>
      <xdr:colOff>806450</xdr:colOff>
      <xdr:row>2</xdr:row>
      <xdr:rowOff>476250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B0A0166-698A-284B-A560-864F62CEFBAC}"/>
            </a:ext>
          </a:extLst>
        </xdr:cNvPr>
        <xdr:cNvSpPr txBox="1"/>
      </xdr:nvSpPr>
      <xdr:spPr>
        <a:xfrm>
          <a:off x="1927860" y="528320"/>
          <a:ext cx="4555490" cy="354330"/>
        </a:xfrm>
        <a:prstGeom prst="rect">
          <a:avLst/>
        </a:prstGeom>
        <a:solidFill>
          <a:srgbClr val="7030A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24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DOMINICANA</a:t>
          </a:r>
          <a:endParaRPr lang="es-MX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292100</xdr:colOff>
      <xdr:row>3</xdr:row>
      <xdr:rowOff>165100</xdr:rowOff>
    </xdr:from>
    <xdr:to>
      <xdr:col>3</xdr:col>
      <xdr:colOff>2028825</xdr:colOff>
      <xdr:row>9</xdr:row>
      <xdr:rowOff>13536</xdr:rowOff>
    </xdr:to>
    <xdr:pic>
      <xdr:nvPicPr>
        <xdr:cNvPr id="3" name="Imagen 2" descr="Un dibujo de una cara feliz&#10;&#10;Descripción generada automáticamente con confianza baja">
          <a:extLst>
            <a:ext uri="{FF2B5EF4-FFF2-40B4-BE49-F238E27FC236}">
              <a16:creationId xmlns:a16="http://schemas.microsoft.com/office/drawing/2014/main" id="{5ACC10FB-CC7B-E647-9C6C-8A1443407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8F8F8"/>
            </a:clrFrom>
            <a:clrTo>
              <a:srgbClr val="F8F8F8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600" y="1155700"/>
          <a:ext cx="2460625" cy="109303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632460</xdr:colOff>
      <xdr:row>2</xdr:row>
      <xdr:rowOff>121920</xdr:rowOff>
    </xdr:from>
    <xdr:to>
      <xdr:col>6</xdr:col>
      <xdr:colOff>806450</xdr:colOff>
      <xdr:row>2</xdr:row>
      <xdr:rowOff>476250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ECDAE47-187B-5343-B3FA-3F4B887A97BE}"/>
            </a:ext>
          </a:extLst>
        </xdr:cNvPr>
        <xdr:cNvSpPr txBox="1"/>
      </xdr:nvSpPr>
      <xdr:spPr>
        <a:xfrm>
          <a:off x="1927860" y="528320"/>
          <a:ext cx="4555490" cy="354330"/>
        </a:xfrm>
        <a:prstGeom prst="rect">
          <a:avLst/>
        </a:prstGeom>
        <a:solidFill>
          <a:srgbClr val="7030A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24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DOMINICANA</a:t>
          </a:r>
          <a:endParaRPr lang="es-MX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292100</xdr:colOff>
      <xdr:row>3</xdr:row>
      <xdr:rowOff>165100</xdr:rowOff>
    </xdr:from>
    <xdr:to>
      <xdr:col>3</xdr:col>
      <xdr:colOff>2028825</xdr:colOff>
      <xdr:row>9</xdr:row>
      <xdr:rowOff>13536</xdr:rowOff>
    </xdr:to>
    <xdr:pic>
      <xdr:nvPicPr>
        <xdr:cNvPr id="3" name="Imagen 2" descr="Un dibujo de una cara feliz&#10;&#10;Descripción generada automáticamente con confianza baja">
          <a:extLst>
            <a:ext uri="{FF2B5EF4-FFF2-40B4-BE49-F238E27FC236}">
              <a16:creationId xmlns:a16="http://schemas.microsoft.com/office/drawing/2014/main" id="{CBF7EC15-81F3-364B-9F41-2BD8C6EE5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8F8F8"/>
            </a:clrFrom>
            <a:clrTo>
              <a:srgbClr val="F8F8F8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600" y="1155700"/>
          <a:ext cx="2460625" cy="109303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38100</xdr:rowOff>
    </xdr:from>
    <xdr:to>
      <xdr:col>2</xdr:col>
      <xdr:colOff>1960245</xdr:colOff>
      <xdr:row>3</xdr:row>
      <xdr:rowOff>116691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60FDD86-AAE6-466F-A2D9-F3ED77609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6820" y="38100"/>
          <a:ext cx="2247900" cy="535791"/>
        </a:xfrm>
        <a:prstGeom prst="rect">
          <a:avLst/>
        </a:prstGeom>
      </xdr:spPr>
    </xdr:pic>
    <xdr:clientData/>
  </xdr:twoCellAnchor>
  <xdr:twoCellAnchor>
    <xdr:from>
      <xdr:col>0</xdr:col>
      <xdr:colOff>85725</xdr:colOff>
      <xdr:row>0</xdr:row>
      <xdr:rowOff>76200</xdr:rowOff>
    </xdr:from>
    <xdr:to>
      <xdr:col>0</xdr:col>
      <xdr:colOff>715433</xdr:colOff>
      <xdr:row>2</xdr:row>
      <xdr:rowOff>56303</xdr:rowOff>
    </xdr:to>
    <xdr:sp macro="" textlink="">
      <xdr:nvSpPr>
        <xdr:cNvPr id="3" name="CuadroText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B19933C-60E5-4FA5-82A4-3B97CA964CF6}"/>
            </a:ext>
          </a:extLst>
        </xdr:cNvPr>
        <xdr:cNvSpPr txBox="1"/>
      </xdr:nvSpPr>
      <xdr:spPr>
        <a:xfrm>
          <a:off x="87630" y="76200"/>
          <a:ext cx="625898" cy="288713"/>
        </a:xfrm>
        <a:prstGeom prst="roundRect">
          <a:avLst/>
        </a:prstGeom>
        <a:solidFill>
          <a:srgbClr val="8B46CD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200" b="1">
              <a:solidFill>
                <a:schemeClr val="bg1"/>
              </a:solidFill>
            </a:rPr>
            <a:t>INDEX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/C/Users/ELITEBOOK/AppData/Local/Microsoft/Windows/Temporary%20Internet%20Files/Content.Outlook/VVPQN7EC/Sin%20t&#237;tuloE/Presupuesto%202013/Sin%20t&#237;tuloD/C/Documentos/TEMP/CTYWKBKS/LA/MEX9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/C/Users/ELITEBOOK/AppData/Local/Microsoft/Windows/Temporary%20Internet%20Files/Content.Outlook/VVPQN7EC/Sin%20t&#237;tuloE/Presupuesto%202013/Sin%20t&#237;tuloD/C/Documentos/Documentos/TEMP/CTYWKBKS/LA/MEX9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Users/santiagosuarez/Desktop/C:/CONTAB%20-%202008/03%20MARZO%2008/DECLARACION%20ANUAL%20IR%20200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/C/Users/ELITEBOOK/AppData/Local/Microsoft/Windows/Temporary%20Internet%20Files/Content.Outlook/VVPQN7EC/Sin%20t&#237;tuloE/Presupuesto%202013/Sin%20t&#237;tuloD/C/Documentos/CTYWKBKS/LA/MEX9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Santiago/Documents/AAE/IFC/Reportes%20IFC%202014/Sin%20t&#237;tuloUsers/macbookpro/Documents/JUNTA%20DIRECTIVA%20/PRESUPUESTO%202015/Bancos1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F41B16B1/MEX97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lvinazco/Downloads/Propuestas%20de%20factura%20o%20resumen.xlsx" TargetMode="External"/><Relationship Id="rId1" Type="http://schemas.openxmlformats.org/officeDocument/2006/relationships/externalLinkPath" Target="file:///C:/Users/lvinazco/Downloads/Propuestas%20de%20factura%20o%20resumen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Ricardo%20Martinez/Downloads/Factura%20de%20ventas%20multicolor.xlsx" TargetMode="External"/><Relationship Id="rId1" Type="http://schemas.openxmlformats.org/officeDocument/2006/relationships/externalLinkPath" Target="file:///C:/Users/lvinazco/Downloads/Factura%20de%20ventas%20multicolor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/.shortcut-targets-by-id/1f8qGrdtEe0ytiov-w0SbBlnmB-L_dKew/Facturas%20Concentra%202023/2024/01.%20Enero/02.%20Analisis%20de%20distribucion%20CL%20Enero%20-%20MX.xlsx" TargetMode="External"/><Relationship Id="rId1" Type="http://schemas.openxmlformats.org/officeDocument/2006/relationships/externalLinkPath" Target="file:///G:/.shortcut-targets-by-id/1f8qGrdtEe0ytiov-w0SbBlnmB-L_dKew/Facturas%20Concentra%202023/2024/01.%20Enero/02.%20Analisis%20de%20distribucion%20CL%20Enero%20-%20M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MEX95IB"/>
      <sheetName val="Public"/>
      <sheetName val="Telecom Assumptions"/>
      <sheetName val="MobileIB"/>
      <sheetName val="Basic Inputs"/>
      <sheetName val="Telecom_Assumptions"/>
      <sheetName val="Basic_Inputs"/>
      <sheetName val="Ayud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MEX95IB"/>
      <sheetName val="Public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za del mes"/>
      <sheetName val="Balanza_del_mes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MEX95IB"/>
      <sheetName val="Public"/>
      <sheetName val="Telecom Assumptions"/>
      <sheetName val="MobileIB"/>
      <sheetName val="Basic Inputs"/>
      <sheetName val="Telecom_Assumptions"/>
      <sheetName val="Basic_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imientos"/>
      <sheetName val="Resumenes"/>
      <sheetName val="Menú"/>
      <sheetName val="Datos"/>
      <sheetName val="Códigos"/>
      <sheetName val="Análisis"/>
      <sheetName val="Importante"/>
      <sheetName val="Costo por Venta"/>
      <sheetName val="Hoja1"/>
      <sheetName val="Costo_por_Venta"/>
    </sheetNames>
    <sheetDataSet>
      <sheetData sheetId="0">
        <row r="12">
          <cell r="C12">
            <v>39548</v>
          </cell>
        </row>
      </sheetData>
      <sheetData sheetId="1">
        <row r="8">
          <cell r="M8" t="str">
            <v>Todos</v>
          </cell>
        </row>
        <row r="9">
          <cell r="M9" t="str">
            <v>Pendientes</v>
          </cell>
        </row>
        <row r="10">
          <cell r="M10" t="str">
            <v>Ejecutados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MEX95IB"/>
      <sheetName val="Public"/>
      <sheetName val="Basic Inputs"/>
      <sheetName val="Basic_Inputs"/>
    </sheetNames>
    <sheetDataSet>
      <sheetData sheetId="0" refreshError="1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puesta 1"/>
      <sheetName val="Propuesta 2"/>
    </sheetNames>
    <sheetDataSet>
      <sheetData sheetId="0" refreshError="1"/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ctura"/>
      <sheetName val="Factura de ventas multicolor"/>
    </sheetNames>
    <sheetDataSet>
      <sheetData sheetId="0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ciembre"/>
      <sheetName val="Comparativo"/>
      <sheetName val="Historico"/>
      <sheetName val="Calculadora Enero-24"/>
      <sheetName val="Calculadora Diciembre"/>
      <sheetName val="Calculadora Noviembre"/>
      <sheetName val="Calculadora Octubre"/>
      <sheetName val="Calculadora Septiembre"/>
      <sheetName val="Indices"/>
      <sheetName val="Calculadora Anterior"/>
      <sheetName val="Indices V2"/>
      <sheetName val="MCS"/>
      <sheetName val="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294CB4-76D3-0D4B-B385-A20ECA77DB26}" name="DetallesFactura3346578910111213234" displayName="DetallesFactura3346578910111213234" ref="C11:H15" totalsRowCount="1" headerRowDxfId="45" headerRowBorderDxfId="44">
  <autoFilter ref="C11:H14" xr:uid="{8BD6DE27-343C-415E-A665-F3086E990181}"/>
  <tableColumns count="6">
    <tableColumn id="1" xr3:uid="{D6F12898-3D4E-E748-AB90-A2B0FE932DD9}" name="Item" totalsRowDxfId="5" dataCellStyle="Millares"/>
    <tableColumn id="2" xr3:uid="{51C074DA-F850-F749-8E5D-0CE3A827180E}" name="Concepto" totalsRowDxfId="4" dataCellStyle="Normal"/>
    <tableColumn id="3" xr3:uid="{3DF5BB1C-6101-CB4B-8258-D422F528628A}" name="Cantidad" totalsRowDxfId="3" dataCellStyle="Moneda"/>
    <tableColumn id="4" xr3:uid="{26C5CA31-70E3-0649-A2A4-C8D97326336D}" name="Subtotal" totalsRowLabel="Subtotal" dataDxfId="6" totalsRowDxfId="2" dataCellStyle="Moneda">
      <calculatedColumnFormula>+'Servicios Cabina'!T65-3434</calculatedColumnFormula>
    </tableColumn>
    <tableColumn id="5" xr3:uid="{5951C532-268F-154A-995E-6F943C325898}" name="Total" totalsRowFunction="custom" dataDxfId="43" totalsRowDxfId="1" dataCellStyle="Moneda">
      <calculatedColumnFormula>+DetallesFactura3346578910111213234[[#This Row],[Subtotal]]</calculatedColumnFormula>
      <totalsRowFormula>SUM(G12:G14)</totalsRowFormula>
    </tableColumn>
    <tableColumn id="6" xr3:uid="{1571F457-B2CD-8540-A44D-2F414404C00B}" name="Cabina mes anterior" totalsRowDxfId="0" dataCellStyle="Moneda">
      <calculatedColumnFormula>+'[9]Calculadora Enero-24'!$E$14</calculatedColumnFormula>
    </tableColumn>
  </tableColumns>
  <tableStyleInfo name="TableStyleMedium3" showFirstColumn="0" showLastColumn="0" showRowStripes="1" showColumnStripes="0"/>
  <extLst>
    <ext xmlns:x14="http://schemas.microsoft.com/office/spreadsheetml/2009/9/main" uri="{504A1905-F514-4f6f-8877-14C23A59335A}">
      <x14:table altTextSummary="Escriba la cantidad, la descripción y el precio por unidad en esta tabla. El descuento aplicado, el importe y el saldo vencido se calculan automáticamente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E88E70-FEE1-E34F-BC47-83C7AAF47D78}" name="DetallesFactura334657891011121323" displayName="DetallesFactura334657891011121323" ref="C11:H15" totalsRowCount="1" headerRowDxfId="42" headerRowBorderDxfId="41">
  <autoFilter ref="C11:H14" xr:uid="{8BD6DE27-343C-415E-A665-F3086E990181}"/>
  <tableColumns count="6">
    <tableColumn id="1" xr3:uid="{85E0544E-D574-2F4A-8BD3-94EE9149819B}" name="Item" totalsRowDxfId="40" dataCellStyle="Millares"/>
    <tableColumn id="2" xr3:uid="{8A71B0F2-E541-1148-9D42-2421BA93FA1B}" name="Concepto" totalsRowDxfId="39" dataCellStyle="Normal"/>
    <tableColumn id="3" xr3:uid="{10A95162-4729-8F43-9236-3B370904EF6E}" name="Cantidad" totalsRowDxfId="38" dataCellStyle="Moneda"/>
    <tableColumn id="4" xr3:uid="{62C902FA-A1CE-824D-A915-F7EFAFEB23E5}" name="Subtotal" totalsRowLabel="Subtotal" dataDxfId="37" totalsRowDxfId="36" dataCellStyle="Moneda">
      <calculatedColumnFormula>+'Servicios Cabina'!K65-3434</calculatedColumnFormula>
    </tableColumn>
    <tableColumn id="5" xr3:uid="{C6A7357F-DBEB-4E41-870F-B1757FB0C765}" name="Total" totalsRowFunction="custom" dataDxfId="35" totalsRowDxfId="34" dataCellStyle="Moneda">
      <calculatedColumnFormula>+DetallesFactura334657891011121323[[#This Row],[Cantidad]]*DetallesFactura334657891011121323[[#This Row],[Subtotal]]</calculatedColumnFormula>
      <totalsRowFormula>SUM(G12:G14)</totalsRowFormula>
    </tableColumn>
    <tableColumn id="6" xr3:uid="{65EF0BEF-B0D2-B74E-823A-4631FEA08E56}" name="Cabina mes anterior" totalsRowDxfId="33" dataCellStyle="Moneda">
      <calculatedColumnFormula>+'[9]Calculadora Enero-24'!$E$14</calculatedColumnFormula>
    </tableColumn>
  </tableColumns>
  <tableStyleInfo name="TableStyleMedium3" showFirstColumn="0" showLastColumn="0" showRowStripes="1" showColumnStripes="0"/>
  <extLst>
    <ext xmlns:x14="http://schemas.microsoft.com/office/spreadsheetml/2009/9/main" uri="{504A1905-F514-4f6f-8877-14C23A59335A}">
      <x14:table altTextSummary="Escriba la cantidad, la descripción y el precio por unidad en esta tabla. El descuento aplicado, el importe y el saldo vencido se calculan automáticamente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6AD248-A9FE-9243-8387-7D2A7DDC2D59}" name="DetallesFactura33465789101112132" displayName="DetallesFactura33465789101112132" ref="C11:H15" totalsRowCount="1" headerRowDxfId="32" headerRowBorderDxfId="31">
  <autoFilter ref="C11:H14" xr:uid="{8BD6DE27-343C-415E-A665-F3086E990181}"/>
  <tableColumns count="6">
    <tableColumn id="1" xr3:uid="{0F3EFB78-67FC-434D-BF4C-153FEF0AD117}" name="Item" totalsRowDxfId="30" dataCellStyle="Millares"/>
    <tableColumn id="2" xr3:uid="{D28CAB1D-91ED-6B44-AE3D-2B4A0CB0B4F7}" name="Concepto" totalsRowDxfId="29" dataCellStyle="Normal"/>
    <tableColumn id="3" xr3:uid="{17612E6A-40D2-1646-A114-3AC524EA8E64}" name="Cantidad" totalsRowDxfId="28" dataCellStyle="Moneda"/>
    <tableColumn id="4" xr3:uid="{E0E66BA6-9DBB-A941-A0C8-39A31C7BC77D}" name="Subtotal" totalsRowLabel="Subtotal" dataDxfId="27" totalsRowDxfId="26" dataCellStyle="Moneda">
      <calculatedColumnFormula>+'Servicios Cabina'!K65-3434</calculatedColumnFormula>
    </tableColumn>
    <tableColumn id="5" xr3:uid="{F73C3251-8F3E-014A-9F40-36EAFB6494EB}" name="Total" totalsRowFunction="custom" dataDxfId="25" totalsRowDxfId="24" dataCellStyle="Moneda">
      <calculatedColumnFormula>+DetallesFactura33465789101112132[[#This Row],[Cantidad]]*DetallesFactura33465789101112132[[#This Row],[Subtotal]]</calculatedColumnFormula>
      <totalsRowFormula>SUM(G12:G14)</totalsRowFormula>
    </tableColumn>
    <tableColumn id="6" xr3:uid="{CE9593B8-7630-BC41-A9D3-72475332BF23}" name="Cabina mes anterior" totalsRowDxfId="23" dataCellStyle="Moneda">
      <calculatedColumnFormula>+'[9]Calculadora Enero-24'!$E$14</calculatedColumnFormula>
    </tableColumn>
  </tableColumns>
  <tableStyleInfo name="TableStyleMedium3" showFirstColumn="0" showLastColumn="0" showRowStripes="1" showColumnStripes="0"/>
  <extLst>
    <ext xmlns:x14="http://schemas.microsoft.com/office/spreadsheetml/2009/9/main" uri="{504A1905-F514-4f6f-8877-14C23A59335A}">
      <x14:table altTextSummary="Escriba la cantidad, la descripción y el precio por unidad en esta tabla. El descuento aplicado, el importe y el saldo vencido se calculan automáticamente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6B2BBC8-5997-1A4E-9E0A-E199D1185DE7}" name="DetallesFactura3346578910111213" displayName="DetallesFactura3346578910111213" ref="C11:H15" totalsRowCount="1" headerRowDxfId="22" headerRowBorderDxfId="21">
  <autoFilter ref="C11:H14" xr:uid="{8BD6DE27-343C-415E-A665-F3086E990181}"/>
  <tableColumns count="6">
    <tableColumn id="1" xr3:uid="{01C6EE62-D3CD-A141-AFBD-2E8C70A03584}" name="Item" totalsRowDxfId="20" dataCellStyle="Millares"/>
    <tableColumn id="2" xr3:uid="{6E330811-70BA-2D47-AFC5-16F1DEA54925}" name="Concepto" totalsRowDxfId="19" dataCellStyle="Normal"/>
    <tableColumn id="3" xr3:uid="{B2312FD7-51FB-E943-A1D1-86E8258131E5}" name="Cantidad" totalsRowDxfId="18" dataCellStyle="Moneda"/>
    <tableColumn id="4" xr3:uid="{F706362E-7018-3744-A243-14303EF4C460}" name="Subtotal" totalsRowLabel="Subtotal" dataDxfId="17" totalsRowDxfId="16" dataCellStyle="Moneda">
      <calculatedColumnFormula>+'Servicios Cabina'!K65-3434</calculatedColumnFormula>
    </tableColumn>
    <tableColumn id="5" xr3:uid="{7A903C2C-BB7B-9846-94BB-5B7D4C46E3A2}" name="Total" totalsRowFunction="custom" dataDxfId="15" totalsRowDxfId="14" dataCellStyle="Moneda">
      <calculatedColumnFormula>+DetallesFactura3346578910111213[[#This Row],[Cantidad]]*DetallesFactura3346578910111213[[#This Row],[Subtotal]]</calculatedColumnFormula>
      <totalsRowFormula>SUM(G12:G14)</totalsRowFormula>
    </tableColumn>
    <tableColumn id="6" xr3:uid="{29042EE3-5DCD-DD48-8C1C-46B5EA4D7C8A}" name="Cabina mes anterior" totalsRowDxfId="13" dataCellStyle="Moneda">
      <calculatedColumnFormula>+'[9]Calculadora Enero-24'!$E$14</calculatedColumnFormula>
    </tableColumn>
  </tableColumns>
  <tableStyleInfo name="TableStyleMedium3" showFirstColumn="0" showLastColumn="0" showRowStripes="1" showColumnStripes="0"/>
  <extLst>
    <ext xmlns:x14="http://schemas.microsoft.com/office/spreadsheetml/2009/9/main" uri="{504A1905-F514-4f6f-8877-14C23A59335A}">
      <x14:table altTextSummary="Escriba la cantidad, la descripción y el precio por unidad en esta tabla. El descuento aplicado, el importe y el saldo vencido se calculan automáticamente"/>
    </ext>
  </extLst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F5C2E-C71A-1548-A398-14E7347FE5C7}">
  <dimension ref="A1:J21"/>
  <sheetViews>
    <sheetView showGridLines="0" tabSelected="1" zoomScale="108" zoomScaleNormal="70" workbookViewId="0">
      <selection activeCell="G12" sqref="G12"/>
    </sheetView>
  </sheetViews>
  <sheetFormatPr baseColWidth="10" defaultRowHeight="15" x14ac:dyDescent="0.2"/>
  <cols>
    <col min="1" max="1" width="2.6640625" customWidth="1"/>
    <col min="2" max="2" width="4.83203125" customWidth="1"/>
    <col min="3" max="3" width="9.5" bestFit="1" customWidth="1"/>
    <col min="4" max="4" width="35.6640625" bestFit="1" customWidth="1"/>
    <col min="5" max="5" width="17.33203125" customWidth="1"/>
    <col min="6" max="6" width="13.1640625" bestFit="1" customWidth="1"/>
    <col min="7" max="7" width="15.5" customWidth="1"/>
    <col min="8" max="8" width="16" customWidth="1"/>
    <col min="9" max="9" width="5.1640625" customWidth="1"/>
    <col min="10" max="10" width="10.83203125" style="179"/>
  </cols>
  <sheetData>
    <row r="1" spans="1:10" ht="16" thickBot="1" x14ac:dyDescent="0.25"/>
    <row r="2" spans="1:10" ht="16" thickBot="1" x14ac:dyDescent="0.25">
      <c r="B2" s="130"/>
      <c r="C2" s="131"/>
      <c r="D2" s="131"/>
      <c r="E2" s="131"/>
      <c r="F2" s="131"/>
      <c r="G2" s="131"/>
      <c r="H2" s="131"/>
      <c r="I2" s="132"/>
    </row>
    <row r="3" spans="1:10" ht="46" thickBot="1" x14ac:dyDescent="0.25">
      <c r="A3" s="133"/>
      <c r="B3" s="134"/>
      <c r="C3" s="184" t="s">
        <v>104</v>
      </c>
      <c r="D3" s="185"/>
      <c r="E3" s="185"/>
      <c r="F3" s="185"/>
      <c r="G3" s="185"/>
      <c r="H3" s="186"/>
      <c r="I3" s="135"/>
    </row>
    <row r="4" spans="1:10" ht="19" x14ac:dyDescent="0.2">
      <c r="A4" s="133"/>
      <c r="B4" s="134"/>
      <c r="C4" s="187"/>
      <c r="D4" s="188"/>
      <c r="E4" s="188"/>
      <c r="F4" s="188"/>
      <c r="G4" s="188"/>
      <c r="H4" s="136"/>
      <c r="I4" s="135"/>
    </row>
    <row r="5" spans="1:10" x14ac:dyDescent="0.2">
      <c r="A5" s="133"/>
      <c r="B5" s="134"/>
      <c r="C5" s="137"/>
      <c r="D5" s="133"/>
      <c r="E5" s="133"/>
      <c r="F5" s="138"/>
      <c r="G5" s="138"/>
      <c r="H5" s="139"/>
      <c r="I5" s="135"/>
    </row>
    <row r="6" spans="1:10" ht="16" x14ac:dyDescent="0.2">
      <c r="A6" s="138"/>
      <c r="B6" s="140"/>
      <c r="C6" s="141"/>
      <c r="D6" s="133"/>
      <c r="E6" s="142"/>
      <c r="F6" s="143" t="s">
        <v>105</v>
      </c>
      <c r="G6" s="144">
        <f ca="1">TODAY()</f>
        <v>45974</v>
      </c>
      <c r="H6" s="145"/>
      <c r="I6" s="135"/>
    </row>
    <row r="7" spans="1:10" ht="16" x14ac:dyDescent="0.2">
      <c r="A7" s="138"/>
      <c r="B7" s="140"/>
      <c r="C7" s="141"/>
      <c r="D7" s="133"/>
      <c r="E7" s="142"/>
      <c r="F7" s="143"/>
      <c r="G7" s="146"/>
      <c r="H7" s="147"/>
      <c r="I7" s="135"/>
    </row>
    <row r="8" spans="1:10" ht="16" x14ac:dyDescent="0.2">
      <c r="A8" s="138"/>
      <c r="B8" s="140"/>
      <c r="C8" s="148"/>
      <c r="D8" s="149"/>
      <c r="E8" s="142"/>
      <c r="F8" s="143"/>
      <c r="G8" s="146"/>
      <c r="H8" s="147"/>
      <c r="I8" s="135"/>
    </row>
    <row r="9" spans="1:10" ht="16" x14ac:dyDescent="0.2">
      <c r="A9" s="138"/>
      <c r="B9" s="140"/>
      <c r="C9" s="150"/>
      <c r="D9" s="149"/>
      <c r="E9" s="142"/>
      <c r="F9" s="143"/>
      <c r="G9" s="146"/>
      <c r="H9" s="147"/>
      <c r="I9" s="135"/>
    </row>
    <row r="10" spans="1:10" ht="16" thickBot="1" x14ac:dyDescent="0.25">
      <c r="A10" s="138"/>
      <c r="B10" s="140"/>
      <c r="C10" s="151"/>
      <c r="D10" s="152"/>
      <c r="E10" s="142"/>
      <c r="F10" s="153"/>
      <c r="G10" s="138"/>
      <c r="H10" s="139"/>
      <c r="I10" s="135"/>
    </row>
    <row r="11" spans="1:10" ht="35" thickBot="1" x14ac:dyDescent="0.25">
      <c r="A11" s="133"/>
      <c r="B11" s="134"/>
      <c r="C11" s="154" t="s">
        <v>106</v>
      </c>
      <c r="D11" s="155" t="s">
        <v>107</v>
      </c>
      <c r="E11" s="155" t="s">
        <v>108</v>
      </c>
      <c r="F11" s="155" t="s">
        <v>109</v>
      </c>
      <c r="G11" s="155" t="s">
        <v>110</v>
      </c>
      <c r="H11" s="156" t="s">
        <v>111</v>
      </c>
      <c r="I11" s="135"/>
    </row>
    <row r="12" spans="1:10" s="179" customFormat="1" ht="16" x14ac:dyDescent="0.2">
      <c r="A12" s="133"/>
      <c r="B12" s="134"/>
      <c r="C12" s="157">
        <v>1</v>
      </c>
      <c r="D12" s="158" t="s">
        <v>112</v>
      </c>
      <c r="E12" s="159">
        <v>1</v>
      </c>
      <c r="F12" s="160">
        <f>+'Servicios Cabina'!T65-3434</f>
        <v>20820.229138096998</v>
      </c>
      <c r="G12" s="161">
        <f>+DetallesFactura3346578910111213234[[#This Row],[Subtotal]]</f>
        <v>20820.229138096998</v>
      </c>
      <c r="H12" s="162">
        <v>19963.767483925996</v>
      </c>
      <c r="I12" s="135"/>
    </row>
    <row r="13" spans="1:10" s="179" customFormat="1" ht="16" x14ac:dyDescent="0.2">
      <c r="A13" s="133"/>
      <c r="B13" s="134"/>
      <c r="C13" s="157"/>
      <c r="D13" s="158"/>
      <c r="E13" s="159"/>
      <c r="F13" s="160"/>
      <c r="G13" s="161"/>
      <c r="H13" s="162">
        <f>+F12-H12</f>
        <v>856.46165417100201</v>
      </c>
      <c r="I13" s="135"/>
      <c r="J13" s="179" t="s">
        <v>130</v>
      </c>
    </row>
    <row r="14" spans="1:10" ht="16" x14ac:dyDescent="0.2">
      <c r="A14" s="133"/>
      <c r="B14" s="134"/>
      <c r="C14" s="157"/>
      <c r="D14" s="158"/>
      <c r="E14" s="164"/>
      <c r="F14" s="160"/>
      <c r="G14" s="161"/>
      <c r="H14" s="183">
        <f>+H13/G12</f>
        <v>4.1136034022019603E-2</v>
      </c>
      <c r="I14" s="135"/>
      <c r="J14"/>
    </row>
    <row r="15" spans="1:10" x14ac:dyDescent="0.2">
      <c r="A15" s="133"/>
      <c r="B15" s="134"/>
      <c r="C15" s="165"/>
      <c r="D15" s="166"/>
      <c r="E15" s="166"/>
      <c r="F15" s="167" t="s">
        <v>109</v>
      </c>
      <c r="G15" s="168">
        <f>SUM(G12:G14)</f>
        <v>20820.229138096998</v>
      </c>
      <c r="H15" s="169"/>
      <c r="I15" s="135"/>
    </row>
    <row r="16" spans="1:10" ht="16" thickBot="1" x14ac:dyDescent="0.25">
      <c r="A16" s="133"/>
      <c r="B16" s="134"/>
      <c r="C16" s="189"/>
      <c r="D16" s="190"/>
      <c r="E16" s="170"/>
      <c r="F16" s="171"/>
      <c r="G16" s="171"/>
      <c r="H16" s="172"/>
      <c r="I16" s="135"/>
    </row>
    <row r="17" spans="1:9" ht="17" thickBot="1" x14ac:dyDescent="0.25">
      <c r="A17" s="133"/>
      <c r="B17" s="173"/>
      <c r="C17" s="191"/>
      <c r="D17" s="191"/>
      <c r="E17" s="174"/>
      <c r="F17" s="175"/>
      <c r="G17" s="178"/>
      <c r="H17" s="176"/>
      <c r="I17" s="177"/>
    </row>
    <row r="19" spans="1:9" x14ac:dyDescent="0.2">
      <c r="G19" s="180"/>
    </row>
    <row r="20" spans="1:9" x14ac:dyDescent="0.2">
      <c r="G20" s="180"/>
    </row>
    <row r="21" spans="1:9" x14ac:dyDescent="0.2">
      <c r="G21" s="180"/>
    </row>
  </sheetData>
  <mergeCells count="4">
    <mergeCell ref="C3:H3"/>
    <mergeCell ref="C4:G4"/>
    <mergeCell ref="C16:D16"/>
    <mergeCell ref="C17:D17"/>
  </mergeCells>
  <dataValidations count="22">
    <dataValidation allowBlank="1" showInputMessage="1" showErrorMessage="1" prompt="Modifique el número de teléfono y la dirección de correo electrónico al final de este resumen de cuenta. Reemplace el nombre del contacto y el teléfono o dirección de correo electrónico entre paréntesis angulares (&lt;&gt;)." sqref="C16:D16" xr:uid="{7298A244-3EDB-5B46-ADAE-AD9B0547FBA2}"/>
    <dataValidation allowBlank="1" showInputMessage="1" showErrorMessage="1" prompt="El título de la hoja de cálculo se encuentra en esta celda. Escriba la fecha de la factura, el número de factura y la descripción del producto de la factura en las celdas comprendidas entre la F4, F5 y la F6" sqref="C3" xr:uid="{3DF0E0F9-5FC9-E545-9973-8746CF306DC0}"/>
    <dataValidation allowBlank="1" showInputMessage="1" showErrorMessage="1" prompt="Cree una factura de ventas en esta hoja de cálculo. Agregue el logotipo de la compañía en la celda de la derecha y los detalles de la factura en la tabla DetallesFactura a partir de la celda B10. El saldo pendiente se calcula automáticamente." sqref="A3:B3" xr:uid="{5B2F7EEC-0158-2943-94EC-D7C400418B57}"/>
    <dataValidation allowBlank="1" showInputMessage="1" showErrorMessage="1" prompt="Escriba la fecha de la factura en esta celda." sqref="G6:H6" xr:uid="{330EF4FC-5ADF-2748-B3C3-CD077E995232}"/>
    <dataValidation allowBlank="1" showInputMessage="1" showErrorMessage="1" prompt="Escriba el número de factura en esta celda." sqref="G7:H7" xr:uid="{7D9E83B4-EAA9-7341-A6A3-0B73A57E322E}"/>
    <dataValidation allowBlank="1" showInputMessage="1" showErrorMessage="1" prompt="Escriba la descripción del producto de la factura en esta celda." sqref="G8:H9" xr:uid="{C42AE014-CF5B-604F-A6A3-8B583BBA52CA}"/>
    <dataValidation allowBlank="1" showInputMessage="1" showErrorMessage="1" prompt="Escriba la descripción del producto de la factura en la celda de la derecha." sqref="F8:F9" xr:uid="{09E16D7B-E2FF-CD45-97B8-280DB19FCB2E}"/>
    <dataValidation allowBlank="1" showInputMessage="1" showErrorMessage="1" prompt="Escriba el número de factura en la celda de la derecha." sqref="F7" xr:uid="{337D10A3-986D-8C40-98AB-0D4E506D1318}"/>
    <dataValidation allowBlank="1" showInputMessage="1" showErrorMessage="1" prompt="Escriba la fecha de la factura en la celda de la derecha." sqref="F6" xr:uid="{D73A1110-409F-324E-8BCC-70F468FD936A}"/>
    <dataValidation allowBlank="1" showInputMessage="1" showErrorMessage="1" prompt="Escriba la dirección de correo electrónico de la compañía en esta celda." sqref="C10:D10" xr:uid="{E6D6D31F-1277-6C4D-B6F2-2BBDA20B710E}"/>
    <dataValidation allowBlank="1" showInputMessage="1" showErrorMessage="1" prompt="Escriba el número de fax en esta celda." sqref="C9:D9" xr:uid="{04BB3068-17FE-2749-B8E6-2F3033B6AFC7}"/>
    <dataValidation allowBlank="1" showInputMessage="1" showErrorMessage="1" prompt="Escriba el número de teléfono en esta celda." sqref="C8:D8" xr:uid="{E53DE802-6261-C44B-8FBE-7782AF925796}"/>
    <dataValidation allowBlank="1" showInputMessage="1" showErrorMessage="1" prompt="Escriba la ciudad, el estado y el código postal en esta celda." sqref="C7:D7" xr:uid="{A197D629-874C-BC41-B1A4-3CF6EB6D0C7E}"/>
    <dataValidation allowBlank="1" showInputMessage="1" showErrorMessage="1" prompt="Escriba la dirección de la empresa de facturación en esta celda." sqref="C6:D6" xr:uid="{1DA68285-4C08-3B4F-A28B-29372FE5B030}"/>
    <dataValidation allowBlank="1" showInputMessage="1" showErrorMessage="1" prompt="Escriba la cantidad en esta columna debajo de este encabezado. Use los filtros de encabezado para buscar entradas específicas." sqref="C11" xr:uid="{AB7CB675-5175-AB47-B5A6-308CC44BB849}"/>
    <dataValidation allowBlank="1" showInputMessage="1" showErrorMessage="1" prompt="Escriba la descripción en esta columna debajo de este encabezado." sqref="D11" xr:uid="{BB0699BC-968E-144C-8497-CCBA98739B93}"/>
    <dataValidation allowBlank="1" showInputMessage="1" showErrorMessage="1" prompt="Escriba el porcentaje de descuento adicional en esta celda." sqref="F16" xr:uid="{16123B0F-FAAA-1647-8EB6-DB42B1F94AD3}"/>
    <dataValidation allowBlank="1" showInputMessage="1" showErrorMessage="1" prompt="Escriba el porcentaje de descuento adicional en la celda de la derecha." sqref="E16" xr:uid="{487B4C1F-C338-544F-9C72-7548EF5D7A11}"/>
    <dataValidation allowBlank="1" showInputMessage="1" showErrorMessage="1" prompt="El saldo pendiente se calcula automáticamente en esta celda." sqref="F17" xr:uid="{A9FD5F4A-ADD8-1A41-AF6C-65CDE0AA718B}"/>
    <dataValidation allowBlank="1" showInputMessage="1" showErrorMessage="1" prompt="El saldo pendiente se calcula automáticamente en la celda de la derecha." sqref="E17" xr:uid="{4B23E62D-116A-8D45-8E77-0D916D929AC6}"/>
    <dataValidation allowBlank="1" showInputMessage="1" showErrorMessage="1" prompt="Escriba la descripción del elemento en esta columna" sqref="E11:F11" xr:uid="{FF14E5D8-0AA1-4A49-8A66-A2B7DD544E75}"/>
    <dataValidation allowBlank="1" showInputMessage="1" showErrorMessage="1" prompt="Escriba el importe en esta columna. Escriba el tipo impositivo y otros costes en las celdas situadas bajo la tabla para calcular el importe total y subtotal." sqref="G11:H11" xr:uid="{057A901A-2B81-5C48-AEB5-FE46A2DC3398}"/>
  </dataValidations>
  <pageMargins left="0.7" right="0.7" top="0.75" bottom="0.75" header="0.3" footer="0.3"/>
  <drawing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F84BBACC-D76B-9342-AE1E-B2B2696F02BF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G15:H15 H14 G12:G14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682A3-27BE-9444-BC03-E197E493BE9B}">
  <dimension ref="A1:J21"/>
  <sheetViews>
    <sheetView showGridLines="0" topLeftCell="C3" zoomScale="125" zoomScaleNormal="70" workbookViewId="0">
      <selection activeCell="G13" sqref="G13"/>
    </sheetView>
  </sheetViews>
  <sheetFormatPr baseColWidth="10" defaultRowHeight="15" x14ac:dyDescent="0.2"/>
  <cols>
    <col min="1" max="1" width="2.6640625" customWidth="1"/>
    <col min="2" max="2" width="4.83203125" customWidth="1"/>
    <col min="3" max="3" width="9.5" bestFit="1" customWidth="1"/>
    <col min="4" max="4" width="35.6640625" bestFit="1" customWidth="1"/>
    <col min="5" max="5" width="17.33203125" customWidth="1"/>
    <col min="6" max="6" width="13.1640625" bestFit="1" customWidth="1"/>
    <col min="7" max="7" width="15.5" customWidth="1"/>
    <col min="8" max="8" width="16" customWidth="1"/>
    <col min="9" max="9" width="5.1640625" customWidth="1"/>
    <col min="10" max="10" width="10.83203125" style="179"/>
  </cols>
  <sheetData>
    <row r="1" spans="1:10" ht="16" thickBot="1" x14ac:dyDescent="0.25"/>
    <row r="2" spans="1:10" ht="16" thickBot="1" x14ac:dyDescent="0.25">
      <c r="B2" s="130"/>
      <c r="C2" s="131"/>
      <c r="D2" s="131"/>
      <c r="E2" s="131"/>
      <c r="F2" s="131"/>
      <c r="G2" s="131"/>
      <c r="H2" s="131"/>
      <c r="I2" s="132"/>
    </row>
    <row r="3" spans="1:10" ht="46" thickBot="1" x14ac:dyDescent="0.25">
      <c r="A3" s="133"/>
      <c r="B3" s="134"/>
      <c r="C3" s="184" t="s">
        <v>104</v>
      </c>
      <c r="D3" s="185"/>
      <c r="E3" s="185"/>
      <c r="F3" s="185"/>
      <c r="G3" s="185"/>
      <c r="H3" s="186"/>
      <c r="I3" s="135"/>
    </row>
    <row r="4" spans="1:10" ht="19" x14ac:dyDescent="0.2">
      <c r="A4" s="133"/>
      <c r="B4" s="134"/>
      <c r="C4" s="187"/>
      <c r="D4" s="188"/>
      <c r="E4" s="188"/>
      <c r="F4" s="188"/>
      <c r="G4" s="188"/>
      <c r="H4" s="136"/>
      <c r="I4" s="135"/>
    </row>
    <row r="5" spans="1:10" x14ac:dyDescent="0.2">
      <c r="A5" s="133"/>
      <c r="B5" s="134"/>
      <c r="C5" s="137"/>
      <c r="D5" s="133"/>
      <c r="E5" s="133"/>
      <c r="F5" s="138"/>
      <c r="G5" s="138"/>
      <c r="H5" s="139"/>
      <c r="I5" s="135"/>
    </row>
    <row r="6" spans="1:10" ht="16" x14ac:dyDescent="0.2">
      <c r="A6" s="138"/>
      <c r="B6" s="140"/>
      <c r="C6" s="141"/>
      <c r="D6" s="133"/>
      <c r="E6" s="142"/>
      <c r="F6" s="143" t="s">
        <v>105</v>
      </c>
      <c r="G6" s="144">
        <f ca="1">TODAY()</f>
        <v>45974</v>
      </c>
      <c r="H6" s="145"/>
      <c r="I6" s="135"/>
    </row>
    <row r="7" spans="1:10" ht="16" x14ac:dyDescent="0.2">
      <c r="A7" s="138"/>
      <c r="B7" s="140"/>
      <c r="C7" s="141"/>
      <c r="D7" s="133"/>
      <c r="E7" s="142"/>
      <c r="F7" s="143"/>
      <c r="G7" s="146"/>
      <c r="H7" s="147"/>
      <c r="I7" s="135"/>
    </row>
    <row r="8" spans="1:10" ht="16" x14ac:dyDescent="0.2">
      <c r="A8" s="138"/>
      <c r="B8" s="140"/>
      <c r="C8" s="148"/>
      <c r="D8" s="149"/>
      <c r="E8" s="142"/>
      <c r="F8" s="143"/>
      <c r="G8" s="146"/>
      <c r="H8" s="147"/>
      <c r="I8" s="135"/>
    </row>
    <row r="9" spans="1:10" ht="16" x14ac:dyDescent="0.2">
      <c r="A9" s="138"/>
      <c r="B9" s="140"/>
      <c r="C9" s="150"/>
      <c r="D9" s="149"/>
      <c r="E9" s="142"/>
      <c r="F9" s="143"/>
      <c r="G9" s="146"/>
      <c r="H9" s="147"/>
      <c r="I9" s="135"/>
    </row>
    <row r="10" spans="1:10" ht="16" thickBot="1" x14ac:dyDescent="0.25">
      <c r="A10" s="138"/>
      <c r="B10" s="140"/>
      <c r="C10" s="151"/>
      <c r="D10" s="152"/>
      <c r="E10" s="142"/>
      <c r="F10" s="153"/>
      <c r="G10" s="138"/>
      <c r="H10" s="139"/>
      <c r="I10" s="135"/>
    </row>
    <row r="11" spans="1:10" ht="35" thickBot="1" x14ac:dyDescent="0.25">
      <c r="A11" s="133"/>
      <c r="B11" s="134"/>
      <c r="C11" s="154" t="s">
        <v>106</v>
      </c>
      <c r="D11" s="155" t="s">
        <v>107</v>
      </c>
      <c r="E11" s="155" t="s">
        <v>108</v>
      </c>
      <c r="F11" s="155" t="s">
        <v>109</v>
      </c>
      <c r="G11" s="155" t="s">
        <v>110</v>
      </c>
      <c r="H11" s="156" t="s">
        <v>111</v>
      </c>
      <c r="I11" s="135"/>
    </row>
    <row r="12" spans="1:10" s="179" customFormat="1" ht="16" x14ac:dyDescent="0.2">
      <c r="A12" s="133"/>
      <c r="B12" s="134"/>
      <c r="C12" s="157">
        <v>1</v>
      </c>
      <c r="D12" s="158" t="s">
        <v>112</v>
      </c>
      <c r="E12" s="159">
        <v>1</v>
      </c>
      <c r="F12" s="160">
        <f>+'Servicios Cabina'!O65-3434</f>
        <v>20882.933505424997</v>
      </c>
      <c r="G12" s="161">
        <f>+DetallesFactura334657891011121323[[#This Row],[Subtotal]]</f>
        <v>20882.933505424997</v>
      </c>
      <c r="H12" s="162">
        <v>21933.124384119375</v>
      </c>
      <c r="I12" s="135"/>
    </row>
    <row r="13" spans="1:10" s="179" customFormat="1" ht="16" x14ac:dyDescent="0.2">
      <c r="A13" s="133"/>
      <c r="B13" s="134"/>
      <c r="C13" s="157">
        <v>2</v>
      </c>
      <c r="D13" s="158" t="s">
        <v>132</v>
      </c>
      <c r="E13" s="159">
        <v>1</v>
      </c>
      <c r="F13" s="160">
        <f>-22282.2+21933.12</f>
        <v>-349.08000000000175</v>
      </c>
      <c r="G13" s="161">
        <f>+DetallesFactura334657891011121323[[#This Row],[Cantidad]]*DetallesFactura334657891011121323[[#This Row],[Subtotal]]</f>
        <v>-349.08000000000175</v>
      </c>
      <c r="H13" s="162">
        <f>+F12-H12</f>
        <v>-1050.1908786943786</v>
      </c>
      <c r="I13" s="135"/>
      <c r="J13" s="179" t="s">
        <v>130</v>
      </c>
    </row>
    <row r="14" spans="1:10" ht="16" x14ac:dyDescent="0.2">
      <c r="A14" s="133"/>
      <c r="B14" s="134"/>
      <c r="C14" s="157"/>
      <c r="D14" s="158"/>
      <c r="E14" s="164"/>
      <c r="F14" s="160"/>
      <c r="G14" s="161"/>
      <c r="H14" s="163">
        <f>+H13/G12</f>
        <v>-5.0289432680593396E-2</v>
      </c>
      <c r="I14" s="135"/>
      <c r="J14"/>
    </row>
    <row r="15" spans="1:10" x14ac:dyDescent="0.2">
      <c r="A15" s="133"/>
      <c r="B15" s="134"/>
      <c r="C15" s="165"/>
      <c r="D15" s="166"/>
      <c r="E15" s="166"/>
      <c r="F15" s="167" t="s">
        <v>109</v>
      </c>
      <c r="G15" s="168">
        <f>SUM(G12:G14)</f>
        <v>20533.853505424995</v>
      </c>
      <c r="H15" s="169"/>
      <c r="I15" s="135"/>
    </row>
    <row r="16" spans="1:10" ht="16" thickBot="1" x14ac:dyDescent="0.25">
      <c r="A16" s="133"/>
      <c r="B16" s="134"/>
      <c r="C16" s="189"/>
      <c r="D16" s="190"/>
      <c r="E16" s="170"/>
      <c r="F16" s="171"/>
      <c r="G16" s="171"/>
      <c r="H16" s="172"/>
      <c r="I16" s="135"/>
    </row>
    <row r="17" spans="1:9" ht="17" thickBot="1" x14ac:dyDescent="0.25">
      <c r="A17" s="133"/>
      <c r="B17" s="173"/>
      <c r="C17" s="191"/>
      <c r="D17" s="191"/>
      <c r="E17" s="174"/>
      <c r="F17" s="175"/>
      <c r="G17" s="178"/>
      <c r="H17" s="176"/>
      <c r="I17" s="177"/>
    </row>
    <row r="19" spans="1:9" x14ac:dyDescent="0.2">
      <c r="G19" s="180"/>
    </row>
    <row r="20" spans="1:9" x14ac:dyDescent="0.2">
      <c r="G20" s="180"/>
    </row>
    <row r="21" spans="1:9" x14ac:dyDescent="0.2">
      <c r="G21" s="180"/>
    </row>
  </sheetData>
  <mergeCells count="4">
    <mergeCell ref="C3:H3"/>
    <mergeCell ref="C4:G4"/>
    <mergeCell ref="C16:D16"/>
    <mergeCell ref="C17:D17"/>
  </mergeCells>
  <dataValidations count="22">
    <dataValidation allowBlank="1" showInputMessage="1" showErrorMessage="1" prompt="Escriba el importe en esta columna. Escriba el tipo impositivo y otros costes en las celdas situadas bajo la tabla para calcular el importe total y subtotal." sqref="G11:H11" xr:uid="{6263D667-2CD0-2A4B-98D4-2DC2130F5984}"/>
    <dataValidation allowBlank="1" showInputMessage="1" showErrorMessage="1" prompt="Escriba la descripción del elemento en esta columna" sqref="E11:F11" xr:uid="{A2733171-9410-BA49-BA5C-5433221ED19E}"/>
    <dataValidation allowBlank="1" showInputMessage="1" showErrorMessage="1" prompt="El saldo pendiente se calcula automáticamente en la celda de la derecha." sqref="E17" xr:uid="{3A8801C3-77D7-2741-BFA3-063570EFA75C}"/>
    <dataValidation allowBlank="1" showInputMessage="1" showErrorMessage="1" prompt="El saldo pendiente se calcula automáticamente en esta celda." sqref="F17" xr:uid="{D6FFC04E-D91D-E64C-A4D4-97E11150F298}"/>
    <dataValidation allowBlank="1" showInputMessage="1" showErrorMessage="1" prompt="Escriba el porcentaje de descuento adicional en la celda de la derecha." sqref="E16" xr:uid="{425BE743-F6BD-A94F-924D-24BB692E57DD}"/>
    <dataValidation allowBlank="1" showInputMessage="1" showErrorMessage="1" prompt="Escriba el porcentaje de descuento adicional en esta celda." sqref="F16" xr:uid="{A54D47D7-B076-8441-85A3-51F0D6917281}"/>
    <dataValidation allowBlank="1" showInputMessage="1" showErrorMessage="1" prompt="Escriba la descripción en esta columna debajo de este encabezado." sqref="D11" xr:uid="{0577E12E-BDFC-6942-8666-86B0015D5693}"/>
    <dataValidation allowBlank="1" showInputMessage="1" showErrorMessage="1" prompt="Escriba la cantidad en esta columna debajo de este encabezado. Use los filtros de encabezado para buscar entradas específicas." sqref="C11" xr:uid="{88D0ABCC-7958-DA4A-AAAB-D6A52C8F90CE}"/>
    <dataValidation allowBlank="1" showInputMessage="1" showErrorMessage="1" prompt="Escriba la dirección de la empresa de facturación en esta celda." sqref="C6:D6" xr:uid="{22F5D7F4-83D4-4A49-80BA-8CC7F85152D4}"/>
    <dataValidation allowBlank="1" showInputMessage="1" showErrorMessage="1" prompt="Escriba la ciudad, el estado y el código postal en esta celda." sqref="C7:D7" xr:uid="{5733FB87-FB2E-6A48-92A1-AC447624341C}"/>
    <dataValidation allowBlank="1" showInputMessage="1" showErrorMessage="1" prompt="Escriba el número de teléfono en esta celda." sqref="C8:D8" xr:uid="{B4718E08-EC2B-5340-8C08-AB25B5ABB3FF}"/>
    <dataValidation allowBlank="1" showInputMessage="1" showErrorMessage="1" prompt="Escriba el número de fax en esta celda." sqref="C9:D9" xr:uid="{4052447F-9210-C841-912F-D5D253BE3B7D}"/>
    <dataValidation allowBlank="1" showInputMessage="1" showErrorMessage="1" prompt="Escriba la dirección de correo electrónico de la compañía en esta celda." sqref="C10:D10" xr:uid="{1F0BC733-423D-BE41-93BB-41039C9F46EE}"/>
    <dataValidation allowBlank="1" showInputMessage="1" showErrorMessage="1" prompt="Escriba la fecha de la factura en la celda de la derecha." sqref="F6" xr:uid="{CD532583-2AA8-D445-AFA7-FC2672EA7769}"/>
    <dataValidation allowBlank="1" showInputMessage="1" showErrorMessage="1" prompt="Escriba el número de factura en la celda de la derecha." sqref="F7" xr:uid="{CE096ED5-DF8B-3E44-B647-755A299257DD}"/>
    <dataValidation allowBlank="1" showInputMessage="1" showErrorMessage="1" prompt="Escriba la descripción del producto de la factura en la celda de la derecha." sqref="F8:F9" xr:uid="{B17D4774-7D1F-FC45-9636-8456F2C42AE9}"/>
    <dataValidation allowBlank="1" showInputMessage="1" showErrorMessage="1" prompt="Escriba la descripción del producto de la factura en esta celda." sqref="G8:H9" xr:uid="{A3EAD0E6-88EC-DF4A-A5F3-48CBB569F511}"/>
    <dataValidation allowBlank="1" showInputMessage="1" showErrorMessage="1" prompt="Escriba el número de factura en esta celda." sqref="G7:H7" xr:uid="{D66735A3-303B-094B-A710-B1A83E066DBC}"/>
    <dataValidation allowBlank="1" showInputMessage="1" showErrorMessage="1" prompt="Escriba la fecha de la factura en esta celda." sqref="G6:H6" xr:uid="{FBB16C03-8B7B-9849-8433-6E63066D65F0}"/>
    <dataValidation allowBlank="1" showInputMessage="1" showErrorMessage="1" prompt="Cree una factura de ventas en esta hoja de cálculo. Agregue el logotipo de la compañía en la celda de la derecha y los detalles de la factura en la tabla DetallesFactura a partir de la celda B10. El saldo pendiente se calcula automáticamente." sqref="A3:B3" xr:uid="{DC54296E-EDD2-E94E-9FAC-4433C56E060F}"/>
    <dataValidation allowBlank="1" showInputMessage="1" showErrorMessage="1" prompt="El título de la hoja de cálculo se encuentra en esta celda. Escriba la fecha de la factura, el número de factura y la descripción del producto de la factura en las celdas comprendidas entre la F4, F5 y la F6" sqref="C3" xr:uid="{739FCDBF-D8D1-3F44-8E8B-1C425DC67495}"/>
    <dataValidation allowBlank="1" showInputMessage="1" showErrorMessage="1" prompt="Modifique el número de teléfono y la dirección de correo electrónico al final de este resumen de cuenta. Reemplace el nombre del contacto y el teléfono o dirección de correo electrónico entre paréntesis angulares (&lt;&gt;)." sqref="C16:D16" xr:uid="{6A8CFE0B-6805-7C49-B682-8121931A808E}"/>
  </dataValidations>
  <pageMargins left="0.7" right="0.7" top="0.75" bottom="0.75" header="0.3" footer="0.3"/>
  <drawing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CD728596-C024-4E4C-A49A-291ED697C350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G15:H15 H14 G12:G14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42EDB-7D53-0F45-9A3F-C97743EAF11D}">
  <dimension ref="A1:J21"/>
  <sheetViews>
    <sheetView showGridLines="0" topLeftCell="A2" zoomScaleNormal="70" workbookViewId="0">
      <selection activeCell="H12" sqref="H12"/>
    </sheetView>
  </sheetViews>
  <sheetFormatPr baseColWidth="10" defaultRowHeight="15" x14ac:dyDescent="0.2"/>
  <cols>
    <col min="1" max="1" width="2.6640625" customWidth="1"/>
    <col min="2" max="2" width="4.83203125" customWidth="1"/>
    <col min="3" max="3" width="9.5" bestFit="1" customWidth="1"/>
    <col min="4" max="4" width="27" bestFit="1" customWidth="1"/>
    <col min="5" max="5" width="17.33203125" customWidth="1"/>
    <col min="6" max="6" width="13.1640625" bestFit="1" customWidth="1"/>
    <col min="7" max="7" width="15.5" customWidth="1"/>
    <col min="8" max="8" width="16" customWidth="1"/>
    <col min="9" max="9" width="5.1640625" customWidth="1"/>
    <col min="10" max="10" width="10.83203125" style="179"/>
  </cols>
  <sheetData>
    <row r="1" spans="1:10" ht="16" thickBot="1" x14ac:dyDescent="0.25"/>
    <row r="2" spans="1:10" ht="16" thickBot="1" x14ac:dyDescent="0.25">
      <c r="B2" s="130"/>
      <c r="C2" s="131"/>
      <c r="D2" s="131"/>
      <c r="E2" s="131"/>
      <c r="F2" s="131"/>
      <c r="G2" s="131"/>
      <c r="H2" s="131"/>
      <c r="I2" s="132"/>
    </row>
    <row r="3" spans="1:10" ht="46" thickBot="1" x14ac:dyDescent="0.25">
      <c r="A3" s="133"/>
      <c r="B3" s="134"/>
      <c r="C3" s="184" t="s">
        <v>104</v>
      </c>
      <c r="D3" s="185"/>
      <c r="E3" s="185"/>
      <c r="F3" s="185"/>
      <c r="G3" s="185"/>
      <c r="H3" s="186"/>
      <c r="I3" s="135"/>
    </row>
    <row r="4" spans="1:10" ht="19" x14ac:dyDescent="0.2">
      <c r="A4" s="133"/>
      <c r="B4" s="134"/>
      <c r="C4" s="187"/>
      <c r="D4" s="188"/>
      <c r="E4" s="188"/>
      <c r="F4" s="188"/>
      <c r="G4" s="188"/>
      <c r="H4" s="136"/>
      <c r="I4" s="135"/>
    </row>
    <row r="5" spans="1:10" x14ac:dyDescent="0.2">
      <c r="A5" s="133"/>
      <c r="B5" s="134"/>
      <c r="C5" s="137"/>
      <c r="D5" s="133"/>
      <c r="E5" s="133"/>
      <c r="F5" s="138"/>
      <c r="G5" s="138"/>
      <c r="H5" s="139"/>
      <c r="I5" s="135"/>
    </row>
    <row r="6" spans="1:10" ht="16" x14ac:dyDescent="0.2">
      <c r="A6" s="138"/>
      <c r="B6" s="140"/>
      <c r="C6" s="141"/>
      <c r="D6" s="133"/>
      <c r="E6" s="142"/>
      <c r="F6" s="143" t="s">
        <v>105</v>
      </c>
      <c r="G6" s="144">
        <f ca="1">TODAY()</f>
        <v>45974</v>
      </c>
      <c r="H6" s="145"/>
      <c r="I6" s="135"/>
    </row>
    <row r="7" spans="1:10" ht="16" x14ac:dyDescent="0.2">
      <c r="A7" s="138"/>
      <c r="B7" s="140"/>
      <c r="C7" s="141"/>
      <c r="D7" s="133"/>
      <c r="E7" s="142"/>
      <c r="F7" s="143"/>
      <c r="G7" s="146"/>
      <c r="H7" s="147"/>
      <c r="I7" s="135"/>
    </row>
    <row r="8" spans="1:10" ht="16" x14ac:dyDescent="0.2">
      <c r="A8" s="138"/>
      <c r="B8" s="140"/>
      <c r="C8" s="148"/>
      <c r="D8" s="149"/>
      <c r="E8" s="142"/>
      <c r="F8" s="143"/>
      <c r="G8" s="146"/>
      <c r="H8" s="147"/>
      <c r="I8" s="135"/>
    </row>
    <row r="9" spans="1:10" ht="16" x14ac:dyDescent="0.2">
      <c r="A9" s="138"/>
      <c r="B9" s="140"/>
      <c r="C9" s="150"/>
      <c r="D9" s="149"/>
      <c r="E9" s="142"/>
      <c r="F9" s="143"/>
      <c r="G9" s="146"/>
      <c r="H9" s="147"/>
      <c r="I9" s="135"/>
    </row>
    <row r="10" spans="1:10" ht="16" thickBot="1" x14ac:dyDescent="0.25">
      <c r="A10" s="138"/>
      <c r="B10" s="140"/>
      <c r="C10" s="151"/>
      <c r="D10" s="152"/>
      <c r="E10" s="142"/>
      <c r="F10" s="153"/>
      <c r="G10" s="138"/>
      <c r="H10" s="139"/>
      <c r="I10" s="135"/>
    </row>
    <row r="11" spans="1:10" ht="35" thickBot="1" x14ac:dyDescent="0.25">
      <c r="A11" s="133"/>
      <c r="B11" s="134"/>
      <c r="C11" s="154" t="s">
        <v>106</v>
      </c>
      <c r="D11" s="155" t="s">
        <v>107</v>
      </c>
      <c r="E11" s="155" t="s">
        <v>108</v>
      </c>
      <c r="F11" s="155" t="s">
        <v>109</v>
      </c>
      <c r="G11" s="155" t="s">
        <v>110</v>
      </c>
      <c r="H11" s="156" t="s">
        <v>111</v>
      </c>
      <c r="I11" s="135"/>
    </row>
    <row r="12" spans="1:10" s="179" customFormat="1" ht="16" x14ac:dyDescent="0.2">
      <c r="A12" s="133"/>
      <c r="B12" s="134"/>
      <c r="C12" s="157">
        <v>1</v>
      </c>
      <c r="D12" s="158" t="s">
        <v>112</v>
      </c>
      <c r="E12" s="159">
        <v>1</v>
      </c>
      <c r="F12" s="160">
        <f>+'Servicios Cabina'!N65-3434</f>
        <v>19105.270395629748</v>
      </c>
      <c r="G12" s="161">
        <v>21933.124384119375</v>
      </c>
      <c r="H12" s="162">
        <v>21933.124384119375</v>
      </c>
      <c r="I12" s="135"/>
    </row>
    <row r="13" spans="1:10" s="179" customFormat="1" ht="16" x14ac:dyDescent="0.2">
      <c r="A13" s="133"/>
      <c r="B13" s="134"/>
      <c r="C13" s="157">
        <v>2</v>
      </c>
      <c r="D13" s="158" t="s">
        <v>113</v>
      </c>
      <c r="E13" s="159">
        <v>1</v>
      </c>
      <c r="F13" s="160">
        <v>0</v>
      </c>
      <c r="G13" s="161">
        <f>+DetallesFactura33465789101112132[[#This Row],[Cantidad]]*DetallesFactura33465789101112132[[#This Row],[Subtotal]]</f>
        <v>0</v>
      </c>
      <c r="H13" s="162">
        <f>+F12-H12</f>
        <v>-2827.8539884896272</v>
      </c>
      <c r="I13" s="135"/>
      <c r="J13" s="179" t="s">
        <v>130</v>
      </c>
    </row>
    <row r="14" spans="1:10" ht="16" x14ac:dyDescent="0.2">
      <c r="A14" s="133"/>
      <c r="B14" s="134"/>
      <c r="C14" s="157"/>
      <c r="D14" s="158"/>
      <c r="E14" s="164"/>
      <c r="F14" s="160"/>
      <c r="G14" s="161"/>
      <c r="H14" s="163">
        <f>+H13/G12</f>
        <v>-0.12893074141945449</v>
      </c>
      <c r="I14" s="135"/>
      <c r="J14"/>
    </row>
    <row r="15" spans="1:10" x14ac:dyDescent="0.2">
      <c r="A15" s="133"/>
      <c r="B15" s="134"/>
      <c r="C15" s="165"/>
      <c r="D15" s="166"/>
      <c r="E15" s="166"/>
      <c r="F15" s="167" t="s">
        <v>109</v>
      </c>
      <c r="G15" s="168">
        <f>SUM(G12:G14)</f>
        <v>21933.124384119375</v>
      </c>
      <c r="H15" s="169"/>
      <c r="I15" s="135"/>
    </row>
    <row r="16" spans="1:10" ht="16" thickBot="1" x14ac:dyDescent="0.25">
      <c r="A16" s="133"/>
      <c r="B16" s="134"/>
      <c r="C16" s="189"/>
      <c r="D16" s="190"/>
      <c r="E16" s="170"/>
      <c r="F16" s="171"/>
      <c r="G16" s="171"/>
      <c r="H16" s="172"/>
      <c r="I16" s="135"/>
    </row>
    <row r="17" spans="1:9" ht="17" thickBot="1" x14ac:dyDescent="0.25">
      <c r="A17" s="133"/>
      <c r="B17" s="173"/>
      <c r="C17" s="191"/>
      <c r="D17" s="191"/>
      <c r="E17" s="174"/>
      <c r="F17" s="175"/>
      <c r="G17" s="178"/>
      <c r="H17" s="176"/>
      <c r="I17" s="177"/>
    </row>
    <row r="19" spans="1:9" x14ac:dyDescent="0.2">
      <c r="G19" s="180"/>
    </row>
    <row r="20" spans="1:9" x14ac:dyDescent="0.2">
      <c r="G20" s="180"/>
    </row>
    <row r="21" spans="1:9" x14ac:dyDescent="0.2">
      <c r="G21" s="180">
        <f>+G12-22282.2</f>
        <v>-349.07561588062526</v>
      </c>
    </row>
  </sheetData>
  <mergeCells count="4">
    <mergeCell ref="C3:H3"/>
    <mergeCell ref="C4:G4"/>
    <mergeCell ref="C16:D16"/>
    <mergeCell ref="C17:D17"/>
  </mergeCells>
  <dataValidations count="22">
    <dataValidation allowBlank="1" showInputMessage="1" showErrorMessage="1" prompt="Modifique el número de teléfono y la dirección de correo electrónico al final de este resumen de cuenta. Reemplace el nombre del contacto y el teléfono o dirección de correo electrónico entre paréntesis angulares (&lt;&gt;)." sqref="C16:D16" xr:uid="{60CA5564-829B-5E45-9139-57B00E0ED913}"/>
    <dataValidation allowBlank="1" showInputMessage="1" showErrorMessage="1" prompt="El título de la hoja de cálculo se encuentra en esta celda. Escriba la fecha de la factura, el número de factura y la descripción del producto de la factura en las celdas comprendidas entre la F4, F5 y la F6" sqref="C3" xr:uid="{EB1296E9-4108-A542-B0C2-849780455C41}"/>
    <dataValidation allowBlank="1" showInputMessage="1" showErrorMessage="1" prompt="Cree una factura de ventas en esta hoja de cálculo. Agregue el logotipo de la compañía en la celda de la derecha y los detalles de la factura en la tabla DetallesFactura a partir de la celda B10. El saldo pendiente se calcula automáticamente." sqref="A3:B3" xr:uid="{47696F62-5D9F-4347-9C24-2C13F95FCB19}"/>
    <dataValidation allowBlank="1" showInputMessage="1" showErrorMessage="1" prompt="Escriba la fecha de la factura en esta celda." sqref="G6:H6" xr:uid="{8DFA78A3-AD97-1045-97F6-0DC40B8FF5E8}"/>
    <dataValidation allowBlank="1" showInputMessage="1" showErrorMessage="1" prompt="Escriba el número de factura en esta celda." sqref="G7:H7" xr:uid="{0AC43BE3-0EDE-824D-96A8-95814AF27EC7}"/>
    <dataValidation allowBlank="1" showInputMessage="1" showErrorMessage="1" prompt="Escriba la descripción del producto de la factura en esta celda." sqref="G8:H9" xr:uid="{7CF89D5C-7F8E-0544-A12F-1BE6D6FB3243}"/>
    <dataValidation allowBlank="1" showInputMessage="1" showErrorMessage="1" prompt="Escriba la descripción del producto de la factura en la celda de la derecha." sqref="F8:F9" xr:uid="{88007B65-89A3-8E4A-9B29-2C52758C43A5}"/>
    <dataValidation allowBlank="1" showInputMessage="1" showErrorMessage="1" prompt="Escriba el número de factura en la celda de la derecha." sqref="F7" xr:uid="{7B3D6904-D42A-3E4F-9A95-1A341A515F52}"/>
    <dataValidation allowBlank="1" showInputMessage="1" showErrorMessage="1" prompt="Escriba la fecha de la factura en la celda de la derecha." sqref="F6" xr:uid="{A8491614-4249-C84B-AE47-19F1276F67A6}"/>
    <dataValidation allowBlank="1" showInputMessage="1" showErrorMessage="1" prompt="Escriba la dirección de correo electrónico de la compañía en esta celda." sqref="C10:D10" xr:uid="{0923556C-3173-7647-B2BF-1D4802607621}"/>
    <dataValidation allowBlank="1" showInputMessage="1" showErrorMessage="1" prompt="Escriba el número de fax en esta celda." sqref="C9:D9" xr:uid="{5889D15A-D88B-7D48-BE83-25BAE4B8A84C}"/>
    <dataValidation allowBlank="1" showInputMessage="1" showErrorMessage="1" prompt="Escriba el número de teléfono en esta celda." sqref="C8:D8" xr:uid="{AFE3CD42-05EF-964A-BCDE-27C28B311D8F}"/>
    <dataValidation allowBlank="1" showInputMessage="1" showErrorMessage="1" prompt="Escriba la ciudad, el estado y el código postal en esta celda." sqref="C7:D7" xr:uid="{5E783904-8806-8446-9872-BA96B65B50B6}"/>
    <dataValidation allowBlank="1" showInputMessage="1" showErrorMessage="1" prompt="Escriba la dirección de la empresa de facturación en esta celda." sqref="C6:D6" xr:uid="{3BA01319-E6B5-924A-9ABF-F0AF576E7F05}"/>
    <dataValidation allowBlank="1" showInputMessage="1" showErrorMessage="1" prompt="Escriba la cantidad en esta columna debajo de este encabezado. Use los filtros de encabezado para buscar entradas específicas." sqref="C11" xr:uid="{FB5AFD4C-D46E-FA47-8FAF-B3A197779C0B}"/>
    <dataValidation allowBlank="1" showInputMessage="1" showErrorMessage="1" prompt="Escriba la descripción en esta columna debajo de este encabezado." sqref="D11" xr:uid="{9BB5DAC2-8AD4-FB47-852A-C4DCB373E3EE}"/>
    <dataValidation allowBlank="1" showInputMessage="1" showErrorMessage="1" prompt="Escriba el porcentaje de descuento adicional en esta celda." sqref="F16" xr:uid="{A2C1B628-F8C9-F048-879B-DB0EA93D0F07}"/>
    <dataValidation allowBlank="1" showInputMessage="1" showErrorMessage="1" prompt="Escriba el porcentaje de descuento adicional en la celda de la derecha." sqref="E16" xr:uid="{0B4334C0-E834-5A47-B993-E6CB2B637264}"/>
    <dataValidation allowBlank="1" showInputMessage="1" showErrorMessage="1" prompt="El saldo pendiente se calcula automáticamente en esta celda." sqref="F17" xr:uid="{EC7EA3C7-FA47-6A41-801A-DBC4443BBD6E}"/>
    <dataValidation allowBlank="1" showInputMessage="1" showErrorMessage="1" prompt="El saldo pendiente se calcula automáticamente en la celda de la derecha." sqref="E17" xr:uid="{259DAF31-1EAA-FE45-806A-B2EEC0D3B833}"/>
    <dataValidation allowBlank="1" showInputMessage="1" showErrorMessage="1" prompt="Escriba la descripción del elemento en esta columna" sqref="E11:F11" xr:uid="{AD0BC26C-63AD-3648-AAC0-A87F68BECB62}"/>
    <dataValidation allowBlank="1" showInputMessage="1" showErrorMessage="1" prompt="Escriba el importe en esta columna. Escriba el tipo impositivo y otros costes en las celdas situadas bajo la tabla para calcular el importe total y subtotal." sqref="G11:H11" xr:uid="{D26F9132-FE4F-1C4A-ABB5-53730757EAF7}"/>
  </dataValidations>
  <pageMargins left="0.7" right="0.7" top="0.75" bottom="0.75" header="0.3" footer="0.3"/>
  <drawing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F8452755-7429-5E4F-9621-0FEFDA5E0289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G15:H15 H14 G12:G14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30B26-3047-3846-B372-F51BDF8C9EF7}">
  <dimension ref="A1:J21"/>
  <sheetViews>
    <sheetView showGridLines="0" topLeftCell="C3" zoomScale="125" zoomScaleNormal="70" workbookViewId="0">
      <selection activeCell="H12" sqref="H12"/>
    </sheetView>
  </sheetViews>
  <sheetFormatPr baseColWidth="10" defaultRowHeight="15" x14ac:dyDescent="0.2"/>
  <cols>
    <col min="1" max="1" width="2.6640625" customWidth="1"/>
    <col min="2" max="2" width="4.83203125" customWidth="1"/>
    <col min="3" max="3" width="9.5" bestFit="1" customWidth="1"/>
    <col min="4" max="4" width="27" bestFit="1" customWidth="1"/>
    <col min="5" max="5" width="17.33203125" customWidth="1"/>
    <col min="6" max="6" width="13.1640625" bestFit="1" customWidth="1"/>
    <col min="7" max="7" width="15.5" customWidth="1"/>
    <col min="8" max="8" width="16" customWidth="1"/>
    <col min="9" max="9" width="5.1640625" customWidth="1"/>
    <col min="10" max="10" width="10.83203125" style="179"/>
  </cols>
  <sheetData>
    <row r="1" spans="1:10" ht="16" thickBot="1" x14ac:dyDescent="0.25"/>
    <row r="2" spans="1:10" ht="16" thickBot="1" x14ac:dyDescent="0.25">
      <c r="B2" s="130"/>
      <c r="C2" s="131"/>
      <c r="D2" s="131"/>
      <c r="E2" s="131"/>
      <c r="F2" s="131"/>
      <c r="G2" s="131"/>
      <c r="H2" s="131"/>
      <c r="I2" s="132"/>
    </row>
    <row r="3" spans="1:10" ht="46" thickBot="1" x14ac:dyDescent="0.25">
      <c r="A3" s="133"/>
      <c r="B3" s="134"/>
      <c r="C3" s="184" t="s">
        <v>104</v>
      </c>
      <c r="D3" s="185"/>
      <c r="E3" s="185"/>
      <c r="F3" s="185"/>
      <c r="G3" s="185"/>
      <c r="H3" s="186"/>
      <c r="I3" s="135"/>
    </row>
    <row r="4" spans="1:10" ht="19" x14ac:dyDescent="0.2">
      <c r="A4" s="133"/>
      <c r="B4" s="134"/>
      <c r="C4" s="187"/>
      <c r="D4" s="188"/>
      <c r="E4" s="188"/>
      <c r="F4" s="188"/>
      <c r="G4" s="188"/>
      <c r="H4" s="136"/>
      <c r="I4" s="135"/>
    </row>
    <row r="5" spans="1:10" x14ac:dyDescent="0.2">
      <c r="A5" s="133"/>
      <c r="B5" s="134"/>
      <c r="C5" s="137"/>
      <c r="D5" s="133"/>
      <c r="E5" s="133"/>
      <c r="F5" s="138"/>
      <c r="G5" s="138"/>
      <c r="H5" s="139"/>
      <c r="I5" s="135"/>
    </row>
    <row r="6" spans="1:10" ht="16" x14ac:dyDescent="0.2">
      <c r="A6" s="138"/>
      <c r="B6" s="140"/>
      <c r="C6" s="141"/>
      <c r="D6" s="133"/>
      <c r="E6" s="142"/>
      <c r="F6" s="143" t="s">
        <v>105</v>
      </c>
      <c r="G6" s="144">
        <f ca="1">TODAY()</f>
        <v>45974</v>
      </c>
      <c r="H6" s="145"/>
      <c r="I6" s="135"/>
    </row>
    <row r="7" spans="1:10" ht="16" x14ac:dyDescent="0.2">
      <c r="A7" s="138"/>
      <c r="B7" s="140"/>
      <c r="C7" s="141"/>
      <c r="D7" s="133"/>
      <c r="E7" s="142"/>
      <c r="F7" s="143"/>
      <c r="G7" s="146"/>
      <c r="H7" s="147"/>
      <c r="I7" s="135"/>
    </row>
    <row r="8" spans="1:10" ht="16" x14ac:dyDescent="0.2">
      <c r="A8" s="138"/>
      <c r="B8" s="140"/>
      <c r="C8" s="148"/>
      <c r="D8" s="149"/>
      <c r="E8" s="142"/>
      <c r="F8" s="143"/>
      <c r="G8" s="146"/>
      <c r="H8" s="147"/>
      <c r="I8" s="135"/>
    </row>
    <row r="9" spans="1:10" ht="16" x14ac:dyDescent="0.2">
      <c r="A9" s="138"/>
      <c r="B9" s="140"/>
      <c r="C9" s="150"/>
      <c r="D9" s="149"/>
      <c r="E9" s="142"/>
      <c r="F9" s="143"/>
      <c r="G9" s="146"/>
      <c r="H9" s="147"/>
      <c r="I9" s="135"/>
    </row>
    <row r="10" spans="1:10" ht="16" thickBot="1" x14ac:dyDescent="0.25">
      <c r="A10" s="138"/>
      <c r="B10" s="140"/>
      <c r="C10" s="151"/>
      <c r="D10" s="152"/>
      <c r="E10" s="142"/>
      <c r="F10" s="153"/>
      <c r="G10" s="138"/>
      <c r="H10" s="139"/>
      <c r="I10" s="135"/>
    </row>
    <row r="11" spans="1:10" ht="35" thickBot="1" x14ac:dyDescent="0.25">
      <c r="A11" s="133"/>
      <c r="B11" s="134"/>
      <c r="C11" s="154" t="s">
        <v>106</v>
      </c>
      <c r="D11" s="155" t="s">
        <v>107</v>
      </c>
      <c r="E11" s="155" t="s">
        <v>108</v>
      </c>
      <c r="F11" s="155" t="s">
        <v>109</v>
      </c>
      <c r="G11" s="155" t="s">
        <v>110</v>
      </c>
      <c r="H11" s="156" t="s">
        <v>111</v>
      </c>
      <c r="I11" s="135"/>
    </row>
    <row r="12" spans="1:10" s="179" customFormat="1" ht="16" x14ac:dyDescent="0.2">
      <c r="A12" s="133"/>
      <c r="B12" s="134"/>
      <c r="C12" s="157">
        <v>1</v>
      </c>
      <c r="D12" s="158" t="s">
        <v>112</v>
      </c>
      <c r="E12" s="159">
        <v>1</v>
      </c>
      <c r="F12" s="160">
        <f>+'Servicios Cabina'!M65-3434</f>
        <v>22067.567094803748</v>
      </c>
      <c r="G12" s="161">
        <f>+DetallesFactura3346578910111213[[#This Row],[Subtotal]]</f>
        <v>22067.567094803748</v>
      </c>
      <c r="H12" s="162">
        <v>21702.545200964625</v>
      </c>
      <c r="I12" s="135"/>
    </row>
    <row r="13" spans="1:10" s="179" customFormat="1" ht="16" x14ac:dyDescent="0.2">
      <c r="A13" s="133"/>
      <c r="B13" s="134"/>
      <c r="C13" s="157">
        <v>2</v>
      </c>
      <c r="D13" s="158" t="s">
        <v>113</v>
      </c>
      <c r="E13" s="159">
        <v>1</v>
      </c>
      <c r="F13" s="160">
        <v>0</v>
      </c>
      <c r="G13" s="161">
        <f>+DetallesFactura3346578910111213[[#This Row],[Cantidad]]*DetallesFactura3346578910111213[[#This Row],[Subtotal]]</f>
        <v>0</v>
      </c>
      <c r="H13" s="162">
        <f>+F12-H12</f>
        <v>365.02189383912264</v>
      </c>
      <c r="I13" s="135"/>
      <c r="J13" s="179" t="s">
        <v>130</v>
      </c>
    </row>
    <row r="14" spans="1:10" ht="16" x14ac:dyDescent="0.2">
      <c r="A14" s="133"/>
      <c r="B14" s="134"/>
      <c r="C14" s="157"/>
      <c r="D14" s="158"/>
      <c r="E14" s="164"/>
      <c r="F14" s="160"/>
      <c r="G14" s="161"/>
      <c r="H14" s="163">
        <f>+H13/G12</f>
        <v>1.6541102708375787E-2</v>
      </c>
      <c r="I14" s="135"/>
      <c r="J14"/>
    </row>
    <row r="15" spans="1:10" x14ac:dyDescent="0.2">
      <c r="A15" s="133"/>
      <c r="B15" s="134"/>
      <c r="C15" s="165"/>
      <c r="D15" s="166"/>
      <c r="E15" s="166"/>
      <c r="F15" s="167" t="s">
        <v>109</v>
      </c>
      <c r="G15" s="168">
        <f>SUM(G12:G14)</f>
        <v>22067.567094803748</v>
      </c>
      <c r="H15" s="169"/>
      <c r="I15" s="135"/>
    </row>
    <row r="16" spans="1:10" ht="16" thickBot="1" x14ac:dyDescent="0.25">
      <c r="A16" s="133"/>
      <c r="B16" s="134"/>
      <c r="C16" s="189"/>
      <c r="D16" s="190"/>
      <c r="E16" s="170"/>
      <c r="F16" s="171"/>
      <c r="G16" s="171"/>
      <c r="H16" s="172"/>
      <c r="I16" s="135"/>
    </row>
    <row r="17" spans="1:9" ht="17" thickBot="1" x14ac:dyDescent="0.25">
      <c r="A17" s="133"/>
      <c r="B17" s="173"/>
      <c r="C17" s="191"/>
      <c r="D17" s="191"/>
      <c r="E17" s="174"/>
      <c r="F17" s="175"/>
      <c r="G17" s="178"/>
      <c r="H17" s="176"/>
      <c r="I17" s="177"/>
    </row>
    <row r="19" spans="1:9" x14ac:dyDescent="0.2">
      <c r="G19" s="180"/>
    </row>
    <row r="20" spans="1:9" x14ac:dyDescent="0.2">
      <c r="G20" s="180"/>
    </row>
    <row r="21" spans="1:9" x14ac:dyDescent="0.2">
      <c r="G21" s="180"/>
    </row>
  </sheetData>
  <mergeCells count="4">
    <mergeCell ref="C3:H3"/>
    <mergeCell ref="C4:G4"/>
    <mergeCell ref="C16:D16"/>
    <mergeCell ref="C17:D17"/>
  </mergeCells>
  <dataValidations count="22">
    <dataValidation allowBlank="1" showInputMessage="1" showErrorMessage="1" prompt="Escriba el importe en esta columna. Escriba el tipo impositivo y otros costes en las celdas situadas bajo la tabla para calcular el importe total y subtotal." sqref="G11:H11" xr:uid="{8173B44C-B784-EC4C-8773-CE22F6A04CA3}"/>
    <dataValidation allowBlank="1" showInputMessage="1" showErrorMessage="1" prompt="Escriba la descripción del elemento en esta columna" sqref="E11:F11" xr:uid="{058A2C3A-5A2E-5049-AB54-30D4853F8386}"/>
    <dataValidation allowBlank="1" showInputMessage="1" showErrorMessage="1" prompt="El saldo pendiente se calcula automáticamente en la celda de la derecha." sqref="E17" xr:uid="{F2F93762-41A7-4A4D-8FFC-FCF90C53B4E0}"/>
    <dataValidation allowBlank="1" showInputMessage="1" showErrorMessage="1" prompt="El saldo pendiente se calcula automáticamente en esta celda." sqref="F17" xr:uid="{7274A1DE-4EF2-734A-8385-DAA2F0F78770}"/>
    <dataValidation allowBlank="1" showInputMessage="1" showErrorMessage="1" prompt="Escriba el porcentaje de descuento adicional en la celda de la derecha." sqref="E16" xr:uid="{2DC8DF1E-A6C7-9E41-B3D1-5ED64A663FDB}"/>
    <dataValidation allowBlank="1" showInputMessage="1" showErrorMessage="1" prompt="Escriba el porcentaje de descuento adicional en esta celda." sqref="F16" xr:uid="{B1682568-DB1A-E649-BA7C-24B6D9019CB7}"/>
    <dataValidation allowBlank="1" showInputMessage="1" showErrorMessage="1" prompt="Escriba la descripción en esta columna debajo de este encabezado." sqref="D11" xr:uid="{CD47E512-331F-B348-B897-DABF7CEBBB33}"/>
    <dataValidation allowBlank="1" showInputMessage="1" showErrorMessage="1" prompt="Escriba la cantidad en esta columna debajo de este encabezado. Use los filtros de encabezado para buscar entradas específicas." sqref="C11" xr:uid="{160C2104-75E7-FD4D-BA35-276A49A52C3C}"/>
    <dataValidation allowBlank="1" showInputMessage="1" showErrorMessage="1" prompt="Escriba la dirección de la empresa de facturación en esta celda." sqref="C6:D6" xr:uid="{0DF49763-0710-0F4B-85F2-9CD47EEEF6A7}"/>
    <dataValidation allowBlank="1" showInputMessage="1" showErrorMessage="1" prompt="Escriba la ciudad, el estado y el código postal en esta celda." sqref="C7:D7" xr:uid="{552E5075-B174-5042-B81E-E20435F057CB}"/>
    <dataValidation allowBlank="1" showInputMessage="1" showErrorMessage="1" prompt="Escriba el número de teléfono en esta celda." sqref="C8:D8" xr:uid="{4ABB3F6B-17D3-1140-A429-4946BFE5BACF}"/>
    <dataValidation allowBlank="1" showInputMessage="1" showErrorMessage="1" prompt="Escriba el número de fax en esta celda." sqref="C9:D9" xr:uid="{C056B477-5C0B-AE4A-A3F9-A9CFF03FA0B9}"/>
    <dataValidation allowBlank="1" showInputMessage="1" showErrorMessage="1" prompt="Escriba la dirección de correo electrónico de la compañía en esta celda." sqref="C10:D10" xr:uid="{0BC9A408-A234-634C-A8A3-BF3ACA12B29B}"/>
    <dataValidation allowBlank="1" showInputMessage="1" showErrorMessage="1" prompt="Escriba la fecha de la factura en la celda de la derecha." sqref="F6" xr:uid="{E73359CA-8A4B-414B-8010-F8679C14EB9C}"/>
    <dataValidation allowBlank="1" showInputMessage="1" showErrorMessage="1" prompt="Escriba el número de factura en la celda de la derecha." sqref="F7" xr:uid="{9C4B276D-C8AF-A540-A88E-3A50A1BDEA5A}"/>
    <dataValidation allowBlank="1" showInputMessage="1" showErrorMessage="1" prompt="Escriba la descripción del producto de la factura en la celda de la derecha." sqref="F8:F9" xr:uid="{57A88E54-13FE-7240-BD8A-D8003E8B2AEA}"/>
    <dataValidation allowBlank="1" showInputMessage="1" showErrorMessage="1" prompt="Escriba la descripción del producto de la factura en esta celda." sqref="G8:H9" xr:uid="{8452A4C3-E9BA-E845-9665-CB0B56956261}"/>
    <dataValidation allowBlank="1" showInputMessage="1" showErrorMessage="1" prompt="Escriba el número de factura en esta celda." sqref="G7:H7" xr:uid="{1D960335-E230-FB4D-A459-369017682F36}"/>
    <dataValidation allowBlank="1" showInputMessage="1" showErrorMessage="1" prompt="Escriba la fecha de la factura en esta celda." sqref="G6:H6" xr:uid="{35AC4D5E-AF8A-C248-BE46-FED8C991CDA0}"/>
    <dataValidation allowBlank="1" showInputMessage="1" showErrorMessage="1" prompt="Cree una factura de ventas en esta hoja de cálculo. Agregue el logotipo de la compañía en la celda de la derecha y los detalles de la factura en la tabla DetallesFactura a partir de la celda B10. El saldo pendiente se calcula automáticamente." sqref="A3:B3" xr:uid="{51335779-0E0D-0946-B94C-9616FAC8281A}"/>
    <dataValidation allowBlank="1" showInputMessage="1" showErrorMessage="1" prompt="El título de la hoja de cálculo se encuentra en esta celda. Escriba la fecha de la factura, el número de factura y la descripción del producto de la factura en las celdas comprendidas entre la F4, F5 y la F6" sqref="C3" xr:uid="{527172F5-9C30-A945-8B18-DDF826979E36}"/>
    <dataValidation allowBlank="1" showInputMessage="1" showErrorMessage="1" prompt="Modifique el número de teléfono y la dirección de correo electrónico al final de este resumen de cuenta. Reemplace el nombre del contacto y el teléfono o dirección de correo electrónico entre paréntesis angulares (&lt;&gt;)." sqref="C16:D16" xr:uid="{98BAF317-660E-874A-856B-499E9A58075A}"/>
  </dataValidations>
  <pageMargins left="0.7" right="0.7" top="0.75" bottom="0.75" header="0.3" footer="0.3"/>
  <drawing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618323D-7E94-E447-8E98-51A32DF2AFE9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G15:H15 H14 G12:G14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E8967-FF57-4AF1-8F11-0DB151DADBA9}">
  <dimension ref="A1:AA69"/>
  <sheetViews>
    <sheetView showGridLines="0" zoomScale="125" zoomScaleNormal="210" workbookViewId="0">
      <pane xSplit="10" ySplit="5" topLeftCell="R6" activePane="bottomRight" state="frozen"/>
      <selection pane="topRight" activeCell="K1" sqref="K1"/>
      <selection pane="bottomLeft" activeCell="A6" sqref="A6"/>
      <selection pane="bottomRight" activeCell="T9" sqref="T9"/>
    </sheetView>
  </sheetViews>
  <sheetFormatPr baseColWidth="10" defaultColWidth="11.5" defaultRowHeight="12" outlineLevelCol="1" x14ac:dyDescent="0.15"/>
  <cols>
    <col min="1" max="1" width="11.5" style="1"/>
    <col min="2" max="2" width="10.6640625" style="1" bestFit="1" customWidth="1"/>
    <col min="3" max="3" width="31.33203125" style="1" bestFit="1" customWidth="1"/>
    <col min="4" max="4" width="4.5" style="1" customWidth="1"/>
    <col min="5" max="10" width="12.1640625" style="1" hidden="1" customWidth="1" outlineLevel="1"/>
    <col min="11" max="11" width="12.1640625" style="1" bestFit="1" customWidth="1" collapsed="1"/>
    <col min="12" max="22" width="12.1640625" style="1" bestFit="1" customWidth="1"/>
    <col min="23" max="23" width="12.33203125" style="1" bestFit="1" customWidth="1"/>
    <col min="24" max="16384" width="11.5" style="1"/>
  </cols>
  <sheetData>
    <row r="1" spans="1:24" ht="12" customHeight="1" x14ac:dyDescent="0.15">
      <c r="D1" s="204" t="s">
        <v>0</v>
      </c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</row>
    <row r="2" spans="1:24" ht="12" customHeight="1" x14ac:dyDescent="0.15">
      <c r="C2" s="2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181">
        <v>9.5000000000000001E-2</v>
      </c>
    </row>
    <row r="3" spans="1:24" ht="12" customHeight="1" x14ac:dyDescent="0.15">
      <c r="C3" s="2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1">
        <v>1.095</v>
      </c>
    </row>
    <row r="4" spans="1:24" ht="12" customHeight="1" x14ac:dyDescent="0.15">
      <c r="C4" s="2"/>
    </row>
    <row r="5" spans="1:24" ht="14" x14ac:dyDescent="0.2">
      <c r="A5" s="3"/>
      <c r="B5" s="4" t="s">
        <v>117</v>
      </c>
      <c r="C5" s="5"/>
      <c r="D5" s="3"/>
      <c r="E5" s="6">
        <v>45138</v>
      </c>
      <c r="F5" s="6">
        <v>45169</v>
      </c>
      <c r="G5" s="6">
        <v>45199</v>
      </c>
      <c r="H5" s="6">
        <v>45230</v>
      </c>
      <c r="I5" s="6">
        <v>45260</v>
      </c>
      <c r="J5" s="6">
        <v>45291</v>
      </c>
      <c r="K5" s="6">
        <v>45688</v>
      </c>
      <c r="L5" s="6">
        <v>45716</v>
      </c>
      <c r="M5" s="6">
        <v>45747</v>
      </c>
      <c r="N5" s="6">
        <v>45777</v>
      </c>
      <c r="O5" s="6">
        <v>45808</v>
      </c>
      <c r="P5" s="6">
        <v>45838</v>
      </c>
      <c r="Q5" s="6">
        <v>45869</v>
      </c>
      <c r="R5" s="6">
        <v>45900</v>
      </c>
      <c r="S5" s="6">
        <v>45930</v>
      </c>
      <c r="T5" s="6">
        <v>45961</v>
      </c>
      <c r="U5" s="6">
        <v>45991</v>
      </c>
      <c r="V5" s="6">
        <v>46022</v>
      </c>
      <c r="W5" s="7"/>
    </row>
    <row r="6" spans="1:24" ht="15" x14ac:dyDescent="0.2">
      <c r="A6" s="209" t="s">
        <v>1</v>
      </c>
      <c r="B6" s="209"/>
      <c r="C6" s="44" t="s">
        <v>2</v>
      </c>
      <c r="D6" s="9"/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54">
        <f>+Indicadores!P17</f>
        <v>2533</v>
      </c>
      <c r="L6" s="54">
        <f>+Indicadores!Q17</f>
        <v>2310</v>
      </c>
      <c r="M6" s="54">
        <f>+Indicadores!R17</f>
        <v>2625</v>
      </c>
      <c r="N6" s="54">
        <f>+Indicadores!S17</f>
        <v>2237</v>
      </c>
      <c r="O6" s="54">
        <f>+Indicadores!T17</f>
        <v>2460</v>
      </c>
      <c r="P6" s="54">
        <f>+Indicadores!U17</f>
        <v>2218</v>
      </c>
      <c r="Q6" s="54">
        <f>+Indicadores!V17</f>
        <v>2351</v>
      </c>
      <c r="R6" s="54">
        <f>+Indicadores!W17</f>
        <v>2328</v>
      </c>
      <c r="S6" s="54">
        <f>+Indicadores!X17</f>
        <v>2472</v>
      </c>
      <c r="T6" s="54">
        <f>+Indicadores!Y17</f>
        <v>2554</v>
      </c>
      <c r="U6" s="54"/>
      <c r="V6" s="54"/>
      <c r="W6" s="11"/>
      <c r="X6"/>
    </row>
    <row r="7" spans="1:24" ht="15" x14ac:dyDescent="0.2">
      <c r="A7" s="210"/>
      <c r="B7" s="210"/>
      <c r="C7" s="8" t="s">
        <v>14</v>
      </c>
      <c r="D7" s="53"/>
      <c r="E7" s="10"/>
      <c r="F7" s="10"/>
      <c r="G7" s="10"/>
      <c r="H7" s="10"/>
      <c r="I7" s="10"/>
      <c r="J7" s="10"/>
      <c r="K7" s="10">
        <f t="shared" ref="K7:M7" si="0">+K6-K8</f>
        <v>658.57999999999993</v>
      </c>
      <c r="L7" s="10">
        <f t="shared" ref="L7" si="1">+L6-L8</f>
        <v>600.59999999999991</v>
      </c>
      <c r="M7" s="10">
        <f t="shared" si="0"/>
        <v>682.5</v>
      </c>
      <c r="N7" s="10">
        <f t="shared" ref="N7:O7" si="2">+N6-N8</f>
        <v>581.62000000000012</v>
      </c>
      <c r="O7" s="10">
        <f t="shared" si="2"/>
        <v>639.59999999999991</v>
      </c>
      <c r="P7" s="10">
        <f t="shared" ref="P7:Q7" si="3">+P6-P8</f>
        <v>576.68000000000006</v>
      </c>
      <c r="Q7" s="10">
        <f t="shared" si="3"/>
        <v>611.26</v>
      </c>
      <c r="R7" s="10">
        <f t="shared" ref="R7:S7" si="4">+R6-R8</f>
        <v>605.28</v>
      </c>
      <c r="S7" s="10">
        <f t="shared" si="4"/>
        <v>642.72</v>
      </c>
      <c r="T7" s="10">
        <f t="shared" ref="T7" si="5">+T6-T8</f>
        <v>664.04</v>
      </c>
      <c r="U7" s="10">
        <f t="shared" ref="T7:U7" si="6">+U6-U8</f>
        <v>0</v>
      </c>
      <c r="V7" s="10">
        <f t="shared" ref="V7" si="7">+V6-V8</f>
        <v>0</v>
      </c>
      <c r="W7" s="11"/>
      <c r="X7"/>
    </row>
    <row r="8" spans="1:24" ht="15" x14ac:dyDescent="0.2">
      <c r="A8" s="210"/>
      <c r="B8" s="210"/>
      <c r="C8" s="8" t="s">
        <v>15</v>
      </c>
      <c r="D8" s="53">
        <v>0.74</v>
      </c>
      <c r="E8" s="10"/>
      <c r="F8" s="10"/>
      <c r="G8" s="10"/>
      <c r="H8" s="10"/>
      <c r="I8" s="10"/>
      <c r="J8" s="10"/>
      <c r="K8" s="10">
        <f>+K6*D8</f>
        <v>1874.42</v>
      </c>
      <c r="L8" s="10">
        <f>+L6*D8</f>
        <v>1709.4</v>
      </c>
      <c r="M8" s="10">
        <f>+M6*D8</f>
        <v>1942.5</v>
      </c>
      <c r="N8" s="10">
        <f>+N6*D8</f>
        <v>1655.3799999999999</v>
      </c>
      <c r="O8" s="10">
        <f>+O6*D8</f>
        <v>1820.4</v>
      </c>
      <c r="P8" s="10">
        <f>+P6*D8</f>
        <v>1641.32</v>
      </c>
      <c r="Q8" s="10">
        <f>+Q6*D8</f>
        <v>1739.74</v>
      </c>
      <c r="R8" s="10">
        <f>+R6*D8</f>
        <v>1722.72</v>
      </c>
      <c r="S8" s="10">
        <f>+S6*D8</f>
        <v>1829.28</v>
      </c>
      <c r="T8" s="10">
        <f>+T6*D8</f>
        <v>1889.96</v>
      </c>
      <c r="U8" s="10">
        <f>+U6*D8</f>
        <v>0</v>
      </c>
      <c r="V8" s="10">
        <f>+V6*D8</f>
        <v>0</v>
      </c>
      <c r="W8" s="11"/>
      <c r="X8"/>
    </row>
    <row r="9" spans="1:24" ht="11.5" customHeight="1" x14ac:dyDescent="0.15">
      <c r="A9" s="210"/>
      <c r="B9" s="210"/>
      <c r="C9" s="8" t="s">
        <v>3</v>
      </c>
      <c r="D9" s="51">
        <v>0</v>
      </c>
      <c r="E9" s="10">
        <f t="shared" ref="E9:F9" si="8">E6*$D$9</f>
        <v>0</v>
      </c>
      <c r="F9" s="10">
        <f t="shared" si="8"/>
        <v>0</v>
      </c>
      <c r="G9" s="10">
        <f>G6*$D$9</f>
        <v>0</v>
      </c>
      <c r="H9" s="10">
        <f>H6*$D$9</f>
        <v>0</v>
      </c>
      <c r="I9" s="10">
        <f t="shared" ref="I9:J9" si="9">I6*$D$9</f>
        <v>0</v>
      </c>
      <c r="J9" s="10">
        <f t="shared" si="9"/>
        <v>0</v>
      </c>
      <c r="K9" s="10">
        <f>+Indicadores!P39</f>
        <v>11119</v>
      </c>
      <c r="L9" s="10">
        <f>+Indicadores!Q39</f>
        <v>9713</v>
      </c>
      <c r="M9" s="10">
        <f>+Indicadores!R39</f>
        <v>12772</v>
      </c>
      <c r="N9" s="10">
        <f>+Indicadores!S39</f>
        <v>11082</v>
      </c>
      <c r="O9" s="10">
        <f>+Indicadores!T39</f>
        <v>12419</v>
      </c>
      <c r="P9" s="10">
        <f>+Indicadores!U39</f>
        <v>11495</v>
      </c>
      <c r="Q9" s="10">
        <f>+Indicadores!V39</f>
        <v>11473</v>
      </c>
      <c r="R9" s="10">
        <f>+Indicadores!W39</f>
        <v>9303</v>
      </c>
      <c r="S9" s="10">
        <f>+Indicadores!X39</f>
        <v>9999</v>
      </c>
      <c r="T9" s="10">
        <f>+Indicadores!Y39</f>
        <v>10836</v>
      </c>
      <c r="U9" s="10"/>
      <c r="V9" s="10"/>
      <c r="W9" s="11"/>
    </row>
    <row r="10" spans="1:24" ht="11.5" customHeight="1" x14ac:dyDescent="0.15">
      <c r="A10" s="210"/>
      <c r="B10" s="210"/>
      <c r="C10" s="8" t="s">
        <v>4</v>
      </c>
      <c r="D10" s="52">
        <v>0</v>
      </c>
      <c r="E10" s="10">
        <f t="shared" ref="E10:F10" si="10">E6*$D$10</f>
        <v>0</v>
      </c>
      <c r="F10" s="10">
        <f t="shared" si="10"/>
        <v>0</v>
      </c>
      <c r="G10" s="10">
        <f>G6*$D$10</f>
        <v>0</v>
      </c>
      <c r="H10" s="10">
        <f>H6*$D$10</f>
        <v>0</v>
      </c>
      <c r="I10" s="10">
        <f>I6*$D$10</f>
        <v>0</v>
      </c>
      <c r="J10" s="10">
        <f>J6*$D$10</f>
        <v>0</v>
      </c>
      <c r="K10" s="10">
        <f>+Indicadores!P27</f>
        <v>513</v>
      </c>
      <c r="L10" s="10">
        <f>+Indicadores!Q27</f>
        <v>352</v>
      </c>
      <c r="M10" s="10">
        <f>+Indicadores!R27</f>
        <v>447</v>
      </c>
      <c r="N10" s="10">
        <f>+Indicadores!S27</f>
        <v>438</v>
      </c>
      <c r="O10" s="10">
        <f>+Indicadores!T27</f>
        <v>416</v>
      </c>
      <c r="P10" s="10">
        <f>+Indicadores!U27</f>
        <v>384</v>
      </c>
      <c r="Q10" s="10">
        <f>+Indicadores!V27</f>
        <v>355</v>
      </c>
      <c r="R10" s="10">
        <f>+Indicadores!W27</f>
        <v>353</v>
      </c>
      <c r="S10" s="10">
        <f>+Indicadores!X27</f>
        <v>414</v>
      </c>
      <c r="T10" s="10">
        <f>+Indicadores!Y27</f>
        <v>429</v>
      </c>
      <c r="U10" s="10"/>
      <c r="V10" s="10"/>
      <c r="W10" s="11"/>
    </row>
    <row r="11" spans="1:24" x14ac:dyDescent="0.1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4" x14ac:dyDescent="0.15">
      <c r="A12" s="11"/>
      <c r="B12" s="11"/>
      <c r="C12" s="11"/>
      <c r="D12" s="11"/>
      <c r="E12" s="12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spans="1:24" x14ac:dyDescent="0.15">
      <c r="A13" s="11"/>
      <c r="B13" s="11"/>
      <c r="C13" s="11"/>
      <c r="D13" s="11"/>
      <c r="E13" s="12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 spans="1:24" x14ac:dyDescent="0.15">
      <c r="A14" s="11"/>
      <c r="B14" s="11"/>
      <c r="C14" s="13"/>
      <c r="D14" s="13"/>
      <c r="E14" s="14"/>
      <c r="F14" s="13"/>
      <c r="G14" s="13"/>
      <c r="H14" s="13"/>
      <c r="I14" s="13"/>
      <c r="J14" s="13"/>
      <c r="K14" s="13"/>
      <c r="L14" s="13"/>
      <c r="M14" s="13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pans="1:24" x14ac:dyDescent="0.15">
      <c r="A15" s="199" t="s">
        <v>5</v>
      </c>
      <c r="B15" s="15"/>
      <c r="C15" s="16"/>
      <c r="D15" s="17"/>
      <c r="E15" s="18">
        <f t="shared" ref="E15:J15" si="11">E6</f>
        <v>0</v>
      </c>
      <c r="F15" s="18">
        <f t="shared" si="11"/>
        <v>0</v>
      </c>
      <c r="G15" s="18">
        <f t="shared" si="11"/>
        <v>0</v>
      </c>
      <c r="H15" s="18">
        <f t="shared" si="11"/>
        <v>0</v>
      </c>
      <c r="I15" s="18">
        <f t="shared" si="11"/>
        <v>0</v>
      </c>
      <c r="J15" s="18">
        <f t="shared" si="11"/>
        <v>0</v>
      </c>
      <c r="K15" s="18">
        <f t="shared" ref="K15:V15" si="12">K6</f>
        <v>2533</v>
      </c>
      <c r="L15" s="18">
        <f t="shared" si="12"/>
        <v>2310</v>
      </c>
      <c r="M15" s="18">
        <f t="shared" si="12"/>
        <v>2625</v>
      </c>
      <c r="N15" s="18">
        <f t="shared" si="12"/>
        <v>2237</v>
      </c>
      <c r="O15" s="18">
        <f t="shared" si="12"/>
        <v>2460</v>
      </c>
      <c r="P15" s="18">
        <f t="shared" si="12"/>
        <v>2218</v>
      </c>
      <c r="Q15" s="18">
        <f t="shared" si="12"/>
        <v>2351</v>
      </c>
      <c r="R15" s="18">
        <f t="shared" si="12"/>
        <v>2328</v>
      </c>
      <c r="S15" s="18">
        <f t="shared" si="12"/>
        <v>2472</v>
      </c>
      <c r="T15" s="18">
        <f t="shared" si="12"/>
        <v>2554</v>
      </c>
      <c r="U15" s="18">
        <f t="shared" si="12"/>
        <v>0</v>
      </c>
      <c r="V15" s="19">
        <f t="shared" si="12"/>
        <v>0</v>
      </c>
      <c r="W15" s="11"/>
    </row>
    <row r="16" spans="1:24" x14ac:dyDescent="0.15">
      <c r="A16" s="199"/>
      <c r="B16" s="205" t="s">
        <v>6</v>
      </c>
      <c r="C16" s="206"/>
      <c r="D16" s="11"/>
      <c r="E16" s="207" t="s">
        <v>7</v>
      </c>
      <c r="F16" s="207"/>
      <c r="G16" s="207"/>
      <c r="H16" s="207"/>
      <c r="I16" s="207"/>
      <c r="J16" s="207"/>
      <c r="K16" s="207"/>
      <c r="L16" s="207"/>
      <c r="M16" s="207"/>
      <c r="N16" s="207"/>
      <c r="O16" s="207"/>
      <c r="P16" s="207"/>
      <c r="Q16" s="207"/>
      <c r="R16" s="207"/>
      <c r="S16" s="207"/>
      <c r="T16" s="207"/>
      <c r="U16" s="207"/>
      <c r="V16" s="206"/>
      <c r="W16" s="11"/>
    </row>
    <row r="17" spans="1:23" x14ac:dyDescent="0.15">
      <c r="A17" s="199"/>
      <c r="B17" s="20">
        <v>0</v>
      </c>
      <c r="C17" s="21">
        <v>50</v>
      </c>
      <c r="D17" s="11"/>
      <c r="E17" s="22">
        <f>IF(E$15&gt;$C17,$C17-$B17,IF(AND($B17&lt;E$15,E$15&lt;$C17),E$15-$B17,IF(E$15=$C17,$C17-$B17,0)))</f>
        <v>0</v>
      </c>
      <c r="F17" s="22">
        <f t="shared" ref="F17:V17" si="13">IF(F$15&gt;$C17,$C17-$B17,IF(AND($B17&lt;F$15,F$15&lt;$C17),F$15-$B17,IF(F$15=$C17,$C17-$B17,0)))</f>
        <v>0</v>
      </c>
      <c r="G17" s="22">
        <f t="shared" si="13"/>
        <v>0</v>
      </c>
      <c r="H17" s="22">
        <f t="shared" si="13"/>
        <v>0</v>
      </c>
      <c r="I17" s="22">
        <f t="shared" si="13"/>
        <v>0</v>
      </c>
      <c r="J17" s="22">
        <f t="shared" si="13"/>
        <v>0</v>
      </c>
      <c r="K17" s="22">
        <f>IF(K$15&gt;$C17,$C17-$B17,IF(AND($B17&lt;K$15,K$15&lt;$C17),K$15-$B17,IF(K$15=$C17,$C17-$B17,0)))</f>
        <v>50</v>
      </c>
      <c r="L17" s="22">
        <f t="shared" si="13"/>
        <v>50</v>
      </c>
      <c r="M17" s="22">
        <f t="shared" si="13"/>
        <v>50</v>
      </c>
      <c r="N17" s="22">
        <f t="shared" si="13"/>
        <v>50</v>
      </c>
      <c r="O17" s="22">
        <f t="shared" si="13"/>
        <v>50</v>
      </c>
      <c r="P17" s="22">
        <f t="shared" si="13"/>
        <v>50</v>
      </c>
      <c r="Q17" s="22">
        <f t="shared" si="13"/>
        <v>50</v>
      </c>
      <c r="R17" s="22">
        <f t="shared" si="13"/>
        <v>50</v>
      </c>
      <c r="S17" s="22">
        <f t="shared" si="13"/>
        <v>50</v>
      </c>
      <c r="T17" s="22">
        <f t="shared" si="13"/>
        <v>50</v>
      </c>
      <c r="U17" s="22">
        <f t="shared" si="13"/>
        <v>0</v>
      </c>
      <c r="V17" s="22">
        <f t="shared" si="13"/>
        <v>0</v>
      </c>
      <c r="W17" s="11"/>
    </row>
    <row r="18" spans="1:23" x14ac:dyDescent="0.15">
      <c r="A18" s="199"/>
      <c r="B18" s="20">
        <f t="shared" ref="B18:B26" si="14">C17</f>
        <v>50</v>
      </c>
      <c r="C18" s="21">
        <v>500</v>
      </c>
      <c r="D18" s="11"/>
      <c r="E18" s="22">
        <f t="shared" ref="E18:V25" si="15">IF(E$15&gt;$C18,$C18-$B18,IF(AND($B18&lt;E$15,E$15&lt;$C18),E$15-$B18,IF(E$15=$C18,$C18-$B18,0)))</f>
        <v>0</v>
      </c>
      <c r="F18" s="22">
        <f t="shared" si="15"/>
        <v>0</v>
      </c>
      <c r="G18" s="22">
        <f t="shared" si="15"/>
        <v>0</v>
      </c>
      <c r="H18" s="22">
        <f t="shared" si="15"/>
        <v>0</v>
      </c>
      <c r="I18" s="22">
        <f t="shared" si="15"/>
        <v>0</v>
      </c>
      <c r="J18" s="22">
        <f t="shared" si="15"/>
        <v>0</v>
      </c>
      <c r="K18" s="22">
        <f t="shared" si="15"/>
        <v>450</v>
      </c>
      <c r="L18" s="22">
        <f t="shared" si="15"/>
        <v>450</v>
      </c>
      <c r="M18" s="22">
        <f t="shared" si="15"/>
        <v>450</v>
      </c>
      <c r="N18" s="22">
        <f t="shared" si="15"/>
        <v>450</v>
      </c>
      <c r="O18" s="22">
        <f t="shared" si="15"/>
        <v>450</v>
      </c>
      <c r="P18" s="22">
        <f t="shared" si="15"/>
        <v>450</v>
      </c>
      <c r="Q18" s="22">
        <f t="shared" si="15"/>
        <v>450</v>
      </c>
      <c r="R18" s="22">
        <f t="shared" si="15"/>
        <v>450</v>
      </c>
      <c r="S18" s="22">
        <f t="shared" si="15"/>
        <v>450</v>
      </c>
      <c r="T18" s="22">
        <f t="shared" si="15"/>
        <v>450</v>
      </c>
      <c r="U18" s="22">
        <f t="shared" si="15"/>
        <v>0</v>
      </c>
      <c r="V18" s="22">
        <f t="shared" si="15"/>
        <v>0</v>
      </c>
      <c r="W18" s="11"/>
    </row>
    <row r="19" spans="1:23" x14ac:dyDescent="0.15">
      <c r="A19" s="199"/>
      <c r="B19" s="20">
        <f t="shared" si="14"/>
        <v>500</v>
      </c>
      <c r="C19" s="21">
        <v>1000</v>
      </c>
      <c r="D19" s="11"/>
      <c r="E19" s="22">
        <f t="shared" si="15"/>
        <v>0</v>
      </c>
      <c r="F19" s="22">
        <f t="shared" si="15"/>
        <v>0</v>
      </c>
      <c r="G19" s="22">
        <f t="shared" si="15"/>
        <v>0</v>
      </c>
      <c r="H19" s="22">
        <f t="shared" si="15"/>
        <v>0</v>
      </c>
      <c r="I19" s="22">
        <f t="shared" si="15"/>
        <v>0</v>
      </c>
      <c r="J19" s="22">
        <f t="shared" si="15"/>
        <v>0</v>
      </c>
      <c r="K19" s="22">
        <f t="shared" si="15"/>
        <v>500</v>
      </c>
      <c r="L19" s="22">
        <f t="shared" si="15"/>
        <v>500</v>
      </c>
      <c r="M19" s="22">
        <f t="shared" si="15"/>
        <v>500</v>
      </c>
      <c r="N19" s="22">
        <f t="shared" si="15"/>
        <v>500</v>
      </c>
      <c r="O19" s="22">
        <f t="shared" si="15"/>
        <v>500</v>
      </c>
      <c r="P19" s="22">
        <f t="shared" si="15"/>
        <v>500</v>
      </c>
      <c r="Q19" s="22">
        <f t="shared" si="15"/>
        <v>500</v>
      </c>
      <c r="R19" s="22">
        <f t="shared" si="15"/>
        <v>500</v>
      </c>
      <c r="S19" s="22">
        <f t="shared" si="15"/>
        <v>500</v>
      </c>
      <c r="T19" s="22">
        <f t="shared" si="15"/>
        <v>500</v>
      </c>
      <c r="U19" s="22">
        <f t="shared" si="15"/>
        <v>0</v>
      </c>
      <c r="V19" s="22">
        <f t="shared" si="15"/>
        <v>0</v>
      </c>
      <c r="W19" s="11"/>
    </row>
    <row r="20" spans="1:23" x14ac:dyDescent="0.15">
      <c r="A20" s="199"/>
      <c r="B20" s="20">
        <f t="shared" si="14"/>
        <v>1000</v>
      </c>
      <c r="C20" s="21">
        <v>2000</v>
      </c>
      <c r="D20" s="11"/>
      <c r="E20" s="22">
        <f t="shared" si="15"/>
        <v>0</v>
      </c>
      <c r="F20" s="22">
        <f t="shared" si="15"/>
        <v>0</v>
      </c>
      <c r="G20" s="22">
        <f t="shared" si="15"/>
        <v>0</v>
      </c>
      <c r="H20" s="22">
        <f t="shared" si="15"/>
        <v>0</v>
      </c>
      <c r="I20" s="22">
        <f t="shared" si="15"/>
        <v>0</v>
      </c>
      <c r="J20" s="22">
        <f t="shared" si="15"/>
        <v>0</v>
      </c>
      <c r="K20" s="22">
        <f t="shared" si="15"/>
        <v>1000</v>
      </c>
      <c r="L20" s="22">
        <f t="shared" si="15"/>
        <v>1000</v>
      </c>
      <c r="M20" s="22">
        <f t="shared" si="15"/>
        <v>1000</v>
      </c>
      <c r="N20" s="22">
        <f t="shared" si="15"/>
        <v>1000</v>
      </c>
      <c r="O20" s="22">
        <f t="shared" si="15"/>
        <v>1000</v>
      </c>
      <c r="P20" s="22">
        <f t="shared" si="15"/>
        <v>1000</v>
      </c>
      <c r="Q20" s="22">
        <f t="shared" si="15"/>
        <v>1000</v>
      </c>
      <c r="R20" s="22">
        <f t="shared" si="15"/>
        <v>1000</v>
      </c>
      <c r="S20" s="22">
        <f t="shared" si="15"/>
        <v>1000</v>
      </c>
      <c r="T20" s="22">
        <f t="shared" si="15"/>
        <v>1000</v>
      </c>
      <c r="U20" s="22">
        <f t="shared" si="15"/>
        <v>0</v>
      </c>
      <c r="V20" s="22">
        <f t="shared" si="15"/>
        <v>0</v>
      </c>
      <c r="W20" s="11"/>
    </row>
    <row r="21" spans="1:23" x14ac:dyDescent="0.15">
      <c r="A21" s="199"/>
      <c r="B21" s="20">
        <f t="shared" si="14"/>
        <v>2000</v>
      </c>
      <c r="C21" s="21">
        <v>3000</v>
      </c>
      <c r="D21" s="11"/>
      <c r="E21" s="22">
        <f t="shared" si="15"/>
        <v>0</v>
      </c>
      <c r="F21" s="22">
        <f t="shared" si="15"/>
        <v>0</v>
      </c>
      <c r="G21" s="22">
        <f t="shared" si="15"/>
        <v>0</v>
      </c>
      <c r="H21" s="22">
        <f t="shared" si="15"/>
        <v>0</v>
      </c>
      <c r="I21" s="22">
        <f t="shared" si="15"/>
        <v>0</v>
      </c>
      <c r="J21" s="22">
        <f t="shared" si="15"/>
        <v>0</v>
      </c>
      <c r="K21" s="22">
        <f t="shared" si="15"/>
        <v>533</v>
      </c>
      <c r="L21" s="22">
        <f t="shared" si="15"/>
        <v>310</v>
      </c>
      <c r="M21" s="22">
        <f t="shared" si="15"/>
        <v>625</v>
      </c>
      <c r="N21" s="22">
        <f t="shared" si="15"/>
        <v>237</v>
      </c>
      <c r="O21" s="22">
        <f t="shared" si="15"/>
        <v>460</v>
      </c>
      <c r="P21" s="22">
        <f t="shared" si="15"/>
        <v>218</v>
      </c>
      <c r="Q21" s="22">
        <f t="shared" si="15"/>
        <v>351</v>
      </c>
      <c r="R21" s="22">
        <f t="shared" si="15"/>
        <v>328</v>
      </c>
      <c r="S21" s="22">
        <f t="shared" si="15"/>
        <v>472</v>
      </c>
      <c r="T21" s="22">
        <f t="shared" si="15"/>
        <v>554</v>
      </c>
      <c r="U21" s="22">
        <f t="shared" si="15"/>
        <v>0</v>
      </c>
      <c r="V21" s="22">
        <f t="shared" si="15"/>
        <v>0</v>
      </c>
      <c r="W21" s="11"/>
    </row>
    <row r="22" spans="1:23" x14ac:dyDescent="0.15">
      <c r="A22" s="199"/>
      <c r="B22" s="20">
        <f t="shared" si="14"/>
        <v>3000</v>
      </c>
      <c r="C22" s="21">
        <v>6000</v>
      </c>
      <c r="D22" s="11"/>
      <c r="E22" s="22">
        <f t="shared" si="15"/>
        <v>0</v>
      </c>
      <c r="F22" s="22">
        <f t="shared" si="15"/>
        <v>0</v>
      </c>
      <c r="G22" s="22">
        <f t="shared" si="15"/>
        <v>0</v>
      </c>
      <c r="H22" s="22">
        <f t="shared" si="15"/>
        <v>0</v>
      </c>
      <c r="I22" s="22">
        <f t="shared" si="15"/>
        <v>0</v>
      </c>
      <c r="J22" s="22">
        <f t="shared" si="15"/>
        <v>0</v>
      </c>
      <c r="K22" s="22">
        <f t="shared" si="15"/>
        <v>0</v>
      </c>
      <c r="L22" s="22">
        <f t="shared" si="15"/>
        <v>0</v>
      </c>
      <c r="M22" s="22">
        <f t="shared" si="15"/>
        <v>0</v>
      </c>
      <c r="N22" s="22">
        <f t="shared" si="15"/>
        <v>0</v>
      </c>
      <c r="O22" s="22">
        <f t="shared" si="15"/>
        <v>0</v>
      </c>
      <c r="P22" s="22">
        <f t="shared" si="15"/>
        <v>0</v>
      </c>
      <c r="Q22" s="22">
        <f t="shared" si="15"/>
        <v>0</v>
      </c>
      <c r="R22" s="22">
        <f t="shared" si="15"/>
        <v>0</v>
      </c>
      <c r="S22" s="22">
        <f t="shared" si="15"/>
        <v>0</v>
      </c>
      <c r="T22" s="22">
        <f t="shared" si="15"/>
        <v>0</v>
      </c>
      <c r="U22" s="22">
        <f t="shared" si="15"/>
        <v>0</v>
      </c>
      <c r="V22" s="22">
        <f t="shared" si="15"/>
        <v>0</v>
      </c>
      <c r="W22" s="11"/>
    </row>
    <row r="23" spans="1:23" x14ac:dyDescent="0.15">
      <c r="A23" s="199"/>
      <c r="B23" s="20">
        <f t="shared" si="14"/>
        <v>6000</v>
      </c>
      <c r="C23" s="21">
        <v>9000</v>
      </c>
      <c r="D23" s="11"/>
      <c r="E23" s="22">
        <f t="shared" si="15"/>
        <v>0</v>
      </c>
      <c r="F23" s="22">
        <f t="shared" si="15"/>
        <v>0</v>
      </c>
      <c r="G23" s="22">
        <f t="shared" si="15"/>
        <v>0</v>
      </c>
      <c r="H23" s="22">
        <f t="shared" si="15"/>
        <v>0</v>
      </c>
      <c r="I23" s="22">
        <f t="shared" si="15"/>
        <v>0</v>
      </c>
      <c r="J23" s="22">
        <f t="shared" si="15"/>
        <v>0</v>
      </c>
      <c r="K23" s="22">
        <f t="shared" si="15"/>
        <v>0</v>
      </c>
      <c r="L23" s="22">
        <f t="shared" si="15"/>
        <v>0</v>
      </c>
      <c r="M23" s="22">
        <f t="shared" si="15"/>
        <v>0</v>
      </c>
      <c r="N23" s="22">
        <f t="shared" si="15"/>
        <v>0</v>
      </c>
      <c r="O23" s="22">
        <f t="shared" si="15"/>
        <v>0</v>
      </c>
      <c r="P23" s="22">
        <f t="shared" si="15"/>
        <v>0</v>
      </c>
      <c r="Q23" s="22">
        <f t="shared" si="15"/>
        <v>0</v>
      </c>
      <c r="R23" s="22">
        <f t="shared" si="15"/>
        <v>0</v>
      </c>
      <c r="S23" s="22">
        <f t="shared" si="15"/>
        <v>0</v>
      </c>
      <c r="T23" s="22">
        <f t="shared" si="15"/>
        <v>0</v>
      </c>
      <c r="U23" s="22">
        <f t="shared" si="15"/>
        <v>0</v>
      </c>
      <c r="V23" s="22">
        <f t="shared" si="15"/>
        <v>0</v>
      </c>
      <c r="W23" s="11"/>
    </row>
    <row r="24" spans="1:23" x14ac:dyDescent="0.15">
      <c r="A24" s="199"/>
      <c r="B24" s="20">
        <f t="shared" si="14"/>
        <v>9000</v>
      </c>
      <c r="C24" s="21">
        <v>12000</v>
      </c>
      <c r="D24" s="11"/>
      <c r="E24" s="22">
        <f t="shared" si="15"/>
        <v>0</v>
      </c>
      <c r="F24" s="22">
        <f t="shared" si="15"/>
        <v>0</v>
      </c>
      <c r="G24" s="22">
        <f t="shared" si="15"/>
        <v>0</v>
      </c>
      <c r="H24" s="22">
        <f t="shared" si="15"/>
        <v>0</v>
      </c>
      <c r="I24" s="22">
        <f t="shared" si="15"/>
        <v>0</v>
      </c>
      <c r="J24" s="22">
        <f t="shared" si="15"/>
        <v>0</v>
      </c>
      <c r="K24" s="22">
        <f t="shared" si="15"/>
        <v>0</v>
      </c>
      <c r="L24" s="22">
        <f t="shared" si="15"/>
        <v>0</v>
      </c>
      <c r="M24" s="22">
        <f t="shared" si="15"/>
        <v>0</v>
      </c>
      <c r="N24" s="22">
        <f t="shared" si="15"/>
        <v>0</v>
      </c>
      <c r="O24" s="22">
        <f t="shared" si="15"/>
        <v>0</v>
      </c>
      <c r="P24" s="22">
        <f t="shared" si="15"/>
        <v>0</v>
      </c>
      <c r="Q24" s="22">
        <f t="shared" si="15"/>
        <v>0</v>
      </c>
      <c r="R24" s="22">
        <f t="shared" si="15"/>
        <v>0</v>
      </c>
      <c r="S24" s="22">
        <f t="shared" si="15"/>
        <v>0</v>
      </c>
      <c r="T24" s="22">
        <f t="shared" si="15"/>
        <v>0</v>
      </c>
      <c r="U24" s="22">
        <f t="shared" si="15"/>
        <v>0</v>
      </c>
      <c r="V24" s="22">
        <f t="shared" si="15"/>
        <v>0</v>
      </c>
      <c r="W24" s="11"/>
    </row>
    <row r="25" spans="1:23" x14ac:dyDescent="0.15">
      <c r="A25" s="199"/>
      <c r="B25" s="20">
        <f t="shared" si="14"/>
        <v>12000</v>
      </c>
      <c r="C25" s="21">
        <v>15000</v>
      </c>
      <c r="D25" s="11"/>
      <c r="E25" s="22">
        <f t="shared" si="15"/>
        <v>0</v>
      </c>
      <c r="F25" s="22">
        <f t="shared" si="15"/>
        <v>0</v>
      </c>
      <c r="G25" s="22">
        <f t="shared" si="15"/>
        <v>0</v>
      </c>
      <c r="H25" s="22">
        <f t="shared" si="15"/>
        <v>0</v>
      </c>
      <c r="I25" s="22">
        <f t="shared" si="15"/>
        <v>0</v>
      </c>
      <c r="J25" s="22">
        <f t="shared" si="15"/>
        <v>0</v>
      </c>
      <c r="K25" s="22">
        <f t="shared" si="15"/>
        <v>0</v>
      </c>
      <c r="L25" s="22">
        <f t="shared" si="15"/>
        <v>0</v>
      </c>
      <c r="M25" s="22">
        <f t="shared" si="15"/>
        <v>0</v>
      </c>
      <c r="N25" s="22">
        <f t="shared" si="15"/>
        <v>0</v>
      </c>
      <c r="O25" s="22">
        <f t="shared" si="15"/>
        <v>0</v>
      </c>
      <c r="P25" s="22">
        <f t="shared" si="15"/>
        <v>0</v>
      </c>
      <c r="Q25" s="22">
        <f t="shared" si="15"/>
        <v>0</v>
      </c>
      <c r="R25" s="22">
        <f t="shared" si="15"/>
        <v>0</v>
      </c>
      <c r="S25" s="22">
        <f t="shared" si="15"/>
        <v>0</v>
      </c>
      <c r="T25" s="22">
        <f t="shared" si="15"/>
        <v>0</v>
      </c>
      <c r="U25" s="22">
        <f t="shared" si="15"/>
        <v>0</v>
      </c>
      <c r="V25" s="22">
        <f t="shared" si="15"/>
        <v>0</v>
      </c>
      <c r="W25" s="11"/>
    </row>
    <row r="26" spans="1:23" x14ac:dyDescent="0.15">
      <c r="A26" s="199"/>
      <c r="B26" s="20">
        <f t="shared" si="14"/>
        <v>15000</v>
      </c>
      <c r="C26" s="23">
        <v>200000</v>
      </c>
      <c r="D26" s="11"/>
      <c r="E26" s="22">
        <f t="shared" ref="E26:V26" si="16">IF(E$15&gt;$C26,$C26-$B26,IF(AND($B26&lt;E$15,E$15&lt;$C26),E$15-$B26,IF(E$15&gt;$B26,E$15-$B26,IF(E$15=$C26,$C26-$B26,0))))</f>
        <v>0</v>
      </c>
      <c r="F26" s="22">
        <f t="shared" si="16"/>
        <v>0</v>
      </c>
      <c r="G26" s="22">
        <f t="shared" si="16"/>
        <v>0</v>
      </c>
      <c r="H26" s="22">
        <f t="shared" si="16"/>
        <v>0</v>
      </c>
      <c r="I26" s="22">
        <f t="shared" si="16"/>
        <v>0</v>
      </c>
      <c r="J26" s="22">
        <f t="shared" si="16"/>
        <v>0</v>
      </c>
      <c r="K26" s="22">
        <f t="shared" si="16"/>
        <v>0</v>
      </c>
      <c r="L26" s="22">
        <f t="shared" si="16"/>
        <v>0</v>
      </c>
      <c r="M26" s="22">
        <f t="shared" si="16"/>
        <v>0</v>
      </c>
      <c r="N26" s="22">
        <f t="shared" si="16"/>
        <v>0</v>
      </c>
      <c r="O26" s="22">
        <f t="shared" si="16"/>
        <v>0</v>
      </c>
      <c r="P26" s="22">
        <f t="shared" si="16"/>
        <v>0</v>
      </c>
      <c r="Q26" s="22">
        <f t="shared" si="16"/>
        <v>0</v>
      </c>
      <c r="R26" s="22">
        <f t="shared" si="16"/>
        <v>0</v>
      </c>
      <c r="S26" s="22">
        <f t="shared" si="16"/>
        <v>0</v>
      </c>
      <c r="T26" s="22">
        <f t="shared" si="16"/>
        <v>0</v>
      </c>
      <c r="U26" s="22">
        <f t="shared" si="16"/>
        <v>0</v>
      </c>
      <c r="V26" s="22">
        <f t="shared" si="16"/>
        <v>0</v>
      </c>
      <c r="W26" s="11"/>
    </row>
    <row r="27" spans="1:23" x14ac:dyDescent="0.15">
      <c r="A27" s="199"/>
      <c r="B27" s="24"/>
      <c r="C27" s="25"/>
      <c r="D27" s="11"/>
      <c r="E27" s="26">
        <f t="shared" ref="E27:V27" si="17">E9</f>
        <v>0</v>
      </c>
      <c r="F27" s="26">
        <f t="shared" si="17"/>
        <v>0</v>
      </c>
      <c r="G27" s="26">
        <f t="shared" si="17"/>
        <v>0</v>
      </c>
      <c r="H27" s="26">
        <f t="shared" si="17"/>
        <v>0</v>
      </c>
      <c r="I27" s="26">
        <f t="shared" si="17"/>
        <v>0</v>
      </c>
      <c r="J27" s="26">
        <f t="shared" si="17"/>
        <v>0</v>
      </c>
      <c r="K27" s="26">
        <f t="shared" si="17"/>
        <v>11119</v>
      </c>
      <c r="L27" s="26">
        <f t="shared" si="17"/>
        <v>9713</v>
      </c>
      <c r="M27" s="26">
        <f t="shared" si="17"/>
        <v>12772</v>
      </c>
      <c r="N27" s="26">
        <f t="shared" si="17"/>
        <v>11082</v>
      </c>
      <c r="O27" s="26">
        <f t="shared" si="17"/>
        <v>12419</v>
      </c>
      <c r="P27" s="26">
        <f t="shared" si="17"/>
        <v>11495</v>
      </c>
      <c r="Q27" s="26">
        <f t="shared" si="17"/>
        <v>11473</v>
      </c>
      <c r="R27" s="26">
        <f t="shared" si="17"/>
        <v>9303</v>
      </c>
      <c r="S27" s="26">
        <f t="shared" si="17"/>
        <v>9999</v>
      </c>
      <c r="T27" s="26">
        <f t="shared" si="17"/>
        <v>10836</v>
      </c>
      <c r="U27" s="26">
        <f t="shared" si="17"/>
        <v>0</v>
      </c>
      <c r="V27" s="26">
        <f t="shared" si="17"/>
        <v>0</v>
      </c>
      <c r="W27" s="11"/>
    </row>
    <row r="28" spans="1:23" x14ac:dyDescent="0.15">
      <c r="A28" s="199"/>
      <c r="B28" s="208" t="s">
        <v>8</v>
      </c>
      <c r="C28" s="196"/>
      <c r="D28" s="11"/>
      <c r="E28" s="195" t="s">
        <v>9</v>
      </c>
      <c r="F28" s="195"/>
      <c r="G28" s="195"/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V28" s="196"/>
      <c r="W28" s="11"/>
    </row>
    <row r="29" spans="1:23" x14ac:dyDescent="0.15">
      <c r="A29" s="199"/>
      <c r="B29" s="20">
        <v>0</v>
      </c>
      <c r="C29" s="21">
        <v>4000</v>
      </c>
      <c r="D29" s="11"/>
      <c r="E29" s="22">
        <f t="shared" ref="E29:V30" si="18">IF(E$27&gt;$C29,$C29-$B29,IF(AND($B29&lt;E$27,E$27&lt;$C29),E$27-$B29,IF(E$27=$C29,$C29-$B29,0)))</f>
        <v>0</v>
      </c>
      <c r="F29" s="22">
        <f t="shared" si="18"/>
        <v>0</v>
      </c>
      <c r="G29" s="22">
        <f t="shared" si="18"/>
        <v>0</v>
      </c>
      <c r="H29" s="22">
        <f t="shared" si="18"/>
        <v>0</v>
      </c>
      <c r="I29" s="22">
        <f t="shared" si="18"/>
        <v>0</v>
      </c>
      <c r="J29" s="22">
        <f t="shared" si="18"/>
        <v>0</v>
      </c>
      <c r="K29" s="22">
        <f t="shared" si="18"/>
        <v>4000</v>
      </c>
      <c r="L29" s="22">
        <f t="shared" si="18"/>
        <v>4000</v>
      </c>
      <c r="M29" s="22">
        <f t="shared" si="18"/>
        <v>4000</v>
      </c>
      <c r="N29" s="22">
        <f t="shared" si="18"/>
        <v>4000</v>
      </c>
      <c r="O29" s="22">
        <f t="shared" si="18"/>
        <v>4000</v>
      </c>
      <c r="P29" s="22">
        <f t="shared" si="18"/>
        <v>4000</v>
      </c>
      <c r="Q29" s="22">
        <f t="shared" si="18"/>
        <v>4000</v>
      </c>
      <c r="R29" s="22">
        <f t="shared" si="18"/>
        <v>4000</v>
      </c>
      <c r="S29" s="22">
        <f t="shared" si="18"/>
        <v>4000</v>
      </c>
      <c r="T29" s="22">
        <f t="shared" si="18"/>
        <v>4000</v>
      </c>
      <c r="U29" s="22">
        <f t="shared" si="18"/>
        <v>0</v>
      </c>
      <c r="V29" s="27">
        <f t="shared" si="18"/>
        <v>0</v>
      </c>
      <c r="W29" s="11"/>
    </row>
    <row r="30" spans="1:23" x14ac:dyDescent="0.15">
      <c r="A30" s="199"/>
      <c r="B30" s="20">
        <f>C29</f>
        <v>4000</v>
      </c>
      <c r="C30" s="21">
        <v>20000</v>
      </c>
      <c r="D30" s="11"/>
      <c r="E30" s="22">
        <f t="shared" si="18"/>
        <v>0</v>
      </c>
      <c r="F30" s="22">
        <f t="shared" si="18"/>
        <v>0</v>
      </c>
      <c r="G30" s="22">
        <f t="shared" si="18"/>
        <v>0</v>
      </c>
      <c r="H30" s="22">
        <f t="shared" si="18"/>
        <v>0</v>
      </c>
      <c r="I30" s="22">
        <f t="shared" si="18"/>
        <v>0</v>
      </c>
      <c r="J30" s="22">
        <f t="shared" si="18"/>
        <v>0</v>
      </c>
      <c r="K30" s="22">
        <f t="shared" si="18"/>
        <v>7119</v>
      </c>
      <c r="L30" s="22">
        <f t="shared" si="18"/>
        <v>5713</v>
      </c>
      <c r="M30" s="22">
        <f t="shared" si="18"/>
        <v>8772</v>
      </c>
      <c r="N30" s="22">
        <f t="shared" si="18"/>
        <v>7082</v>
      </c>
      <c r="O30" s="22">
        <f t="shared" si="18"/>
        <v>8419</v>
      </c>
      <c r="P30" s="22">
        <f t="shared" si="18"/>
        <v>7495</v>
      </c>
      <c r="Q30" s="22">
        <f t="shared" si="18"/>
        <v>7473</v>
      </c>
      <c r="R30" s="22">
        <f t="shared" si="18"/>
        <v>5303</v>
      </c>
      <c r="S30" s="22">
        <f t="shared" si="18"/>
        <v>5999</v>
      </c>
      <c r="T30" s="22">
        <f t="shared" si="18"/>
        <v>6836</v>
      </c>
      <c r="U30" s="22">
        <f t="shared" si="18"/>
        <v>0</v>
      </c>
      <c r="V30" s="27">
        <f t="shared" si="18"/>
        <v>0</v>
      </c>
      <c r="W30" s="11"/>
    </row>
    <row r="31" spans="1:23" x14ac:dyDescent="0.15">
      <c r="A31" s="199"/>
      <c r="B31" s="28">
        <f>C30</f>
        <v>20000</v>
      </c>
      <c r="C31" s="29">
        <v>200000</v>
      </c>
      <c r="D31" s="30"/>
      <c r="E31" s="31">
        <f t="shared" ref="E31:V31" si="19">IF(E$27&gt;$C31,$C31-$B31,IF(AND($B31&lt;E$27,E$27&lt;$C31),E$27-$B31,IF(E$27&gt;$B31,E$27-$B31,IF(E$27=$C31,$C31-$B31,0))))</f>
        <v>0</v>
      </c>
      <c r="F31" s="31"/>
      <c r="G31" s="31"/>
      <c r="H31" s="31"/>
      <c r="I31" s="31">
        <f t="shared" si="19"/>
        <v>0</v>
      </c>
      <c r="J31" s="31">
        <f t="shared" si="19"/>
        <v>0</v>
      </c>
      <c r="K31" s="31">
        <f t="shared" si="19"/>
        <v>0</v>
      </c>
      <c r="L31" s="31">
        <f t="shared" si="19"/>
        <v>0</v>
      </c>
      <c r="M31" s="31">
        <f t="shared" si="19"/>
        <v>0</v>
      </c>
      <c r="N31" s="31">
        <f t="shared" si="19"/>
        <v>0</v>
      </c>
      <c r="O31" s="31">
        <f t="shared" si="19"/>
        <v>0</v>
      </c>
      <c r="P31" s="31">
        <f t="shared" si="19"/>
        <v>0</v>
      </c>
      <c r="Q31" s="31">
        <f t="shared" si="19"/>
        <v>0</v>
      </c>
      <c r="R31" s="31">
        <f t="shared" si="19"/>
        <v>0</v>
      </c>
      <c r="S31" s="31">
        <f t="shared" si="19"/>
        <v>0</v>
      </c>
      <c r="T31" s="31">
        <f t="shared" si="19"/>
        <v>0</v>
      </c>
      <c r="U31" s="31">
        <f t="shared" si="19"/>
        <v>0</v>
      </c>
      <c r="V31" s="32">
        <f t="shared" si="19"/>
        <v>0</v>
      </c>
      <c r="W31" s="11"/>
    </row>
    <row r="32" spans="1:23" x14ac:dyDescent="0.15">
      <c r="A32" s="11"/>
      <c r="B32" s="11"/>
      <c r="C32" s="13"/>
      <c r="D32" s="1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11"/>
    </row>
    <row r="33" spans="1:23" x14ac:dyDescent="0.15">
      <c r="A33" s="197"/>
      <c r="B33" s="193" t="s">
        <v>15</v>
      </c>
      <c r="C33" s="194"/>
      <c r="D33" s="11"/>
      <c r="E33" s="195" t="s">
        <v>9</v>
      </c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6"/>
      <c r="W33" s="11"/>
    </row>
    <row r="34" spans="1:23" ht="12" customHeight="1" x14ac:dyDescent="0.15">
      <c r="A34" s="198"/>
      <c r="B34" s="40"/>
      <c r="C34" s="41">
        <f>4.77*1.095</f>
        <v>5.2231499999999995</v>
      </c>
      <c r="D34" s="11"/>
      <c r="E34" s="37">
        <f t="shared" ref="E34:J34" si="20">IF(E$29&lt;50,0,$C34)*E$29</f>
        <v>0</v>
      </c>
      <c r="F34" s="37">
        <f t="shared" si="20"/>
        <v>0</v>
      </c>
      <c r="G34" s="37">
        <f t="shared" si="20"/>
        <v>0</v>
      </c>
      <c r="H34" s="37">
        <f t="shared" si="20"/>
        <v>0</v>
      </c>
      <c r="I34" s="37">
        <f t="shared" si="20"/>
        <v>0</v>
      </c>
      <c r="J34" s="37">
        <f t="shared" si="20"/>
        <v>0</v>
      </c>
      <c r="K34" s="42">
        <f>K8*$C$34</f>
        <v>9790.3768229999987</v>
      </c>
      <c r="L34" s="42">
        <f>L8*$C$34</f>
        <v>8928.4526100000003</v>
      </c>
      <c r="M34" s="42">
        <f t="shared" ref="M34:V34" si="21">M8*$C$34</f>
        <v>10145.968874999999</v>
      </c>
      <c r="N34" s="42">
        <f t="shared" si="21"/>
        <v>8646.2980469999984</v>
      </c>
      <c r="O34" s="42">
        <f t="shared" si="21"/>
        <v>9508.2222600000005</v>
      </c>
      <c r="P34" s="42">
        <f t="shared" si="21"/>
        <v>8572.8605579999985</v>
      </c>
      <c r="Q34" s="42">
        <f t="shared" si="21"/>
        <v>9086.9229809999997</v>
      </c>
      <c r="R34" s="42">
        <f t="shared" si="21"/>
        <v>8998.0249679999997</v>
      </c>
      <c r="S34" s="42">
        <f t="shared" si="21"/>
        <v>9554.6038319999989</v>
      </c>
      <c r="T34" s="42">
        <f t="shared" si="21"/>
        <v>9871.5445739999996</v>
      </c>
      <c r="U34" s="42">
        <f t="shared" si="21"/>
        <v>0</v>
      </c>
      <c r="V34" s="42">
        <f t="shared" si="21"/>
        <v>0</v>
      </c>
      <c r="W34" s="11"/>
    </row>
    <row r="35" spans="1:23" x14ac:dyDescent="0.15">
      <c r="A35" s="11"/>
      <c r="B35" s="11"/>
      <c r="C35" s="13"/>
      <c r="D35" s="1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11"/>
    </row>
    <row r="36" spans="1:23" x14ac:dyDescent="0.15">
      <c r="A36" s="197"/>
      <c r="B36" s="200" t="s">
        <v>16</v>
      </c>
      <c r="C36" s="201"/>
      <c r="D36" s="11"/>
      <c r="E36" s="195" t="s">
        <v>16</v>
      </c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6"/>
      <c r="W36" s="11"/>
    </row>
    <row r="37" spans="1:23" x14ac:dyDescent="0.15">
      <c r="A37" s="211"/>
      <c r="C37" s="55"/>
      <c r="D37" s="11"/>
      <c r="E37" s="37"/>
      <c r="F37" s="37"/>
      <c r="G37" s="37"/>
      <c r="H37" s="37"/>
      <c r="I37" s="37"/>
      <c r="J37" s="37"/>
      <c r="K37" s="37">
        <f>+IFERROR(SUM(K41:K50)/K6,0)</f>
        <v>10.449922012667786</v>
      </c>
      <c r="L37" s="37">
        <f t="shared" ref="L37:U37" si="22">+IFERROR(SUM(L41:L50)/L6,0)</f>
        <v>10.739538136580085</v>
      </c>
      <c r="M37" s="37">
        <f t="shared" si="22"/>
        <v>10.344777073690476</v>
      </c>
      <c r="N37" s="37">
        <f t="shared" si="22"/>
        <v>10.846890087075323</v>
      </c>
      <c r="O37" s="37">
        <f t="shared" si="22"/>
        <v>10.538948165599592</v>
      </c>
      <c r="P37" s="37">
        <f t="shared" si="22"/>
        <v>10.875989961744814</v>
      </c>
      <c r="Q37" s="37">
        <f t="shared" si="22"/>
        <v>10.682168210383878</v>
      </c>
      <c r="R37" s="37">
        <f t="shared" si="22"/>
        <v>10.714102501084621</v>
      </c>
      <c r="S37" s="37">
        <f t="shared" si="22"/>
        <v>10.523952604662217</v>
      </c>
      <c r="T37" s="37">
        <f t="shared" si="22"/>
        <v>10.425254335532498</v>
      </c>
      <c r="U37" s="37">
        <f t="shared" si="22"/>
        <v>0</v>
      </c>
      <c r="V37" s="37">
        <f>+IFERROR(SUM(V41:V50)/V6,0)</f>
        <v>0</v>
      </c>
      <c r="W37" s="11"/>
    </row>
    <row r="38" spans="1:23" x14ac:dyDescent="0.15">
      <c r="A38" s="198"/>
      <c r="B38" s="40"/>
      <c r="C38" s="41"/>
      <c r="D38" s="11"/>
      <c r="E38" s="37">
        <f t="shared" ref="E38:J38" si="23">IF(E$29&lt;50,0,$C38)*E$29</f>
        <v>0</v>
      </c>
      <c r="F38" s="37">
        <f t="shared" si="23"/>
        <v>0</v>
      </c>
      <c r="G38" s="37">
        <f t="shared" si="23"/>
        <v>0</v>
      </c>
      <c r="H38" s="37">
        <f t="shared" si="23"/>
        <v>0</v>
      </c>
      <c r="I38" s="37">
        <f t="shared" si="23"/>
        <v>0</v>
      </c>
      <c r="J38" s="37">
        <f t="shared" si="23"/>
        <v>0</v>
      </c>
      <c r="K38" s="42">
        <f>+K37*K7</f>
        <v>6882.1096391027495</v>
      </c>
      <c r="L38" s="42">
        <f>+L37*L7</f>
        <v>6450.1666048299985</v>
      </c>
      <c r="M38" s="42">
        <f>+M37*M7</f>
        <v>7060.3103527937501</v>
      </c>
      <c r="N38" s="42">
        <f t="shared" ref="N38:V38" si="24">+N37*N7</f>
        <v>6308.768212444751</v>
      </c>
      <c r="O38" s="42">
        <f t="shared" si="24"/>
        <v>6740.7112467174984</v>
      </c>
      <c r="P38" s="42">
        <f t="shared" si="24"/>
        <v>6271.9658911389997</v>
      </c>
      <c r="Q38" s="42">
        <f>+Q37*Q7</f>
        <v>6529.582140279249</v>
      </c>
      <c r="R38" s="42">
        <f t="shared" si="24"/>
        <v>6485.031961856499</v>
      </c>
      <c r="S38" s="42">
        <f t="shared" si="24"/>
        <v>6763.9548180685006</v>
      </c>
      <c r="T38" s="42">
        <f t="shared" si="24"/>
        <v>6922.7858889669997</v>
      </c>
      <c r="U38" s="42">
        <f t="shared" si="24"/>
        <v>0</v>
      </c>
      <c r="V38" s="42">
        <f t="shared" si="24"/>
        <v>0</v>
      </c>
      <c r="W38" s="11"/>
    </row>
    <row r="39" spans="1:23" x14ac:dyDescent="0.15">
      <c r="A39" s="11"/>
      <c r="B39" s="11"/>
      <c r="C39" s="13"/>
      <c r="D39" s="1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11"/>
    </row>
    <row r="40" spans="1:23" ht="15" customHeight="1" x14ac:dyDescent="0.15">
      <c r="A40" s="199" t="s">
        <v>10</v>
      </c>
      <c r="B40" s="200" t="s">
        <v>11</v>
      </c>
      <c r="C40" s="201"/>
      <c r="D40" s="34"/>
      <c r="E40" s="202" t="s">
        <v>7</v>
      </c>
      <c r="F40" s="202"/>
      <c r="G40" s="202"/>
      <c r="H40" s="202"/>
      <c r="I40" s="202"/>
      <c r="J40" s="202"/>
      <c r="K40" s="202"/>
      <c r="L40" s="202"/>
      <c r="M40" s="202"/>
      <c r="N40" s="202"/>
      <c r="O40" s="202"/>
      <c r="P40" s="202"/>
      <c r="Q40" s="202"/>
      <c r="R40" s="202"/>
      <c r="S40" s="202"/>
      <c r="T40" s="202"/>
      <c r="U40" s="202"/>
      <c r="V40" s="203"/>
      <c r="W40" s="11"/>
    </row>
    <row r="41" spans="1:23" x14ac:dyDescent="0.15">
      <c r="A41" s="199"/>
      <c r="B41" s="35"/>
      <c r="C41" s="36">
        <v>3434</v>
      </c>
      <c r="D41" s="11"/>
      <c r="E41" s="37">
        <f t="shared" ref="E41:V41" si="25">IF(E$17&lt;1,0,$C$41)</f>
        <v>0</v>
      </c>
      <c r="F41" s="37">
        <f t="shared" si="25"/>
        <v>0</v>
      </c>
      <c r="G41" s="37">
        <f t="shared" si="25"/>
        <v>0</v>
      </c>
      <c r="H41" s="37">
        <f t="shared" si="25"/>
        <v>0</v>
      </c>
      <c r="I41" s="37">
        <f t="shared" si="25"/>
        <v>0</v>
      </c>
      <c r="J41" s="37">
        <f t="shared" si="25"/>
        <v>0</v>
      </c>
      <c r="K41" s="37">
        <f t="shared" si="25"/>
        <v>3434</v>
      </c>
      <c r="L41" s="37">
        <f t="shared" si="25"/>
        <v>3434</v>
      </c>
      <c r="M41" s="37">
        <f t="shared" si="25"/>
        <v>3434</v>
      </c>
      <c r="N41" s="37">
        <f t="shared" si="25"/>
        <v>3434</v>
      </c>
      <c r="O41" s="37">
        <f t="shared" si="25"/>
        <v>3434</v>
      </c>
      <c r="P41" s="37">
        <f t="shared" si="25"/>
        <v>3434</v>
      </c>
      <c r="Q41" s="37">
        <f t="shared" si="25"/>
        <v>3434</v>
      </c>
      <c r="R41" s="37">
        <f t="shared" si="25"/>
        <v>3434</v>
      </c>
      <c r="S41" s="37">
        <f t="shared" si="25"/>
        <v>3434</v>
      </c>
      <c r="T41" s="37">
        <f t="shared" si="25"/>
        <v>3434</v>
      </c>
      <c r="U41" s="37">
        <f t="shared" si="25"/>
        <v>0</v>
      </c>
      <c r="V41" s="37">
        <f t="shared" si="25"/>
        <v>0</v>
      </c>
      <c r="W41" s="11"/>
    </row>
    <row r="42" spans="1:23" x14ac:dyDescent="0.15">
      <c r="A42" s="199"/>
      <c r="B42" s="35"/>
      <c r="C42" s="36">
        <f>10.5145425*W3</f>
        <v>11.513424037499998</v>
      </c>
      <c r="D42" s="11"/>
      <c r="E42" s="37">
        <f t="shared" ref="E42:V42" si="26">IF(E$18=0,0,$C42)*E$18</f>
        <v>0</v>
      </c>
      <c r="F42" s="37">
        <f t="shared" si="26"/>
        <v>0</v>
      </c>
      <c r="G42" s="37">
        <f t="shared" si="26"/>
        <v>0</v>
      </c>
      <c r="H42" s="37">
        <f t="shared" si="26"/>
        <v>0</v>
      </c>
      <c r="I42" s="37">
        <f t="shared" si="26"/>
        <v>0</v>
      </c>
      <c r="J42" s="37">
        <f t="shared" si="26"/>
        <v>0</v>
      </c>
      <c r="K42" s="37">
        <f>IF(K$18=0,0,$C42)*K$18</f>
        <v>5181.0408168749991</v>
      </c>
      <c r="L42" s="37">
        <f t="shared" si="26"/>
        <v>5181.0408168749991</v>
      </c>
      <c r="M42" s="37">
        <f t="shared" si="26"/>
        <v>5181.0408168749991</v>
      </c>
      <c r="N42" s="37">
        <f t="shared" si="26"/>
        <v>5181.0408168749991</v>
      </c>
      <c r="O42" s="37">
        <f t="shared" si="26"/>
        <v>5181.0408168749991</v>
      </c>
      <c r="P42" s="37">
        <f t="shared" si="26"/>
        <v>5181.0408168749991</v>
      </c>
      <c r="Q42" s="37">
        <f t="shared" si="26"/>
        <v>5181.0408168749991</v>
      </c>
      <c r="R42" s="37">
        <f t="shared" si="26"/>
        <v>5181.0408168749991</v>
      </c>
      <c r="S42" s="37">
        <f t="shared" si="26"/>
        <v>5181.0408168749991</v>
      </c>
      <c r="T42" s="37">
        <f t="shared" si="26"/>
        <v>5181.0408168749991</v>
      </c>
      <c r="U42" s="37">
        <f t="shared" si="26"/>
        <v>0</v>
      </c>
      <c r="V42" s="37">
        <f t="shared" si="26"/>
        <v>0</v>
      </c>
      <c r="W42" s="11"/>
    </row>
    <row r="43" spans="1:23" x14ac:dyDescent="0.15">
      <c r="A43" s="199"/>
      <c r="B43" s="35"/>
      <c r="C43" s="36">
        <f>9.2775375*W3</f>
        <v>10.158903562499999</v>
      </c>
      <c r="D43" s="11"/>
      <c r="E43" s="37">
        <f t="shared" ref="E43:V43" si="27">IF(E$19=0,0,$C43)*E$19</f>
        <v>0</v>
      </c>
      <c r="F43" s="37">
        <f t="shared" si="27"/>
        <v>0</v>
      </c>
      <c r="G43" s="37">
        <f t="shared" si="27"/>
        <v>0</v>
      </c>
      <c r="H43" s="37">
        <f t="shared" si="27"/>
        <v>0</v>
      </c>
      <c r="I43" s="37">
        <f t="shared" si="27"/>
        <v>0</v>
      </c>
      <c r="J43" s="37">
        <f t="shared" si="27"/>
        <v>0</v>
      </c>
      <c r="K43" s="37">
        <f>IF(K$19=0,0,$C43)*K$19</f>
        <v>5079.4517812499998</v>
      </c>
      <c r="L43" s="37">
        <f t="shared" si="27"/>
        <v>5079.4517812499998</v>
      </c>
      <c r="M43" s="37">
        <f t="shared" si="27"/>
        <v>5079.4517812499998</v>
      </c>
      <c r="N43" s="37">
        <f t="shared" si="27"/>
        <v>5079.4517812499998</v>
      </c>
      <c r="O43" s="37">
        <f t="shared" si="27"/>
        <v>5079.4517812499998</v>
      </c>
      <c r="P43" s="37">
        <f t="shared" si="27"/>
        <v>5079.4517812499998</v>
      </c>
      <c r="Q43" s="37">
        <f t="shared" si="27"/>
        <v>5079.4517812499998</v>
      </c>
      <c r="R43" s="37">
        <f t="shared" si="27"/>
        <v>5079.4517812499998</v>
      </c>
      <c r="S43" s="37">
        <f t="shared" si="27"/>
        <v>5079.4517812499998</v>
      </c>
      <c r="T43" s="37">
        <f t="shared" si="27"/>
        <v>5079.4517812499998</v>
      </c>
      <c r="U43" s="37">
        <f t="shared" si="27"/>
        <v>0</v>
      </c>
      <c r="V43" s="37">
        <f t="shared" si="27"/>
        <v>0</v>
      </c>
      <c r="W43" s="11"/>
    </row>
    <row r="44" spans="1:23" x14ac:dyDescent="0.15">
      <c r="A44" s="199"/>
      <c r="B44" s="35"/>
      <c r="C44" s="36">
        <f>8.0405325*W3</f>
        <v>8.8043830874999998</v>
      </c>
      <c r="D44" s="11"/>
      <c r="E44" s="37">
        <f t="shared" ref="E44:V44" si="28">IF(E$20=0,0,$C44)*E$20</f>
        <v>0</v>
      </c>
      <c r="F44" s="37">
        <f t="shared" si="28"/>
        <v>0</v>
      </c>
      <c r="G44" s="37">
        <f t="shared" si="28"/>
        <v>0</v>
      </c>
      <c r="H44" s="37">
        <f t="shared" si="28"/>
        <v>0</v>
      </c>
      <c r="I44" s="37">
        <f t="shared" si="28"/>
        <v>0</v>
      </c>
      <c r="J44" s="37">
        <f t="shared" si="28"/>
        <v>0</v>
      </c>
      <c r="K44" s="37">
        <f t="shared" si="28"/>
        <v>8804.3830875000003</v>
      </c>
      <c r="L44" s="37">
        <f t="shared" si="28"/>
        <v>8804.3830875000003</v>
      </c>
      <c r="M44" s="37">
        <f t="shared" si="28"/>
        <v>8804.3830875000003</v>
      </c>
      <c r="N44" s="37">
        <f t="shared" si="28"/>
        <v>8804.3830875000003</v>
      </c>
      <c r="O44" s="37">
        <f t="shared" si="28"/>
        <v>8804.3830875000003</v>
      </c>
      <c r="P44" s="37">
        <f t="shared" si="28"/>
        <v>8804.3830875000003</v>
      </c>
      <c r="Q44" s="37">
        <f t="shared" si="28"/>
        <v>8804.3830875000003</v>
      </c>
      <c r="R44" s="37">
        <f t="shared" si="28"/>
        <v>8804.3830875000003</v>
      </c>
      <c r="S44" s="37">
        <f t="shared" si="28"/>
        <v>8804.3830875000003</v>
      </c>
      <c r="T44" s="37">
        <f t="shared" si="28"/>
        <v>8804.3830875000003</v>
      </c>
      <c r="U44" s="37">
        <f t="shared" si="28"/>
        <v>0</v>
      </c>
      <c r="V44" s="37">
        <f t="shared" si="28"/>
        <v>0</v>
      </c>
      <c r="W44" s="11"/>
    </row>
    <row r="45" spans="1:23" x14ac:dyDescent="0.15">
      <c r="A45" s="199"/>
      <c r="B45" s="35"/>
      <c r="C45" s="36">
        <f>6.8035275*W3</f>
        <v>7.4498626125000005</v>
      </c>
      <c r="D45" s="11"/>
      <c r="E45" s="37">
        <f t="shared" ref="E45:V45" si="29">IF(E$21=0,0,$C45)*E$21</f>
        <v>0</v>
      </c>
      <c r="F45" s="37">
        <f t="shared" si="29"/>
        <v>0</v>
      </c>
      <c r="G45" s="37">
        <f t="shared" si="29"/>
        <v>0</v>
      </c>
      <c r="H45" s="37">
        <f t="shared" si="29"/>
        <v>0</v>
      </c>
      <c r="I45" s="37">
        <f t="shared" si="29"/>
        <v>0</v>
      </c>
      <c r="J45" s="37">
        <f t="shared" si="29"/>
        <v>0</v>
      </c>
      <c r="K45" s="37">
        <f t="shared" si="29"/>
        <v>3970.7767724625</v>
      </c>
      <c r="L45" s="37">
        <f t="shared" si="29"/>
        <v>2309.4574098749999</v>
      </c>
      <c r="M45" s="37">
        <f t="shared" si="29"/>
        <v>4656.1641328125006</v>
      </c>
      <c r="N45" s="37">
        <f t="shared" si="29"/>
        <v>1765.6174391625002</v>
      </c>
      <c r="O45" s="37">
        <f t="shared" si="29"/>
        <v>3426.9368017500001</v>
      </c>
      <c r="P45" s="37">
        <f t="shared" si="29"/>
        <v>1624.0700495250001</v>
      </c>
      <c r="Q45" s="37">
        <f t="shared" si="29"/>
        <v>2614.9017769874999</v>
      </c>
      <c r="R45" s="37">
        <f t="shared" si="29"/>
        <v>2443.5549369</v>
      </c>
      <c r="S45" s="37">
        <f t="shared" si="29"/>
        <v>3516.3351531000003</v>
      </c>
      <c r="T45" s="37">
        <f t="shared" si="29"/>
        <v>4127.2238873249999</v>
      </c>
      <c r="U45" s="37">
        <f t="shared" si="29"/>
        <v>0</v>
      </c>
      <c r="V45" s="37">
        <f t="shared" si="29"/>
        <v>0</v>
      </c>
      <c r="W45" s="11"/>
    </row>
    <row r="46" spans="1:23" x14ac:dyDescent="0.15">
      <c r="A46" s="199"/>
      <c r="B46" s="35"/>
      <c r="C46" s="36">
        <f>5.5665225*W3</f>
        <v>6.0953421374999994</v>
      </c>
      <c r="D46" s="11"/>
      <c r="E46" s="37">
        <f t="shared" ref="E46:V46" si="30">IF(E$22=0,0,$C46)*E$22</f>
        <v>0</v>
      </c>
      <c r="F46" s="37">
        <f t="shared" si="30"/>
        <v>0</v>
      </c>
      <c r="G46" s="37">
        <f t="shared" si="30"/>
        <v>0</v>
      </c>
      <c r="H46" s="37">
        <f t="shared" si="30"/>
        <v>0</v>
      </c>
      <c r="I46" s="37">
        <f t="shared" si="30"/>
        <v>0</v>
      </c>
      <c r="J46" s="37">
        <f t="shared" si="30"/>
        <v>0</v>
      </c>
      <c r="K46" s="37">
        <f t="shared" si="30"/>
        <v>0</v>
      </c>
      <c r="L46" s="37">
        <f t="shared" si="30"/>
        <v>0</v>
      </c>
      <c r="M46" s="37">
        <f t="shared" si="30"/>
        <v>0</v>
      </c>
      <c r="N46" s="37">
        <f t="shared" si="30"/>
        <v>0</v>
      </c>
      <c r="O46" s="37">
        <f t="shared" si="30"/>
        <v>0</v>
      </c>
      <c r="P46" s="37">
        <f t="shared" si="30"/>
        <v>0</v>
      </c>
      <c r="Q46" s="37">
        <f t="shared" si="30"/>
        <v>0</v>
      </c>
      <c r="R46" s="37">
        <f t="shared" si="30"/>
        <v>0</v>
      </c>
      <c r="S46" s="37">
        <f t="shared" si="30"/>
        <v>0</v>
      </c>
      <c r="T46" s="37">
        <f t="shared" si="30"/>
        <v>0</v>
      </c>
      <c r="U46" s="37">
        <f t="shared" si="30"/>
        <v>0</v>
      </c>
      <c r="V46" s="37">
        <f t="shared" si="30"/>
        <v>0</v>
      </c>
      <c r="W46" s="11"/>
    </row>
    <row r="47" spans="1:23" x14ac:dyDescent="0.15">
      <c r="A47" s="199"/>
      <c r="B47" s="35"/>
      <c r="C47" s="36">
        <f>5.25727125*W3</f>
        <v>5.7567120187499992</v>
      </c>
      <c r="D47" s="11"/>
      <c r="E47" s="37">
        <f t="shared" ref="E47:V47" si="31">IF(E$23=0,0,$C47)*E$23</f>
        <v>0</v>
      </c>
      <c r="F47" s="37">
        <f t="shared" si="31"/>
        <v>0</v>
      </c>
      <c r="G47" s="37">
        <f t="shared" si="31"/>
        <v>0</v>
      </c>
      <c r="H47" s="37">
        <f t="shared" si="31"/>
        <v>0</v>
      </c>
      <c r="I47" s="37">
        <f t="shared" si="31"/>
        <v>0</v>
      </c>
      <c r="J47" s="37">
        <f t="shared" si="31"/>
        <v>0</v>
      </c>
      <c r="K47" s="37">
        <f t="shared" si="31"/>
        <v>0</v>
      </c>
      <c r="L47" s="37">
        <f t="shared" si="31"/>
        <v>0</v>
      </c>
      <c r="M47" s="37">
        <f t="shared" si="31"/>
        <v>0</v>
      </c>
      <c r="N47" s="37">
        <f t="shared" si="31"/>
        <v>0</v>
      </c>
      <c r="O47" s="37">
        <f t="shared" si="31"/>
        <v>0</v>
      </c>
      <c r="P47" s="37">
        <f t="shared" si="31"/>
        <v>0</v>
      </c>
      <c r="Q47" s="37">
        <f t="shared" si="31"/>
        <v>0</v>
      </c>
      <c r="R47" s="37">
        <f t="shared" si="31"/>
        <v>0</v>
      </c>
      <c r="S47" s="37">
        <f t="shared" si="31"/>
        <v>0</v>
      </c>
      <c r="T47" s="37">
        <f t="shared" si="31"/>
        <v>0</v>
      </c>
      <c r="U47" s="37">
        <f t="shared" si="31"/>
        <v>0</v>
      </c>
      <c r="V47" s="37">
        <f t="shared" si="31"/>
        <v>0</v>
      </c>
      <c r="W47" s="11"/>
    </row>
    <row r="48" spans="1:23" x14ac:dyDescent="0.15">
      <c r="A48" s="199"/>
      <c r="B48" s="35"/>
      <c r="C48" s="36">
        <f>4.94802*W3</f>
        <v>5.4180818999999998</v>
      </c>
      <c r="D48" s="11"/>
      <c r="E48" s="37">
        <f t="shared" ref="E48:V48" si="32">IF(E$24=0,0,$C48)*E$24</f>
        <v>0</v>
      </c>
      <c r="F48" s="37">
        <f t="shared" si="32"/>
        <v>0</v>
      </c>
      <c r="G48" s="37">
        <f t="shared" si="32"/>
        <v>0</v>
      </c>
      <c r="H48" s="37">
        <f t="shared" si="32"/>
        <v>0</v>
      </c>
      <c r="I48" s="37">
        <f t="shared" si="32"/>
        <v>0</v>
      </c>
      <c r="J48" s="37">
        <f t="shared" si="32"/>
        <v>0</v>
      </c>
      <c r="K48" s="37">
        <f t="shared" si="32"/>
        <v>0</v>
      </c>
      <c r="L48" s="37">
        <f t="shared" si="32"/>
        <v>0</v>
      </c>
      <c r="M48" s="37">
        <f t="shared" si="32"/>
        <v>0</v>
      </c>
      <c r="N48" s="37">
        <f t="shared" si="32"/>
        <v>0</v>
      </c>
      <c r="O48" s="37">
        <f t="shared" si="32"/>
        <v>0</v>
      </c>
      <c r="P48" s="37">
        <f t="shared" si="32"/>
        <v>0</v>
      </c>
      <c r="Q48" s="37">
        <f t="shared" si="32"/>
        <v>0</v>
      </c>
      <c r="R48" s="37">
        <f t="shared" si="32"/>
        <v>0</v>
      </c>
      <c r="S48" s="37">
        <f t="shared" si="32"/>
        <v>0</v>
      </c>
      <c r="T48" s="37">
        <f t="shared" si="32"/>
        <v>0</v>
      </c>
      <c r="U48" s="37">
        <f t="shared" si="32"/>
        <v>0</v>
      </c>
      <c r="V48" s="37">
        <f t="shared" si="32"/>
        <v>0</v>
      </c>
      <c r="W48" s="11"/>
    </row>
    <row r="49" spans="1:23" x14ac:dyDescent="0.15">
      <c r="A49" s="199"/>
      <c r="B49" s="35"/>
      <c r="C49" s="36">
        <f>4.63876875*W3</f>
        <v>5.0794517812499995</v>
      </c>
      <c r="D49" s="11"/>
      <c r="E49" s="37">
        <f t="shared" ref="E49:V49" si="33">IF(E$25=0,0,$C49)*E$25</f>
        <v>0</v>
      </c>
      <c r="F49" s="37">
        <f t="shared" si="33"/>
        <v>0</v>
      </c>
      <c r="G49" s="37">
        <f t="shared" si="33"/>
        <v>0</v>
      </c>
      <c r="H49" s="37">
        <f t="shared" si="33"/>
        <v>0</v>
      </c>
      <c r="I49" s="37">
        <f t="shared" si="33"/>
        <v>0</v>
      </c>
      <c r="J49" s="37">
        <f t="shared" si="33"/>
        <v>0</v>
      </c>
      <c r="K49" s="37">
        <f t="shared" si="33"/>
        <v>0</v>
      </c>
      <c r="L49" s="37">
        <f t="shared" si="33"/>
        <v>0</v>
      </c>
      <c r="M49" s="37">
        <f t="shared" si="33"/>
        <v>0</v>
      </c>
      <c r="N49" s="37">
        <f t="shared" si="33"/>
        <v>0</v>
      </c>
      <c r="O49" s="37">
        <f t="shared" si="33"/>
        <v>0</v>
      </c>
      <c r="P49" s="37">
        <f t="shared" si="33"/>
        <v>0</v>
      </c>
      <c r="Q49" s="37">
        <f t="shared" si="33"/>
        <v>0</v>
      </c>
      <c r="R49" s="37">
        <f t="shared" si="33"/>
        <v>0</v>
      </c>
      <c r="S49" s="37">
        <f t="shared" si="33"/>
        <v>0</v>
      </c>
      <c r="T49" s="37">
        <f t="shared" si="33"/>
        <v>0</v>
      </c>
      <c r="U49" s="37">
        <f t="shared" si="33"/>
        <v>0</v>
      </c>
      <c r="V49" s="37">
        <f t="shared" si="33"/>
        <v>0</v>
      </c>
      <c r="W49" s="11"/>
    </row>
    <row r="50" spans="1:23" x14ac:dyDescent="0.15">
      <c r="A50" s="199"/>
      <c r="B50" s="35"/>
      <c r="C50" s="36">
        <f>4.3295175*W3</f>
        <v>4.7408216624999993</v>
      </c>
      <c r="D50" s="11"/>
      <c r="E50" s="37">
        <f t="shared" ref="E50:V50" si="34">IF(E$26=0,0,$C50)*E$26</f>
        <v>0</v>
      </c>
      <c r="F50" s="37">
        <f t="shared" si="34"/>
        <v>0</v>
      </c>
      <c r="G50" s="37">
        <f t="shared" si="34"/>
        <v>0</v>
      </c>
      <c r="H50" s="37">
        <f t="shared" si="34"/>
        <v>0</v>
      </c>
      <c r="I50" s="37">
        <f t="shared" si="34"/>
        <v>0</v>
      </c>
      <c r="J50" s="37">
        <f t="shared" si="34"/>
        <v>0</v>
      </c>
      <c r="K50" s="37">
        <f t="shared" si="34"/>
        <v>0</v>
      </c>
      <c r="L50" s="37">
        <f t="shared" si="34"/>
        <v>0</v>
      </c>
      <c r="M50" s="37">
        <f t="shared" si="34"/>
        <v>0</v>
      </c>
      <c r="N50" s="37">
        <f t="shared" si="34"/>
        <v>0</v>
      </c>
      <c r="O50" s="37">
        <f t="shared" si="34"/>
        <v>0</v>
      </c>
      <c r="P50" s="37">
        <f t="shared" si="34"/>
        <v>0</v>
      </c>
      <c r="Q50" s="37">
        <f t="shared" si="34"/>
        <v>0</v>
      </c>
      <c r="R50" s="37">
        <f t="shared" si="34"/>
        <v>0</v>
      </c>
      <c r="S50" s="37">
        <f t="shared" si="34"/>
        <v>0</v>
      </c>
      <c r="T50" s="37">
        <f t="shared" si="34"/>
        <v>0</v>
      </c>
      <c r="U50" s="37">
        <f t="shared" si="34"/>
        <v>0</v>
      </c>
      <c r="V50" s="37">
        <f t="shared" si="34"/>
        <v>0</v>
      </c>
      <c r="W50" s="11"/>
    </row>
    <row r="51" spans="1:23" x14ac:dyDescent="0.15">
      <c r="A51" s="199"/>
      <c r="B51" s="24"/>
      <c r="C51" s="38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 spans="1:23" x14ac:dyDescent="0.15">
      <c r="A52" s="199"/>
      <c r="B52" s="193" t="s">
        <v>12</v>
      </c>
      <c r="C52" s="194"/>
      <c r="D52" s="11"/>
      <c r="E52" s="195" t="s">
        <v>9</v>
      </c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96"/>
      <c r="W52" s="11"/>
    </row>
    <row r="53" spans="1:23" x14ac:dyDescent="0.15">
      <c r="A53" s="199"/>
      <c r="B53" s="35"/>
      <c r="C53" s="39">
        <f>0.80405325*W3</f>
        <v>0.88043830875000006</v>
      </c>
      <c r="D53" s="11"/>
      <c r="E53" s="37">
        <f t="shared" ref="E53:V53" si="35">IF(E$29&lt;50,0,$C53)*E$29</f>
        <v>0</v>
      </c>
      <c r="F53" s="37">
        <f t="shared" si="35"/>
        <v>0</v>
      </c>
      <c r="G53" s="37">
        <f t="shared" si="35"/>
        <v>0</v>
      </c>
      <c r="H53" s="37">
        <f t="shared" si="35"/>
        <v>0</v>
      </c>
      <c r="I53" s="37">
        <f t="shared" si="35"/>
        <v>0</v>
      </c>
      <c r="J53" s="37">
        <f t="shared" si="35"/>
        <v>0</v>
      </c>
      <c r="K53" s="37">
        <f t="shared" si="35"/>
        <v>3521.7532350000001</v>
      </c>
      <c r="L53" s="37">
        <f t="shared" si="35"/>
        <v>3521.7532350000001</v>
      </c>
      <c r="M53" s="37">
        <f t="shared" si="35"/>
        <v>3521.7532350000001</v>
      </c>
      <c r="N53" s="37">
        <f t="shared" si="35"/>
        <v>3521.7532350000001</v>
      </c>
      <c r="O53" s="37">
        <f t="shared" si="35"/>
        <v>3521.7532350000001</v>
      </c>
      <c r="P53" s="37">
        <f t="shared" si="35"/>
        <v>3521.7532350000001</v>
      </c>
      <c r="Q53" s="37">
        <f t="shared" si="35"/>
        <v>3521.7532350000001</v>
      </c>
      <c r="R53" s="37">
        <f t="shared" si="35"/>
        <v>3521.7532350000001</v>
      </c>
      <c r="S53" s="37">
        <f t="shared" si="35"/>
        <v>3521.7532350000001</v>
      </c>
      <c r="T53" s="37">
        <f t="shared" si="35"/>
        <v>3521.7532350000001</v>
      </c>
      <c r="U53" s="37">
        <f t="shared" si="35"/>
        <v>0</v>
      </c>
      <c r="V53" s="37">
        <f t="shared" si="35"/>
        <v>0</v>
      </c>
      <c r="W53" s="11"/>
    </row>
    <row r="54" spans="1:23" x14ac:dyDescent="0.15">
      <c r="A54" s="199"/>
      <c r="B54" s="35"/>
      <c r="C54" s="39">
        <f>0.3711015*W3</f>
        <v>0.40635614249999996</v>
      </c>
      <c r="D54" s="11"/>
      <c r="E54" s="37">
        <f t="shared" ref="E54:V54" si="36">IF(E$30=0,0,$C54)*E$30</f>
        <v>0</v>
      </c>
      <c r="F54" s="37">
        <f t="shared" si="36"/>
        <v>0</v>
      </c>
      <c r="G54" s="37">
        <f t="shared" si="36"/>
        <v>0</v>
      </c>
      <c r="H54" s="37">
        <f t="shared" si="36"/>
        <v>0</v>
      </c>
      <c r="I54" s="37">
        <f t="shared" si="36"/>
        <v>0</v>
      </c>
      <c r="J54" s="37">
        <f t="shared" si="36"/>
        <v>0</v>
      </c>
      <c r="K54" s="37">
        <f t="shared" si="36"/>
        <v>2892.8493784574998</v>
      </c>
      <c r="L54" s="37">
        <f t="shared" si="36"/>
        <v>2321.5126421024997</v>
      </c>
      <c r="M54" s="37">
        <f t="shared" si="36"/>
        <v>3564.5560820099995</v>
      </c>
      <c r="N54" s="37">
        <f t="shared" si="36"/>
        <v>2877.8142011849995</v>
      </c>
      <c r="O54" s="37">
        <f t="shared" si="36"/>
        <v>3421.1123637074998</v>
      </c>
      <c r="P54" s="37">
        <f t="shared" si="36"/>
        <v>3045.6392880374997</v>
      </c>
      <c r="Q54" s="37">
        <f t="shared" si="36"/>
        <v>3036.6994529024996</v>
      </c>
      <c r="R54" s="37">
        <f t="shared" si="36"/>
        <v>2154.9066236774997</v>
      </c>
      <c r="S54" s="37">
        <f t="shared" si="36"/>
        <v>2437.7304988574997</v>
      </c>
      <c r="T54" s="37">
        <f t="shared" si="36"/>
        <v>2777.8505901299995</v>
      </c>
      <c r="U54" s="37">
        <f t="shared" si="36"/>
        <v>0</v>
      </c>
      <c r="V54" s="37">
        <f t="shared" si="36"/>
        <v>0</v>
      </c>
      <c r="W54" s="11"/>
    </row>
    <row r="55" spans="1:23" x14ac:dyDescent="0.15">
      <c r="A55" s="199"/>
      <c r="B55" s="40"/>
      <c r="C55" s="41">
        <f>0.18555075*W3</f>
        <v>0.20317807124999998</v>
      </c>
      <c r="D55" s="30"/>
      <c r="E55" s="42">
        <f t="shared" ref="E55:V55" si="37">IF(E$31=0,0,$C55)*E$31</f>
        <v>0</v>
      </c>
      <c r="F55" s="42">
        <f t="shared" si="37"/>
        <v>0</v>
      </c>
      <c r="G55" s="42">
        <f t="shared" si="37"/>
        <v>0</v>
      </c>
      <c r="H55" s="42">
        <f t="shared" si="37"/>
        <v>0</v>
      </c>
      <c r="I55" s="42">
        <f t="shared" si="37"/>
        <v>0</v>
      </c>
      <c r="J55" s="42">
        <f t="shared" si="37"/>
        <v>0</v>
      </c>
      <c r="K55" s="42">
        <f t="shared" si="37"/>
        <v>0</v>
      </c>
      <c r="L55" s="42">
        <f t="shared" si="37"/>
        <v>0</v>
      </c>
      <c r="M55" s="42">
        <f t="shared" si="37"/>
        <v>0</v>
      </c>
      <c r="N55" s="42">
        <f t="shared" si="37"/>
        <v>0</v>
      </c>
      <c r="O55" s="42">
        <f t="shared" si="37"/>
        <v>0</v>
      </c>
      <c r="P55" s="42">
        <f t="shared" si="37"/>
        <v>0</v>
      </c>
      <c r="Q55" s="42">
        <f t="shared" si="37"/>
        <v>0</v>
      </c>
      <c r="R55" s="42">
        <f t="shared" si="37"/>
        <v>0</v>
      </c>
      <c r="S55" s="42">
        <f t="shared" si="37"/>
        <v>0</v>
      </c>
      <c r="T55" s="42">
        <f t="shared" si="37"/>
        <v>0</v>
      </c>
      <c r="U55" s="42">
        <f t="shared" si="37"/>
        <v>0</v>
      </c>
      <c r="V55" s="42">
        <f t="shared" si="37"/>
        <v>0</v>
      </c>
      <c r="W55" s="11"/>
    </row>
    <row r="56" spans="1:23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 spans="1:23" x14ac:dyDescent="0.15">
      <c r="A57" s="197"/>
      <c r="B57" s="193" t="s">
        <v>4</v>
      </c>
      <c r="C57" s="194"/>
      <c r="D57" s="11"/>
      <c r="E57" s="195" t="s">
        <v>4</v>
      </c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6"/>
      <c r="W57" s="11"/>
    </row>
    <row r="58" spans="1:23" ht="12" customHeight="1" x14ac:dyDescent="0.15">
      <c r="A58" s="198"/>
      <c r="B58" s="40"/>
      <c r="C58" s="41">
        <f>2.47*W3</f>
        <v>2.70465</v>
      </c>
      <c r="D58" s="11"/>
      <c r="E58" s="37">
        <f t="shared" ref="E58:J58" si="38">IF(E$29&lt;50,0,$C58)*E$29</f>
        <v>0</v>
      </c>
      <c r="F58" s="37">
        <f t="shared" si="38"/>
        <v>0</v>
      </c>
      <c r="G58" s="37">
        <f t="shared" si="38"/>
        <v>0</v>
      </c>
      <c r="H58" s="37">
        <f t="shared" si="38"/>
        <v>0</v>
      </c>
      <c r="I58" s="37">
        <f t="shared" si="38"/>
        <v>0</v>
      </c>
      <c r="J58" s="37">
        <f t="shared" si="38"/>
        <v>0</v>
      </c>
      <c r="K58" s="42">
        <f>+K10*$C$58</f>
        <v>1387.4854499999999</v>
      </c>
      <c r="L58" s="42">
        <f t="shared" ref="L58:V58" si="39">+L10*$C$58</f>
        <v>952.03679999999997</v>
      </c>
      <c r="M58" s="42">
        <f t="shared" si="39"/>
        <v>1208.97855</v>
      </c>
      <c r="N58" s="42">
        <f t="shared" si="39"/>
        <v>1184.6367</v>
      </c>
      <c r="O58" s="42">
        <f t="shared" si="39"/>
        <v>1125.1343999999999</v>
      </c>
      <c r="P58" s="42">
        <f t="shared" si="39"/>
        <v>1038.5855999999999</v>
      </c>
      <c r="Q58" s="42">
        <f t="shared" si="39"/>
        <v>960.15075000000002</v>
      </c>
      <c r="R58" s="42">
        <f t="shared" si="39"/>
        <v>954.74144999999999</v>
      </c>
      <c r="S58" s="42">
        <f t="shared" si="39"/>
        <v>1119.7251000000001</v>
      </c>
      <c r="T58" s="42">
        <f t="shared" si="39"/>
        <v>1160.29485</v>
      </c>
      <c r="U58" s="42">
        <f t="shared" si="39"/>
        <v>0</v>
      </c>
      <c r="V58" s="42">
        <f t="shared" si="39"/>
        <v>0</v>
      </c>
      <c r="W58" s="11"/>
    </row>
    <row r="59" spans="1:23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 spans="1:23" x14ac:dyDescent="0.1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 spans="1:23" x14ac:dyDescent="0.15">
      <c r="A61" s="192"/>
      <c r="B61" s="192"/>
      <c r="C61" s="8" t="s">
        <v>14</v>
      </c>
      <c r="D61" s="11"/>
      <c r="E61" s="43"/>
      <c r="F61" s="43"/>
      <c r="G61" s="43"/>
      <c r="H61" s="43"/>
      <c r="I61" s="43"/>
      <c r="J61" s="43"/>
      <c r="K61" s="43">
        <f>+K38</f>
        <v>6882.1096391027495</v>
      </c>
      <c r="L61" s="43">
        <f>+L38</f>
        <v>6450.1666048299985</v>
      </c>
      <c r="M61" s="43">
        <f>+M38</f>
        <v>7060.3103527937501</v>
      </c>
      <c r="N61" s="43">
        <f>+N38</f>
        <v>6308.768212444751</v>
      </c>
      <c r="O61" s="43">
        <f t="shared" ref="O61:V61" si="40">+O38</f>
        <v>6740.7112467174984</v>
      </c>
      <c r="P61" s="43">
        <f t="shared" ref="P61:R61" si="41">+P38</f>
        <v>6271.9658911389997</v>
      </c>
      <c r="Q61" s="43">
        <f t="shared" si="41"/>
        <v>6529.582140279249</v>
      </c>
      <c r="R61" s="43">
        <f t="shared" si="41"/>
        <v>6485.031961856499</v>
      </c>
      <c r="S61" s="43">
        <f t="shared" si="40"/>
        <v>6763.9548180685006</v>
      </c>
      <c r="T61" s="43">
        <f t="shared" si="40"/>
        <v>6922.7858889669997</v>
      </c>
      <c r="U61" s="43">
        <f t="shared" si="40"/>
        <v>0</v>
      </c>
      <c r="V61" s="43">
        <f t="shared" si="40"/>
        <v>0</v>
      </c>
      <c r="W61" s="11"/>
    </row>
    <row r="62" spans="1:23" x14ac:dyDescent="0.15">
      <c r="A62" s="192"/>
      <c r="B62" s="192"/>
      <c r="C62" s="8" t="s">
        <v>15</v>
      </c>
      <c r="D62" s="11"/>
      <c r="E62" s="43"/>
      <c r="F62" s="43"/>
      <c r="G62" s="43"/>
      <c r="H62" s="43"/>
      <c r="I62" s="43"/>
      <c r="J62" s="43"/>
      <c r="K62" s="43">
        <f>+K34</f>
        <v>9790.3768229999987</v>
      </c>
      <c r="L62" s="43">
        <f>+L34</f>
        <v>8928.4526100000003</v>
      </c>
      <c r="M62" s="43">
        <f>+M34</f>
        <v>10145.968874999999</v>
      </c>
      <c r="N62" s="43">
        <f t="shared" ref="N62:V62" si="42">+N34</f>
        <v>8646.2980469999984</v>
      </c>
      <c r="O62" s="43">
        <f t="shared" si="42"/>
        <v>9508.2222600000005</v>
      </c>
      <c r="P62" s="43">
        <f t="shared" ref="P62:R62" si="43">+P34</f>
        <v>8572.8605579999985</v>
      </c>
      <c r="Q62" s="43">
        <f t="shared" si="43"/>
        <v>9086.9229809999997</v>
      </c>
      <c r="R62" s="43">
        <f t="shared" si="43"/>
        <v>8998.0249679999997</v>
      </c>
      <c r="S62" s="43">
        <f t="shared" si="42"/>
        <v>9554.6038319999989</v>
      </c>
      <c r="T62" s="43">
        <f t="shared" si="42"/>
        <v>9871.5445739999996</v>
      </c>
      <c r="U62" s="43">
        <f t="shared" si="42"/>
        <v>0</v>
      </c>
      <c r="V62" s="43">
        <f t="shared" si="42"/>
        <v>0</v>
      </c>
      <c r="W62" s="11"/>
    </row>
    <row r="63" spans="1:23" x14ac:dyDescent="0.15">
      <c r="A63" s="192"/>
      <c r="B63" s="192"/>
      <c r="C63" s="8" t="s">
        <v>3</v>
      </c>
      <c r="D63" s="11"/>
      <c r="E63" s="43">
        <f t="shared" ref="E63:J63" si="44">SUM(E53:E55)</f>
        <v>0</v>
      </c>
      <c r="F63" s="43">
        <f t="shared" si="44"/>
        <v>0</v>
      </c>
      <c r="G63" s="43">
        <f t="shared" si="44"/>
        <v>0</v>
      </c>
      <c r="H63" s="43">
        <f t="shared" si="44"/>
        <v>0</v>
      </c>
      <c r="I63" s="43">
        <f t="shared" si="44"/>
        <v>0</v>
      </c>
      <c r="J63" s="43">
        <f t="shared" si="44"/>
        <v>0</v>
      </c>
      <c r="K63" s="43">
        <f>SUM(K53:K55)</f>
        <v>6414.6026134575004</v>
      </c>
      <c r="L63" s="43">
        <f>SUM(L53:L55)</f>
        <v>5843.2658771024999</v>
      </c>
      <c r="M63" s="43">
        <f>SUM(M53:M55)</f>
        <v>7086.3093170100001</v>
      </c>
      <c r="N63" s="43">
        <f t="shared" ref="N63:V63" si="45">SUM(N53:N55)</f>
        <v>6399.5674361849997</v>
      </c>
      <c r="O63" s="43">
        <f t="shared" si="45"/>
        <v>6942.8655987074999</v>
      </c>
      <c r="P63" s="43">
        <f t="shared" ref="P63:R63" si="46">SUM(P53:P55)</f>
        <v>6567.3925230374998</v>
      </c>
      <c r="Q63" s="43">
        <f t="shared" si="46"/>
        <v>6558.4526879024997</v>
      </c>
      <c r="R63" s="43">
        <f t="shared" si="46"/>
        <v>5676.6598586774999</v>
      </c>
      <c r="S63" s="43">
        <f t="shared" si="45"/>
        <v>5959.4837338574998</v>
      </c>
      <c r="T63" s="43">
        <f t="shared" si="45"/>
        <v>6299.6038251299997</v>
      </c>
      <c r="U63" s="43">
        <f t="shared" si="45"/>
        <v>0</v>
      </c>
      <c r="V63" s="43">
        <f t="shared" si="45"/>
        <v>0</v>
      </c>
      <c r="W63" s="11"/>
    </row>
    <row r="64" spans="1:23" x14ac:dyDescent="0.15">
      <c r="A64" s="192"/>
      <c r="B64" s="192"/>
      <c r="C64" s="8" t="s">
        <v>4</v>
      </c>
      <c r="D64" s="11"/>
      <c r="E64" s="43">
        <f t="shared" ref="E64:J64" si="47">E10*2*1.05</f>
        <v>0</v>
      </c>
      <c r="F64" s="43">
        <f t="shared" si="47"/>
        <v>0</v>
      </c>
      <c r="G64" s="43">
        <f t="shared" si="47"/>
        <v>0</v>
      </c>
      <c r="H64" s="43">
        <f t="shared" si="47"/>
        <v>0</v>
      </c>
      <c r="I64" s="43">
        <f t="shared" si="47"/>
        <v>0</v>
      </c>
      <c r="J64" s="43">
        <f t="shared" si="47"/>
        <v>0</v>
      </c>
      <c r="K64" s="43">
        <f>+K58</f>
        <v>1387.4854499999999</v>
      </c>
      <c r="L64" s="43">
        <f>+L58</f>
        <v>952.03679999999997</v>
      </c>
      <c r="M64" s="43">
        <f t="shared" ref="M64" si="48">+M58</f>
        <v>1208.97855</v>
      </c>
      <c r="N64" s="43">
        <f t="shared" ref="N64:V64" si="49">+N58</f>
        <v>1184.6367</v>
      </c>
      <c r="O64" s="43">
        <f t="shared" si="49"/>
        <v>1125.1343999999999</v>
      </c>
      <c r="P64" s="43">
        <f t="shared" ref="P64:R64" si="50">+P58</f>
        <v>1038.5855999999999</v>
      </c>
      <c r="Q64" s="43">
        <f t="shared" si="50"/>
        <v>960.15075000000002</v>
      </c>
      <c r="R64" s="43">
        <f t="shared" si="50"/>
        <v>954.74144999999999</v>
      </c>
      <c r="S64" s="43">
        <f t="shared" si="49"/>
        <v>1119.7251000000001</v>
      </c>
      <c r="T64" s="43">
        <f t="shared" si="49"/>
        <v>1160.29485</v>
      </c>
      <c r="U64" s="43">
        <f t="shared" si="49"/>
        <v>0</v>
      </c>
      <c r="V64" s="43">
        <f t="shared" si="49"/>
        <v>0</v>
      </c>
      <c r="W64" s="11"/>
    </row>
    <row r="65" spans="1:27" x14ac:dyDescent="0.15">
      <c r="A65" s="11"/>
      <c r="B65" s="11"/>
      <c r="C65" s="44" t="s">
        <v>13</v>
      </c>
      <c r="D65" s="45"/>
      <c r="E65" s="46">
        <f t="shared" ref="E65:V65" si="51">SUM(E61:E64)</f>
        <v>0</v>
      </c>
      <c r="F65" s="46">
        <f t="shared" si="51"/>
        <v>0</v>
      </c>
      <c r="G65" s="46">
        <f t="shared" si="51"/>
        <v>0</v>
      </c>
      <c r="H65" s="46">
        <f t="shared" si="51"/>
        <v>0</v>
      </c>
      <c r="I65" s="46">
        <f t="shared" si="51"/>
        <v>0</v>
      </c>
      <c r="J65" s="46">
        <f t="shared" si="51"/>
        <v>0</v>
      </c>
      <c r="K65" s="46">
        <f t="shared" si="51"/>
        <v>24474.574525560249</v>
      </c>
      <c r="L65" s="46">
        <f>SUM(L61:L64)</f>
        <v>22173.921891932499</v>
      </c>
      <c r="M65" s="46">
        <f t="shared" si="51"/>
        <v>25501.567094803748</v>
      </c>
      <c r="N65" s="46">
        <f t="shared" si="51"/>
        <v>22539.270395629748</v>
      </c>
      <c r="O65" s="46">
        <f t="shared" si="51"/>
        <v>24316.933505424997</v>
      </c>
      <c r="P65" s="46">
        <f t="shared" ref="P65:R65" si="52">SUM(P61:P64)</f>
        <v>22450.804572176497</v>
      </c>
      <c r="Q65" s="46">
        <f t="shared" si="52"/>
        <v>23135.10855918175</v>
      </c>
      <c r="R65" s="46">
        <f t="shared" si="52"/>
        <v>22114.458238534</v>
      </c>
      <c r="S65" s="46">
        <f t="shared" si="51"/>
        <v>23397.767483925996</v>
      </c>
      <c r="T65" s="46">
        <f t="shared" si="51"/>
        <v>24254.229138096998</v>
      </c>
      <c r="U65" s="46">
        <f t="shared" si="51"/>
        <v>0</v>
      </c>
      <c r="V65" s="46">
        <f t="shared" si="51"/>
        <v>0</v>
      </c>
      <c r="W65" s="47"/>
      <c r="Y65" s="48"/>
      <c r="AA65" s="48"/>
    </row>
    <row r="66" spans="1:27" x14ac:dyDescent="0.15"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</row>
    <row r="67" spans="1:27" x14ac:dyDescent="0.1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47"/>
    </row>
    <row r="68" spans="1:27" x14ac:dyDescent="0.15">
      <c r="A68" s="11"/>
      <c r="B68" s="11"/>
      <c r="C68" s="11"/>
      <c r="D68" s="11"/>
      <c r="E68" s="12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 spans="1:27" x14ac:dyDescent="0.15">
      <c r="E69" s="50"/>
    </row>
  </sheetData>
  <mergeCells count="22">
    <mergeCell ref="A36:A38"/>
    <mergeCell ref="B36:C36"/>
    <mergeCell ref="E36:V36"/>
    <mergeCell ref="A33:A34"/>
    <mergeCell ref="B33:C33"/>
    <mergeCell ref="E33:V33"/>
    <mergeCell ref="D1:V3"/>
    <mergeCell ref="A15:A31"/>
    <mergeCell ref="B16:C16"/>
    <mergeCell ref="E16:V16"/>
    <mergeCell ref="B28:C28"/>
    <mergeCell ref="E28:V28"/>
    <mergeCell ref="A6:B10"/>
    <mergeCell ref="A61:B64"/>
    <mergeCell ref="B57:C57"/>
    <mergeCell ref="E57:V57"/>
    <mergeCell ref="A57:A58"/>
    <mergeCell ref="A40:A55"/>
    <mergeCell ref="B40:C40"/>
    <mergeCell ref="E40:V40"/>
    <mergeCell ref="B52:C52"/>
    <mergeCell ref="E52:V52"/>
  </mergeCells>
  <conditionalFormatting sqref="E17:V26 E29:V31">
    <cfRule type="cellIs" dxfId="12" priority="9" operator="equal">
      <formula>0</formula>
    </cfRule>
  </conditionalFormatting>
  <conditionalFormatting sqref="E34:V34">
    <cfRule type="cellIs" dxfId="11" priority="3" operator="equal">
      <formula>0</formula>
    </cfRule>
  </conditionalFormatting>
  <conditionalFormatting sqref="E37:V38">
    <cfRule type="cellIs" dxfId="10" priority="1" operator="equal">
      <formula>0</formula>
    </cfRule>
  </conditionalFormatting>
  <conditionalFormatting sqref="E41:V50">
    <cfRule type="cellIs" dxfId="9" priority="8" operator="equal">
      <formula>0</formula>
    </cfRule>
  </conditionalFormatting>
  <conditionalFormatting sqref="E53:V55">
    <cfRule type="cellIs" dxfId="8" priority="7" operator="equal">
      <formula>0</formula>
    </cfRule>
  </conditionalFormatting>
  <conditionalFormatting sqref="E58:V58">
    <cfRule type="cellIs" dxfId="7" priority="5" operator="equal">
      <formula>0</formula>
    </cfRule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5F2DB-0B1C-40F1-A2B9-F171C906A820}">
  <dimension ref="A1:AL1000"/>
  <sheetViews>
    <sheetView topLeftCell="Q1" workbookViewId="0">
      <selection activeCell="Y12" sqref="Y12:Y84"/>
    </sheetView>
  </sheetViews>
  <sheetFormatPr baseColWidth="10" defaultColWidth="14.5" defaultRowHeight="15" x14ac:dyDescent="0.2"/>
  <cols>
    <col min="1" max="1" width="0.83203125" style="59" customWidth="1"/>
    <col min="2" max="2" width="42.6640625" style="59" customWidth="1"/>
    <col min="3" max="3" width="0.83203125" style="59" customWidth="1"/>
    <col min="4" max="4" width="12" style="59" hidden="1" customWidth="1"/>
    <col min="5" max="5" width="11.33203125" style="59" hidden="1" customWidth="1"/>
    <col min="6" max="6" width="11.5" style="59" hidden="1" customWidth="1"/>
    <col min="7" max="7" width="11.33203125" style="59" hidden="1" customWidth="1"/>
    <col min="8" max="8" width="11.1640625" style="59" hidden="1" customWidth="1"/>
    <col min="9" max="9" width="11.33203125" style="59" hidden="1" customWidth="1"/>
    <col min="10" max="11" width="11.5" style="59" hidden="1" customWidth="1"/>
    <col min="12" max="12" width="12" style="59" hidden="1" customWidth="1"/>
    <col min="13" max="13" width="11" style="59" hidden="1" customWidth="1"/>
    <col min="14" max="14" width="11.33203125" style="59" hidden="1" customWidth="1"/>
    <col min="15" max="15" width="11.83203125" style="59" hidden="1" customWidth="1"/>
    <col min="16" max="27" width="11.83203125" style="59" customWidth="1"/>
    <col min="28" max="28" width="0.83203125" style="59" customWidth="1"/>
    <col min="29" max="29" width="20.1640625" style="59" customWidth="1"/>
    <col min="30" max="30" width="18.1640625" style="59" customWidth="1"/>
    <col min="31" max="37" width="10.83203125" style="59" customWidth="1"/>
    <col min="38" max="38" width="11.5" style="59" customWidth="1"/>
    <col min="39" max="16384" width="14.5" style="59"/>
  </cols>
  <sheetData>
    <row r="1" spans="1:38" ht="9" customHeight="1" x14ac:dyDescent="0.25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7"/>
      <c r="AC1" s="56"/>
      <c r="AD1" s="58"/>
      <c r="AE1" s="56"/>
      <c r="AF1" s="56"/>
      <c r="AG1" s="56"/>
      <c r="AH1" s="56"/>
      <c r="AI1" s="56"/>
      <c r="AJ1" s="56"/>
      <c r="AK1" s="56"/>
      <c r="AL1" s="56"/>
    </row>
    <row r="2" spans="1:38" ht="9" customHeight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7"/>
      <c r="AC2" s="56"/>
      <c r="AD2" s="58"/>
      <c r="AE2" s="56"/>
      <c r="AF2" s="56"/>
      <c r="AG2" s="56"/>
      <c r="AH2" s="56"/>
      <c r="AI2" s="56"/>
      <c r="AJ2" s="56"/>
      <c r="AK2" s="56"/>
      <c r="AL2" s="56"/>
    </row>
    <row r="3" spans="1:38" ht="19.5" customHeight="1" x14ac:dyDescent="0.25">
      <c r="A3" s="56"/>
      <c r="B3" s="212" t="s">
        <v>114</v>
      </c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56"/>
      <c r="AH3" s="56"/>
      <c r="AI3" s="56"/>
      <c r="AJ3" s="56"/>
      <c r="AK3" s="56"/>
      <c r="AL3" s="56"/>
    </row>
    <row r="4" spans="1:38" ht="4.5" customHeight="1" thickBot="1" x14ac:dyDescent="0.3">
      <c r="A4" s="56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6"/>
      <c r="AD4" s="58"/>
      <c r="AE4" s="56"/>
      <c r="AF4" s="56"/>
      <c r="AG4" s="56"/>
      <c r="AH4" s="56"/>
      <c r="AI4" s="56"/>
      <c r="AJ4" s="56"/>
      <c r="AK4" s="56"/>
      <c r="AL4" s="56"/>
    </row>
    <row r="5" spans="1:38" ht="16.5" customHeight="1" x14ac:dyDescent="0.2">
      <c r="A5" s="56"/>
      <c r="B5" s="60" t="s">
        <v>17</v>
      </c>
      <c r="C5" s="61"/>
      <c r="D5" s="214" t="s">
        <v>18</v>
      </c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6"/>
      <c r="P5" s="214" t="s">
        <v>18</v>
      </c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6"/>
      <c r="AB5" s="56"/>
      <c r="AC5" s="56"/>
      <c r="AD5" s="58"/>
      <c r="AE5" s="56"/>
      <c r="AF5" s="56"/>
      <c r="AG5" s="56"/>
      <c r="AH5" s="56"/>
      <c r="AI5" s="56"/>
      <c r="AJ5" s="56"/>
      <c r="AK5" s="56"/>
    </row>
    <row r="6" spans="1:38" ht="3" customHeight="1" thickBot="1" x14ac:dyDescent="0.25">
      <c r="A6" s="56"/>
      <c r="B6" s="62"/>
      <c r="C6" s="61"/>
      <c r="D6" s="217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9"/>
      <c r="P6" s="217"/>
      <c r="Q6" s="218"/>
      <c r="R6" s="218"/>
      <c r="S6" s="218"/>
      <c r="T6" s="218"/>
      <c r="U6" s="218"/>
      <c r="V6" s="218"/>
      <c r="W6" s="218"/>
      <c r="X6" s="218"/>
      <c r="Y6" s="218"/>
      <c r="Z6" s="218"/>
      <c r="AA6" s="219"/>
      <c r="AB6" s="56"/>
      <c r="AC6" s="56"/>
      <c r="AD6" s="58"/>
      <c r="AE6" s="56"/>
      <c r="AF6" s="56"/>
      <c r="AG6" s="56"/>
      <c r="AH6" s="56"/>
      <c r="AI6" s="56"/>
      <c r="AJ6" s="56"/>
      <c r="AK6" s="56"/>
    </row>
    <row r="7" spans="1:38" ht="16" thickBot="1" x14ac:dyDescent="0.25">
      <c r="A7" s="56"/>
      <c r="B7" s="60" t="s">
        <v>19</v>
      </c>
      <c r="C7" s="61"/>
      <c r="D7" s="63"/>
      <c r="E7" s="64"/>
      <c r="F7" s="65"/>
      <c r="G7" s="65"/>
      <c r="H7" s="65"/>
      <c r="I7" s="65"/>
      <c r="J7" s="65"/>
      <c r="K7" s="65"/>
      <c r="L7" s="65"/>
      <c r="M7" s="65"/>
      <c r="N7" s="65"/>
      <c r="O7" s="65"/>
      <c r="P7" s="63"/>
      <c r="Q7" s="64"/>
      <c r="R7" s="65"/>
      <c r="S7" s="65"/>
      <c r="T7" s="65"/>
      <c r="U7" s="65"/>
      <c r="V7" s="65"/>
      <c r="W7" s="65"/>
      <c r="X7" s="65"/>
      <c r="Y7" s="65"/>
      <c r="Z7" s="65"/>
      <c r="AA7" s="65"/>
      <c r="AB7" s="66"/>
      <c r="AC7" s="56"/>
      <c r="AD7" s="58"/>
      <c r="AE7" s="67"/>
      <c r="AF7" s="56"/>
      <c r="AG7" s="56"/>
      <c r="AH7" s="56"/>
      <c r="AI7" s="56"/>
      <c r="AJ7" s="56"/>
      <c r="AK7" s="56"/>
    </row>
    <row r="8" spans="1:38" ht="3" customHeight="1" thickBot="1" x14ac:dyDescent="0.25">
      <c r="A8" s="56"/>
      <c r="B8" s="62"/>
      <c r="C8" s="61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6"/>
      <c r="AC8" s="56"/>
      <c r="AD8" s="58"/>
      <c r="AE8" s="56"/>
      <c r="AF8" s="56"/>
      <c r="AG8" s="56"/>
      <c r="AH8" s="56"/>
      <c r="AI8" s="56"/>
      <c r="AJ8" s="56"/>
      <c r="AK8" s="56"/>
    </row>
    <row r="9" spans="1:38" ht="16" thickBot="1" x14ac:dyDescent="0.25">
      <c r="A9" s="56"/>
      <c r="B9" s="60" t="s">
        <v>20</v>
      </c>
      <c r="C9" s="61"/>
      <c r="D9" s="69">
        <v>45292</v>
      </c>
      <c r="E9" s="69">
        <v>45323</v>
      </c>
      <c r="F9" s="69">
        <v>45352</v>
      </c>
      <c r="G9" s="69">
        <v>45383</v>
      </c>
      <c r="H9" s="69">
        <v>45413</v>
      </c>
      <c r="I9" s="69">
        <v>45444</v>
      </c>
      <c r="J9" s="69">
        <v>45474</v>
      </c>
      <c r="K9" s="69">
        <v>45505</v>
      </c>
      <c r="L9" s="69">
        <v>45536</v>
      </c>
      <c r="M9" s="69">
        <v>45566</v>
      </c>
      <c r="N9" s="69">
        <v>45597</v>
      </c>
      <c r="O9" s="69">
        <v>45627</v>
      </c>
      <c r="P9" s="69">
        <v>45658</v>
      </c>
      <c r="Q9" s="69">
        <v>45689</v>
      </c>
      <c r="R9" s="69">
        <v>45717</v>
      </c>
      <c r="S9" s="69">
        <v>45748</v>
      </c>
      <c r="T9" s="69">
        <v>45778</v>
      </c>
      <c r="U9" s="69">
        <v>45809</v>
      </c>
      <c r="V9" s="69">
        <v>45839</v>
      </c>
      <c r="W9" s="69">
        <v>45870</v>
      </c>
      <c r="X9" s="69">
        <v>45901</v>
      </c>
      <c r="Y9" s="69">
        <v>45931</v>
      </c>
      <c r="Z9" s="69">
        <v>45962</v>
      </c>
      <c r="AA9" s="69">
        <v>45992</v>
      </c>
      <c r="AB9" s="70"/>
      <c r="AC9" s="71" t="s">
        <v>21</v>
      </c>
      <c r="AD9" s="71" t="s">
        <v>22</v>
      </c>
      <c r="AE9" s="56"/>
      <c r="AF9" s="56"/>
      <c r="AG9" s="56"/>
      <c r="AH9" s="56"/>
      <c r="AI9" s="56"/>
      <c r="AJ9" s="56"/>
      <c r="AK9" s="56"/>
    </row>
    <row r="10" spans="1:38" ht="3" customHeight="1" x14ac:dyDescent="0.2">
      <c r="A10" s="56"/>
      <c r="B10" s="62"/>
      <c r="C10" s="61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3"/>
      <c r="AC10" s="74"/>
      <c r="AD10" s="75"/>
      <c r="AE10" s="56"/>
      <c r="AF10" s="56"/>
      <c r="AG10" s="56"/>
      <c r="AH10" s="56"/>
      <c r="AI10" s="56"/>
      <c r="AJ10" s="56"/>
      <c r="AK10" s="56"/>
    </row>
    <row r="11" spans="1:38" x14ac:dyDescent="0.2">
      <c r="A11" s="56"/>
      <c r="B11" s="60" t="s">
        <v>23</v>
      </c>
      <c r="C11" s="58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 s="74"/>
      <c r="AC11" s="74"/>
      <c r="AD11" s="75"/>
      <c r="AE11" s="56"/>
      <c r="AF11" s="56"/>
      <c r="AG11" s="56"/>
      <c r="AH11" s="56"/>
      <c r="AI11" s="56"/>
      <c r="AJ11" s="56"/>
      <c r="AK11" s="56"/>
    </row>
    <row r="12" spans="1:38" x14ac:dyDescent="0.2">
      <c r="A12" s="56"/>
      <c r="B12" s="76" t="s">
        <v>24</v>
      </c>
      <c r="C12" s="56"/>
      <c r="D12" s="77">
        <v>0</v>
      </c>
      <c r="E12" s="77">
        <v>0</v>
      </c>
      <c r="F12" s="77">
        <v>0</v>
      </c>
      <c r="G12" s="77">
        <v>0</v>
      </c>
      <c r="H12" s="77">
        <v>0</v>
      </c>
      <c r="I12" s="77">
        <v>0</v>
      </c>
      <c r="J12" s="77">
        <v>0</v>
      </c>
      <c r="K12" s="77">
        <v>0</v>
      </c>
      <c r="L12" s="77">
        <v>0</v>
      </c>
      <c r="M12" s="77">
        <v>0</v>
      </c>
      <c r="N12" s="77">
        <v>0</v>
      </c>
      <c r="O12" s="77">
        <v>0</v>
      </c>
      <c r="P12" s="77">
        <v>0</v>
      </c>
      <c r="Q12" s="77">
        <v>0</v>
      </c>
      <c r="R12" s="77">
        <v>0</v>
      </c>
      <c r="S12" s="77">
        <v>0</v>
      </c>
      <c r="T12" s="77">
        <v>0</v>
      </c>
      <c r="U12" s="77">
        <v>0</v>
      </c>
      <c r="V12" s="77">
        <v>0</v>
      </c>
      <c r="W12" s="77">
        <v>0</v>
      </c>
      <c r="X12" s="77">
        <v>0</v>
      </c>
      <c r="Y12" s="77">
        <v>0</v>
      </c>
      <c r="Z12" s="77"/>
      <c r="AA12" s="77"/>
      <c r="AB12" s="78"/>
      <c r="AC12" s="79">
        <f>SUM(P12:AA12)</f>
        <v>0</v>
      </c>
      <c r="AD12" s="79">
        <f>IFERROR(AC12/(COUNT(P12:AA12)),0)</f>
        <v>0</v>
      </c>
      <c r="AE12" s="56"/>
      <c r="AF12" s="80"/>
      <c r="AG12" s="56"/>
      <c r="AH12" s="56"/>
      <c r="AI12" s="56"/>
      <c r="AJ12" s="56"/>
      <c r="AK12" s="56"/>
    </row>
    <row r="13" spans="1:38" x14ac:dyDescent="0.2">
      <c r="A13" s="56"/>
      <c r="B13" s="76" t="s">
        <v>25</v>
      </c>
      <c r="C13" s="56"/>
      <c r="D13" s="81">
        <v>0</v>
      </c>
      <c r="E13" s="81">
        <v>0</v>
      </c>
      <c r="F13" s="81">
        <v>0</v>
      </c>
      <c r="G13" s="81">
        <v>0</v>
      </c>
      <c r="H13" s="81">
        <v>0</v>
      </c>
      <c r="I13" s="81">
        <v>0</v>
      </c>
      <c r="J13" s="81">
        <v>0</v>
      </c>
      <c r="K13" s="81">
        <v>0</v>
      </c>
      <c r="L13" s="81">
        <v>0</v>
      </c>
      <c r="M13" s="81">
        <v>0</v>
      </c>
      <c r="N13" s="81">
        <v>0</v>
      </c>
      <c r="O13" s="81">
        <v>0</v>
      </c>
      <c r="P13" s="81">
        <v>0</v>
      </c>
      <c r="Q13" s="81">
        <v>0</v>
      </c>
      <c r="R13" s="81">
        <v>0</v>
      </c>
      <c r="S13" s="81">
        <v>0</v>
      </c>
      <c r="T13" s="81">
        <v>0</v>
      </c>
      <c r="U13" s="81">
        <v>0</v>
      </c>
      <c r="V13" s="81">
        <v>0</v>
      </c>
      <c r="W13" s="81">
        <v>0</v>
      </c>
      <c r="X13" s="81">
        <v>0</v>
      </c>
      <c r="Y13" s="81">
        <v>0</v>
      </c>
      <c r="Z13" s="81"/>
      <c r="AA13" s="81"/>
      <c r="AB13" s="82"/>
      <c r="AC13" s="83">
        <f t="shared" ref="AC13:AC76" si="0">SUM(P13:AA13)</f>
        <v>0</v>
      </c>
      <c r="AD13" s="83">
        <f t="shared" ref="AD13:AD76" si="1">IFERROR(AC13/(COUNT(P13:AA13)),0)</f>
        <v>0</v>
      </c>
      <c r="AE13" s="56"/>
      <c r="AF13" s="67"/>
      <c r="AG13" s="56"/>
      <c r="AH13" s="56"/>
      <c r="AI13" s="56"/>
      <c r="AJ13" s="56"/>
      <c r="AK13" s="56"/>
    </row>
    <row r="14" spans="1:38" x14ac:dyDescent="0.2">
      <c r="A14" s="56"/>
      <c r="B14" s="76" t="s">
        <v>26</v>
      </c>
      <c r="C14" s="56"/>
      <c r="D14" s="84">
        <v>0</v>
      </c>
      <c r="E14" s="84">
        <v>0</v>
      </c>
      <c r="F14" s="84">
        <v>0</v>
      </c>
      <c r="G14" s="84">
        <v>0</v>
      </c>
      <c r="H14" s="84">
        <v>0</v>
      </c>
      <c r="I14" s="84">
        <v>0</v>
      </c>
      <c r="J14" s="84">
        <v>0</v>
      </c>
      <c r="K14" s="84">
        <v>0</v>
      </c>
      <c r="L14" s="84">
        <v>0</v>
      </c>
      <c r="M14" s="84">
        <v>0</v>
      </c>
      <c r="N14" s="84">
        <v>0</v>
      </c>
      <c r="O14" s="84">
        <v>0</v>
      </c>
      <c r="P14" s="84">
        <v>0</v>
      </c>
      <c r="Q14" s="84">
        <v>0</v>
      </c>
      <c r="R14" s="84">
        <v>0</v>
      </c>
      <c r="S14" s="84">
        <v>0</v>
      </c>
      <c r="T14" s="84">
        <v>0</v>
      </c>
      <c r="U14" s="84">
        <v>0</v>
      </c>
      <c r="V14" s="84">
        <v>0</v>
      </c>
      <c r="W14" s="84">
        <v>0</v>
      </c>
      <c r="X14" s="84">
        <v>0</v>
      </c>
      <c r="Y14" s="84">
        <v>0</v>
      </c>
      <c r="Z14" s="84"/>
      <c r="AA14" s="84"/>
      <c r="AB14" s="78"/>
      <c r="AC14" s="85">
        <f t="shared" si="0"/>
        <v>0</v>
      </c>
      <c r="AD14" s="85">
        <f t="shared" si="1"/>
        <v>0</v>
      </c>
      <c r="AE14" s="56"/>
      <c r="AF14" s="56"/>
      <c r="AG14" s="56"/>
      <c r="AH14" s="56"/>
      <c r="AI14" s="56"/>
      <c r="AJ14" s="56"/>
      <c r="AK14" s="56"/>
    </row>
    <row r="15" spans="1:38" x14ac:dyDescent="0.2">
      <c r="A15" s="56"/>
      <c r="B15" s="60" t="s">
        <v>27</v>
      </c>
      <c r="C15" s="58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 s="74"/>
      <c r="AC15" s="86">
        <f t="shared" si="0"/>
        <v>0</v>
      </c>
      <c r="AD15" s="86">
        <f t="shared" si="1"/>
        <v>0</v>
      </c>
      <c r="AE15" s="56"/>
      <c r="AF15" s="56"/>
      <c r="AG15" s="56"/>
      <c r="AH15" s="56"/>
      <c r="AI15" s="56"/>
      <c r="AJ15" s="56"/>
      <c r="AK15" s="56"/>
    </row>
    <row r="16" spans="1:38" x14ac:dyDescent="0.2">
      <c r="A16" s="56"/>
      <c r="B16" s="76" t="s">
        <v>28</v>
      </c>
      <c r="C16" s="56"/>
      <c r="D16" s="77">
        <v>3323</v>
      </c>
      <c r="E16" s="77">
        <v>3044</v>
      </c>
      <c r="F16" s="77">
        <v>3201</v>
      </c>
      <c r="G16" s="77">
        <v>3434</v>
      </c>
      <c r="H16" s="77">
        <v>3544</v>
      </c>
      <c r="I16" s="77">
        <v>3336</v>
      </c>
      <c r="J16" s="77">
        <v>3604</v>
      </c>
      <c r="K16" s="77">
        <v>3366</v>
      </c>
      <c r="L16" s="77">
        <v>3508</v>
      </c>
      <c r="M16" s="77">
        <v>3552</v>
      </c>
      <c r="N16" s="77">
        <v>3749</v>
      </c>
      <c r="O16" s="77">
        <v>3881</v>
      </c>
      <c r="P16" s="77">
        <v>3675</v>
      </c>
      <c r="Q16" s="77">
        <v>3249</v>
      </c>
      <c r="R16" s="77">
        <v>3753</v>
      </c>
      <c r="S16" s="77">
        <v>3339</v>
      </c>
      <c r="T16" s="77">
        <v>3661</v>
      </c>
      <c r="U16" s="77">
        <v>3345</v>
      </c>
      <c r="V16" s="77">
        <v>3523</v>
      </c>
      <c r="W16" s="77">
        <v>3438</v>
      </c>
      <c r="X16" s="77">
        <v>3681</v>
      </c>
      <c r="Y16" s="77">
        <v>3765</v>
      </c>
      <c r="Z16" s="77"/>
      <c r="AA16" s="77"/>
      <c r="AB16" s="87"/>
      <c r="AC16" s="79">
        <f t="shared" si="0"/>
        <v>35429</v>
      </c>
      <c r="AD16" s="79">
        <f t="shared" si="1"/>
        <v>3542.9</v>
      </c>
      <c r="AE16" s="56"/>
      <c r="AF16" s="56"/>
      <c r="AG16" s="56"/>
      <c r="AH16" s="56"/>
      <c r="AI16" s="56"/>
      <c r="AJ16" s="56"/>
      <c r="AK16" s="56"/>
    </row>
    <row r="17" spans="1:38" s="127" customFormat="1" x14ac:dyDescent="0.2">
      <c r="A17" s="122"/>
      <c r="B17" s="123" t="s">
        <v>29</v>
      </c>
      <c r="C17" s="122"/>
      <c r="D17" s="124">
        <v>2450</v>
      </c>
      <c r="E17" s="124">
        <v>2189</v>
      </c>
      <c r="F17" s="124">
        <v>2350</v>
      </c>
      <c r="G17" s="124">
        <v>2465</v>
      </c>
      <c r="H17" s="124">
        <v>2526</v>
      </c>
      <c r="I17" s="124">
        <v>2314</v>
      </c>
      <c r="J17" s="124">
        <v>2473</v>
      </c>
      <c r="K17" s="124">
        <v>2395</v>
      </c>
      <c r="L17" s="124">
        <v>2413</v>
      </c>
      <c r="M17" s="124">
        <v>2557</v>
      </c>
      <c r="N17" s="124">
        <v>2614</v>
      </c>
      <c r="O17" s="124">
        <v>2669</v>
      </c>
      <c r="P17" s="124">
        <v>2533</v>
      </c>
      <c r="Q17" s="124">
        <v>2310</v>
      </c>
      <c r="R17" s="124">
        <v>2625</v>
      </c>
      <c r="S17" s="124">
        <v>2237</v>
      </c>
      <c r="T17" s="124">
        <v>2460</v>
      </c>
      <c r="U17" s="124">
        <v>2218</v>
      </c>
      <c r="V17" s="124">
        <v>2351</v>
      </c>
      <c r="W17" s="124">
        <v>2328</v>
      </c>
      <c r="X17" s="124">
        <v>2472</v>
      </c>
      <c r="Y17" s="124">
        <v>2554</v>
      </c>
      <c r="Z17" s="124"/>
      <c r="AA17" s="124"/>
      <c r="AB17" s="125"/>
      <c r="AC17" s="126">
        <f t="shared" si="0"/>
        <v>24088</v>
      </c>
      <c r="AD17" s="126">
        <f t="shared" si="1"/>
        <v>2408.8000000000002</v>
      </c>
      <c r="AE17" s="122"/>
      <c r="AF17" s="122"/>
      <c r="AG17" s="122"/>
      <c r="AH17" s="122"/>
      <c r="AI17" s="122"/>
      <c r="AJ17" s="122"/>
      <c r="AK17" s="122"/>
    </row>
    <row r="18" spans="1:38" x14ac:dyDescent="0.2">
      <c r="A18" s="56"/>
      <c r="B18" s="76" t="s">
        <v>30</v>
      </c>
      <c r="C18" s="56"/>
      <c r="D18" s="88">
        <v>0.73728558531447486</v>
      </c>
      <c r="E18" s="88">
        <v>0.71911957950065708</v>
      </c>
      <c r="F18" s="88">
        <v>0.73414557950640424</v>
      </c>
      <c r="G18" s="88">
        <v>0.71782178217821779</v>
      </c>
      <c r="H18" s="88">
        <v>0.71275395033860045</v>
      </c>
      <c r="I18" s="88">
        <v>0.69364508393285373</v>
      </c>
      <c r="J18" s="88">
        <v>0.68618201997780248</v>
      </c>
      <c r="K18" s="88">
        <v>0.71152703505644677</v>
      </c>
      <c r="L18" s="88">
        <v>0.68785632839224631</v>
      </c>
      <c r="M18" s="88">
        <v>0.71987612612612617</v>
      </c>
      <c r="N18" s="88">
        <v>0.69725260069351824</v>
      </c>
      <c r="O18" s="88">
        <v>0.68770935325946925</v>
      </c>
      <c r="P18" s="88">
        <v>0.68925170068027208</v>
      </c>
      <c r="Q18" s="88">
        <v>0.71098799630655585</v>
      </c>
      <c r="R18" s="88">
        <v>0.69944044764188651</v>
      </c>
      <c r="S18" s="88">
        <v>0.6699610661874813</v>
      </c>
      <c r="T18" s="88">
        <v>0.67194755531275607</v>
      </c>
      <c r="U18" s="88">
        <v>0.66307922272047837</v>
      </c>
      <c r="V18" s="88">
        <v>0.66732898098211746</v>
      </c>
      <c r="W18" s="88">
        <v>0.67713787085514832</v>
      </c>
      <c r="X18" s="88">
        <v>0.6715566422167889</v>
      </c>
      <c r="Y18" s="88">
        <v>0.67835325365205845</v>
      </c>
      <c r="Z18" s="88"/>
      <c r="AA18" s="88"/>
      <c r="AB18" s="87"/>
      <c r="AC18" s="89">
        <f t="shared" si="0"/>
        <v>6.7990447365555422</v>
      </c>
      <c r="AD18" s="89">
        <f t="shared" si="1"/>
        <v>0.67990447365555418</v>
      </c>
      <c r="AE18" s="56"/>
      <c r="AF18" s="56"/>
      <c r="AG18" s="56"/>
      <c r="AH18" s="56"/>
      <c r="AI18" s="56"/>
      <c r="AJ18" s="56"/>
      <c r="AK18" s="56"/>
    </row>
    <row r="19" spans="1:38" x14ac:dyDescent="0.2">
      <c r="A19" s="56"/>
      <c r="B19" s="90" t="s">
        <v>31</v>
      </c>
      <c r="C19" s="56"/>
      <c r="D19" s="77">
        <v>2323</v>
      </c>
      <c r="E19" s="77">
        <v>2069</v>
      </c>
      <c r="F19" s="77">
        <v>2198</v>
      </c>
      <c r="G19" s="77">
        <v>2328</v>
      </c>
      <c r="H19" s="77">
        <v>2293</v>
      </c>
      <c r="I19" s="77">
        <v>2118</v>
      </c>
      <c r="J19" s="77">
        <v>2273</v>
      </c>
      <c r="K19" s="77">
        <v>2181</v>
      </c>
      <c r="L19" s="77">
        <v>2243</v>
      </c>
      <c r="M19" s="77">
        <v>2366</v>
      </c>
      <c r="N19" s="77">
        <v>2395</v>
      </c>
      <c r="O19" s="77">
        <v>2430</v>
      </c>
      <c r="P19" s="77">
        <v>2300</v>
      </c>
      <c r="Q19" s="77">
        <v>2123</v>
      </c>
      <c r="R19" s="77">
        <v>2444</v>
      </c>
      <c r="S19" s="77">
        <v>2095</v>
      </c>
      <c r="T19" s="77">
        <v>2319</v>
      </c>
      <c r="U19" s="77">
        <v>2109</v>
      </c>
      <c r="V19" s="77">
        <v>2203</v>
      </c>
      <c r="W19" s="77">
        <v>2186</v>
      </c>
      <c r="X19" s="77">
        <v>2331</v>
      </c>
      <c r="Y19" s="77">
        <v>2429</v>
      </c>
      <c r="Z19" s="77"/>
      <c r="AA19" s="77"/>
      <c r="AB19" s="87"/>
      <c r="AC19" s="79">
        <f t="shared" si="0"/>
        <v>22539</v>
      </c>
      <c r="AD19" s="79">
        <f t="shared" si="1"/>
        <v>2253.9</v>
      </c>
      <c r="AE19" s="56"/>
      <c r="AF19" s="56"/>
      <c r="AG19" s="56"/>
      <c r="AH19" s="56"/>
      <c r="AI19" s="56"/>
      <c r="AJ19" s="56"/>
      <c r="AK19" s="56"/>
      <c r="AL19" s="56"/>
    </row>
    <row r="20" spans="1:38" x14ac:dyDescent="0.2">
      <c r="A20" s="56"/>
      <c r="B20" s="90" t="s">
        <v>32</v>
      </c>
      <c r="C20" s="56"/>
      <c r="D20" s="77">
        <v>1946</v>
      </c>
      <c r="E20" s="77">
        <v>1738</v>
      </c>
      <c r="F20" s="77">
        <v>1866</v>
      </c>
      <c r="G20" s="77">
        <v>1997</v>
      </c>
      <c r="H20" s="77">
        <v>2018</v>
      </c>
      <c r="I20" s="77">
        <v>1805</v>
      </c>
      <c r="J20" s="77">
        <v>1950</v>
      </c>
      <c r="K20" s="77">
        <v>1849</v>
      </c>
      <c r="L20" s="77">
        <v>1921</v>
      </c>
      <c r="M20" s="77">
        <v>2016</v>
      </c>
      <c r="N20" s="77">
        <v>2013</v>
      </c>
      <c r="O20" s="77">
        <v>2019</v>
      </c>
      <c r="P20" s="77">
        <v>1801</v>
      </c>
      <c r="Q20" s="77">
        <v>1773</v>
      </c>
      <c r="R20" s="77">
        <v>2058</v>
      </c>
      <c r="S20" s="77">
        <v>1710</v>
      </c>
      <c r="T20" s="77">
        <v>1884</v>
      </c>
      <c r="U20" s="77">
        <v>1732</v>
      </c>
      <c r="V20" s="77">
        <v>1706</v>
      </c>
      <c r="W20" s="77">
        <v>1638</v>
      </c>
      <c r="X20" s="77">
        <v>1786</v>
      </c>
      <c r="Y20" s="77">
        <v>1693</v>
      </c>
      <c r="Z20" s="77"/>
      <c r="AA20" s="77"/>
      <c r="AB20" s="87"/>
      <c r="AC20" s="79">
        <f t="shared" si="0"/>
        <v>17781</v>
      </c>
      <c r="AD20" s="79">
        <f t="shared" si="1"/>
        <v>1778.1</v>
      </c>
      <c r="AE20" s="56"/>
      <c r="AF20" s="56"/>
      <c r="AG20" s="56"/>
      <c r="AH20" s="56"/>
      <c r="AI20" s="56"/>
      <c r="AJ20" s="56"/>
      <c r="AK20" s="56"/>
      <c r="AL20" s="56"/>
    </row>
    <row r="21" spans="1:38" ht="15.75" customHeight="1" x14ac:dyDescent="0.2">
      <c r="A21" s="56"/>
      <c r="B21" s="90" t="s">
        <v>33</v>
      </c>
      <c r="C21" s="56"/>
      <c r="D21" s="77">
        <v>377</v>
      </c>
      <c r="E21" s="77">
        <v>331</v>
      </c>
      <c r="F21" s="77">
        <v>332</v>
      </c>
      <c r="G21" s="77">
        <v>331</v>
      </c>
      <c r="H21" s="77">
        <v>275</v>
      </c>
      <c r="I21" s="77">
        <v>313</v>
      </c>
      <c r="J21" s="77">
        <v>323</v>
      </c>
      <c r="K21" s="77">
        <v>332</v>
      </c>
      <c r="L21" s="77">
        <v>322</v>
      </c>
      <c r="M21" s="77">
        <v>350</v>
      </c>
      <c r="N21" s="77">
        <v>382</v>
      </c>
      <c r="O21" s="77">
        <v>411</v>
      </c>
      <c r="P21" s="77">
        <v>499</v>
      </c>
      <c r="Q21" s="77">
        <v>350</v>
      </c>
      <c r="R21" s="77">
        <v>386</v>
      </c>
      <c r="S21" s="77">
        <v>385</v>
      </c>
      <c r="T21" s="77">
        <v>435</v>
      </c>
      <c r="U21" s="77">
        <v>377</v>
      </c>
      <c r="V21" s="77">
        <v>497</v>
      </c>
      <c r="W21" s="77">
        <v>548</v>
      </c>
      <c r="X21" s="77">
        <v>545</v>
      </c>
      <c r="Y21" s="77">
        <v>692</v>
      </c>
      <c r="Z21" s="77"/>
      <c r="AA21" s="77"/>
      <c r="AB21" s="87"/>
      <c r="AC21" s="79">
        <f t="shared" si="0"/>
        <v>4714</v>
      </c>
      <c r="AD21" s="79">
        <f t="shared" si="1"/>
        <v>471.4</v>
      </c>
      <c r="AE21" s="56"/>
      <c r="AF21" s="56"/>
      <c r="AG21" s="56"/>
      <c r="AH21" s="56"/>
      <c r="AI21" s="56"/>
      <c r="AJ21" s="56"/>
      <c r="AK21" s="56"/>
      <c r="AL21" s="56"/>
    </row>
    <row r="22" spans="1:38" ht="15.75" customHeight="1" x14ac:dyDescent="0.2">
      <c r="A22" s="56"/>
      <c r="B22" s="76" t="s">
        <v>34</v>
      </c>
      <c r="C22" s="56"/>
      <c r="D22" s="77">
        <v>111</v>
      </c>
      <c r="E22" s="77">
        <v>117</v>
      </c>
      <c r="F22" s="77">
        <v>160</v>
      </c>
      <c r="G22" s="77">
        <v>145</v>
      </c>
      <c r="H22" s="77">
        <v>225</v>
      </c>
      <c r="I22" s="77">
        <v>193</v>
      </c>
      <c r="J22" s="77">
        <v>214</v>
      </c>
      <c r="K22" s="77">
        <v>202</v>
      </c>
      <c r="L22" s="77">
        <v>166</v>
      </c>
      <c r="M22" s="77">
        <v>190</v>
      </c>
      <c r="N22" s="77">
        <v>230</v>
      </c>
      <c r="O22" s="77">
        <v>249</v>
      </c>
      <c r="P22" s="77">
        <v>245</v>
      </c>
      <c r="Q22" s="77">
        <v>196</v>
      </c>
      <c r="R22" s="77">
        <v>193</v>
      </c>
      <c r="S22" s="77">
        <v>130</v>
      </c>
      <c r="T22" s="77">
        <v>134</v>
      </c>
      <c r="U22" s="77">
        <v>102</v>
      </c>
      <c r="V22" s="77">
        <v>136</v>
      </c>
      <c r="W22" s="77">
        <v>115</v>
      </c>
      <c r="X22" s="77">
        <v>123</v>
      </c>
      <c r="Y22" s="77">
        <v>116</v>
      </c>
      <c r="Z22" s="77"/>
      <c r="AA22" s="77"/>
      <c r="AB22" s="87"/>
      <c r="AC22" s="79">
        <f t="shared" si="0"/>
        <v>1490</v>
      </c>
      <c r="AD22" s="79">
        <f t="shared" si="1"/>
        <v>149</v>
      </c>
      <c r="AE22" s="56"/>
      <c r="AF22" s="56"/>
      <c r="AG22" s="56"/>
      <c r="AH22" s="56"/>
      <c r="AI22" s="56"/>
      <c r="AJ22" s="56"/>
      <c r="AK22" s="56"/>
    </row>
    <row r="23" spans="1:38" ht="15.75" customHeight="1" x14ac:dyDescent="0.2">
      <c r="A23" s="56"/>
      <c r="B23" s="76" t="s">
        <v>35</v>
      </c>
      <c r="C23" s="56"/>
      <c r="D23" s="77">
        <v>170</v>
      </c>
      <c r="E23" s="77">
        <v>178</v>
      </c>
      <c r="F23" s="77">
        <v>233</v>
      </c>
      <c r="G23" s="77">
        <v>250</v>
      </c>
      <c r="H23" s="77">
        <v>262</v>
      </c>
      <c r="I23" s="77">
        <v>241</v>
      </c>
      <c r="J23" s="77">
        <v>294</v>
      </c>
      <c r="K23" s="77">
        <v>291</v>
      </c>
      <c r="L23" s="77">
        <v>324</v>
      </c>
      <c r="M23" s="77">
        <v>302</v>
      </c>
      <c r="N23" s="77">
        <v>416</v>
      </c>
      <c r="O23" s="77">
        <v>388</v>
      </c>
      <c r="P23" s="77">
        <v>400</v>
      </c>
      <c r="Q23" s="77">
        <v>328</v>
      </c>
      <c r="R23" s="77">
        <v>375</v>
      </c>
      <c r="S23" s="77">
        <v>429</v>
      </c>
      <c r="T23" s="77">
        <v>494</v>
      </c>
      <c r="U23" s="77">
        <v>475</v>
      </c>
      <c r="V23" s="77">
        <v>541</v>
      </c>
      <c r="W23" s="77">
        <v>512</v>
      </c>
      <c r="X23" s="77">
        <v>540</v>
      </c>
      <c r="Y23" s="77">
        <v>506</v>
      </c>
      <c r="Z23" s="77"/>
      <c r="AA23" s="77"/>
      <c r="AB23" s="87"/>
      <c r="AC23" s="79">
        <f t="shared" si="0"/>
        <v>4600</v>
      </c>
      <c r="AD23" s="79">
        <f t="shared" si="1"/>
        <v>460</v>
      </c>
      <c r="AE23" s="56"/>
      <c r="AF23" s="56"/>
      <c r="AG23" s="56"/>
      <c r="AH23" s="56"/>
      <c r="AI23" s="56"/>
      <c r="AJ23" s="56"/>
      <c r="AK23" s="56"/>
    </row>
    <row r="24" spans="1:38" ht="15.75" customHeight="1" x14ac:dyDescent="0.2">
      <c r="A24" s="56"/>
      <c r="B24" s="76" t="s">
        <v>36</v>
      </c>
      <c r="C24" s="56"/>
      <c r="D24" s="77">
        <v>48</v>
      </c>
      <c r="E24" s="77">
        <v>22</v>
      </c>
      <c r="F24" s="77">
        <v>35</v>
      </c>
      <c r="G24" s="77">
        <v>34</v>
      </c>
      <c r="H24" s="77">
        <v>23</v>
      </c>
      <c r="I24" s="77">
        <v>30</v>
      </c>
      <c r="J24" s="77">
        <v>36</v>
      </c>
      <c r="K24" s="77">
        <v>28</v>
      </c>
      <c r="L24" s="77">
        <v>27</v>
      </c>
      <c r="M24" s="77">
        <v>24</v>
      </c>
      <c r="N24" s="77">
        <v>31</v>
      </c>
      <c r="O24" s="77">
        <v>28</v>
      </c>
      <c r="P24" s="77">
        <v>18</v>
      </c>
      <c r="Q24" s="77">
        <v>19</v>
      </c>
      <c r="R24" s="77">
        <v>22</v>
      </c>
      <c r="S24" s="77">
        <v>25</v>
      </c>
      <c r="T24" s="77">
        <v>28</v>
      </c>
      <c r="U24" s="77">
        <v>31</v>
      </c>
      <c r="V24" s="77">
        <v>26</v>
      </c>
      <c r="W24" s="77">
        <v>20</v>
      </c>
      <c r="X24" s="77">
        <v>13</v>
      </c>
      <c r="Y24" s="77">
        <v>18</v>
      </c>
      <c r="Z24" s="77"/>
      <c r="AA24" s="77"/>
      <c r="AB24" s="87"/>
      <c r="AC24" s="79">
        <f t="shared" si="0"/>
        <v>220</v>
      </c>
      <c r="AD24" s="79">
        <f t="shared" si="1"/>
        <v>22</v>
      </c>
      <c r="AE24" s="56"/>
      <c r="AF24" s="56"/>
      <c r="AG24" s="56"/>
      <c r="AH24" s="56"/>
      <c r="AI24" s="56"/>
      <c r="AJ24" s="56"/>
      <c r="AK24" s="56"/>
    </row>
    <row r="25" spans="1:38" ht="15.75" customHeight="1" x14ac:dyDescent="0.2">
      <c r="A25" s="56"/>
      <c r="B25" s="76" t="s">
        <v>37</v>
      </c>
      <c r="C25" s="56"/>
      <c r="D25" s="77">
        <v>22</v>
      </c>
      <c r="E25" s="77">
        <v>13</v>
      </c>
      <c r="F25" s="77">
        <v>26</v>
      </c>
      <c r="G25" s="77">
        <v>16</v>
      </c>
      <c r="H25" s="77">
        <v>14</v>
      </c>
      <c r="I25" s="77">
        <v>16</v>
      </c>
      <c r="J25" s="77">
        <v>11</v>
      </c>
      <c r="K25" s="77">
        <v>20</v>
      </c>
      <c r="L25" s="77">
        <v>28</v>
      </c>
      <c r="M25" s="77">
        <v>35</v>
      </c>
      <c r="N25" s="77">
        <v>40</v>
      </c>
      <c r="O25" s="77">
        <v>23</v>
      </c>
      <c r="P25" s="77">
        <v>21</v>
      </c>
      <c r="Q25" s="77">
        <v>25</v>
      </c>
      <c r="R25" s="77">
        <v>23</v>
      </c>
      <c r="S25" s="77">
        <v>17</v>
      </c>
      <c r="T25" s="77">
        <v>22</v>
      </c>
      <c r="U25" s="77">
        <v>14</v>
      </c>
      <c r="V25" s="77">
        <v>25</v>
      </c>
      <c r="W25" s="77">
        <v>17</v>
      </c>
      <c r="X25" s="77">
        <v>11</v>
      </c>
      <c r="Y25" s="77">
        <v>8</v>
      </c>
      <c r="Z25" s="77"/>
      <c r="AA25" s="77"/>
      <c r="AB25" s="87"/>
      <c r="AC25" s="79">
        <f t="shared" si="0"/>
        <v>183</v>
      </c>
      <c r="AD25" s="79">
        <f t="shared" si="1"/>
        <v>18.3</v>
      </c>
      <c r="AE25" s="56"/>
      <c r="AF25" s="56"/>
      <c r="AG25" s="56"/>
      <c r="AH25" s="56"/>
      <c r="AI25" s="56"/>
      <c r="AJ25" s="56"/>
      <c r="AK25" s="56"/>
    </row>
    <row r="26" spans="1:38" ht="15.75" customHeight="1" x14ac:dyDescent="0.2">
      <c r="A26" s="56"/>
      <c r="B26" s="76" t="s">
        <v>38</v>
      </c>
      <c r="C26" s="56"/>
      <c r="D26" s="77">
        <v>1989</v>
      </c>
      <c r="E26" s="77">
        <v>1842</v>
      </c>
      <c r="F26" s="77">
        <v>1922</v>
      </c>
      <c r="G26" s="77">
        <v>2096</v>
      </c>
      <c r="H26" s="77">
        <v>2100</v>
      </c>
      <c r="I26" s="77">
        <v>1926</v>
      </c>
      <c r="J26" s="77">
        <v>2059</v>
      </c>
      <c r="K26" s="77">
        <v>1955</v>
      </c>
      <c r="L26" s="77">
        <v>2047</v>
      </c>
      <c r="M26" s="77">
        <v>2167</v>
      </c>
      <c r="N26" s="77">
        <v>2191</v>
      </c>
      <c r="O26" s="77">
        <v>2216</v>
      </c>
      <c r="P26" s="77">
        <v>2093</v>
      </c>
      <c r="Q26" s="77">
        <v>1898</v>
      </c>
      <c r="R26" s="77">
        <v>2223</v>
      </c>
      <c r="S26" s="77">
        <v>1873</v>
      </c>
      <c r="T26" s="77">
        <v>2089</v>
      </c>
      <c r="U26" s="77">
        <v>1930</v>
      </c>
      <c r="V26" s="77">
        <v>1994</v>
      </c>
      <c r="W26" s="77">
        <v>1985</v>
      </c>
      <c r="X26" s="77">
        <v>2170</v>
      </c>
      <c r="Y26" s="77">
        <v>2258</v>
      </c>
      <c r="Z26" s="77"/>
      <c r="AA26" s="77"/>
      <c r="AB26" s="87"/>
      <c r="AC26" s="79">
        <f t="shared" si="0"/>
        <v>20513</v>
      </c>
      <c r="AD26" s="79">
        <f t="shared" si="1"/>
        <v>2051.3000000000002</v>
      </c>
      <c r="AE26" s="56"/>
      <c r="AF26" s="56"/>
      <c r="AG26" s="56"/>
      <c r="AH26" s="56"/>
      <c r="AI26" s="56"/>
      <c r="AJ26" s="56"/>
      <c r="AK26" s="56"/>
    </row>
    <row r="27" spans="1:38" s="127" customFormat="1" ht="15.75" customHeight="1" x14ac:dyDescent="0.2">
      <c r="A27" s="122"/>
      <c r="B27" s="123" t="s">
        <v>39</v>
      </c>
      <c r="C27" s="122"/>
      <c r="D27" s="124">
        <v>458</v>
      </c>
      <c r="E27" s="124">
        <v>412</v>
      </c>
      <c r="F27" s="124">
        <v>433</v>
      </c>
      <c r="G27" s="124">
        <v>484</v>
      </c>
      <c r="H27" s="124">
        <v>511</v>
      </c>
      <c r="I27" s="124">
        <v>433</v>
      </c>
      <c r="J27" s="124">
        <v>434</v>
      </c>
      <c r="K27" s="124">
        <v>435</v>
      </c>
      <c r="L27" s="124">
        <v>553</v>
      </c>
      <c r="M27" s="124">
        <v>475</v>
      </c>
      <c r="N27" s="124">
        <v>473</v>
      </c>
      <c r="O27" s="124">
        <v>536</v>
      </c>
      <c r="P27" s="124">
        <v>513</v>
      </c>
      <c r="Q27" s="124">
        <v>352</v>
      </c>
      <c r="R27" s="124">
        <v>447</v>
      </c>
      <c r="S27" s="124">
        <v>438</v>
      </c>
      <c r="T27" s="124">
        <v>416</v>
      </c>
      <c r="U27" s="124">
        <v>384</v>
      </c>
      <c r="V27" s="124">
        <v>355</v>
      </c>
      <c r="W27" s="124">
        <v>353</v>
      </c>
      <c r="X27" s="124">
        <v>414</v>
      </c>
      <c r="Y27" s="124">
        <v>429</v>
      </c>
      <c r="Z27" s="124"/>
      <c r="AA27" s="124"/>
      <c r="AB27" s="125"/>
      <c r="AC27" s="126">
        <f t="shared" si="0"/>
        <v>4101</v>
      </c>
      <c r="AD27" s="126">
        <f t="shared" si="1"/>
        <v>410.1</v>
      </c>
      <c r="AE27" s="122"/>
      <c r="AF27" s="122"/>
      <c r="AG27" s="122"/>
      <c r="AH27" s="122"/>
      <c r="AI27" s="122"/>
      <c r="AJ27" s="122"/>
      <c r="AK27" s="122"/>
    </row>
    <row r="28" spans="1:38" ht="15.75" customHeight="1" x14ac:dyDescent="0.2">
      <c r="A28" s="56"/>
      <c r="B28" s="76" t="s">
        <v>40</v>
      </c>
      <c r="C28" s="56"/>
      <c r="D28" s="88">
        <v>0.13782726452001204</v>
      </c>
      <c r="E28" s="88">
        <v>0.13534822601839686</v>
      </c>
      <c r="F28" s="88">
        <v>0.1352702280537332</v>
      </c>
      <c r="G28" s="88">
        <v>0.14094350611531742</v>
      </c>
      <c r="H28" s="88">
        <v>0.14418735891647855</v>
      </c>
      <c r="I28" s="88">
        <v>0.12979616306954436</v>
      </c>
      <c r="J28" s="88">
        <v>0.12042175360710322</v>
      </c>
      <c r="K28" s="88">
        <v>0.12923351158645277</v>
      </c>
      <c r="L28" s="88">
        <v>0.15763968072976053</v>
      </c>
      <c r="M28" s="88">
        <v>0.13372747747747749</v>
      </c>
      <c r="N28" s="88">
        <v>0.12616697786076286</v>
      </c>
      <c r="O28" s="88">
        <v>0.13810873486214892</v>
      </c>
      <c r="P28" s="88">
        <v>0.13959183673469389</v>
      </c>
      <c r="Q28" s="88">
        <v>0.10834102800861804</v>
      </c>
      <c r="R28" s="88">
        <v>0.11910471622701839</v>
      </c>
      <c r="S28" s="88">
        <v>0.13117699910152741</v>
      </c>
      <c r="T28" s="88">
        <v>0.11363015569516526</v>
      </c>
      <c r="U28" s="88">
        <v>0.11479820627802691</v>
      </c>
      <c r="V28" s="88">
        <v>0.10076639227930741</v>
      </c>
      <c r="W28" s="88">
        <v>0.1026759744037231</v>
      </c>
      <c r="X28" s="88">
        <v>0.11246943765281174</v>
      </c>
      <c r="Y28" s="88">
        <v>0.11394422310756971</v>
      </c>
      <c r="Z28" s="88"/>
      <c r="AA28" s="88"/>
      <c r="AB28" s="87"/>
      <c r="AC28" s="89">
        <f t="shared" si="0"/>
        <v>1.156498969488462</v>
      </c>
      <c r="AD28" s="89">
        <f t="shared" si="1"/>
        <v>0.1156498969488462</v>
      </c>
      <c r="AE28" s="56"/>
      <c r="AF28" s="56"/>
      <c r="AG28" s="56"/>
      <c r="AH28" s="56"/>
      <c r="AI28" s="56"/>
      <c r="AJ28" s="56"/>
      <c r="AK28" s="56"/>
    </row>
    <row r="29" spans="1:38" ht="15.75" customHeight="1" x14ac:dyDescent="0.2">
      <c r="A29" s="56"/>
      <c r="B29" s="76" t="s">
        <v>41</v>
      </c>
      <c r="C29" s="56"/>
      <c r="D29" s="77">
        <v>415</v>
      </c>
      <c r="E29" s="77">
        <v>443</v>
      </c>
      <c r="F29" s="77">
        <v>418</v>
      </c>
      <c r="G29" s="77">
        <v>485</v>
      </c>
      <c r="H29" s="77">
        <v>507</v>
      </c>
      <c r="I29" s="77">
        <v>544</v>
      </c>
      <c r="J29" s="77">
        <v>552</v>
      </c>
      <c r="K29" s="77">
        <v>529</v>
      </c>
      <c r="L29" s="77">
        <v>542</v>
      </c>
      <c r="M29" s="77">
        <v>520</v>
      </c>
      <c r="N29" s="77">
        <v>662</v>
      </c>
      <c r="O29" s="77">
        <v>676</v>
      </c>
      <c r="P29" s="77">
        <v>629</v>
      </c>
      <c r="Q29" s="77">
        <v>587</v>
      </c>
      <c r="R29" s="77">
        <v>681</v>
      </c>
      <c r="S29" s="77">
        <v>664</v>
      </c>
      <c r="T29" s="77">
        <v>785</v>
      </c>
      <c r="U29" s="77">
        <v>743</v>
      </c>
      <c r="V29" s="77">
        <v>817</v>
      </c>
      <c r="W29" s="77">
        <v>757</v>
      </c>
      <c r="X29" s="77">
        <v>795</v>
      </c>
      <c r="Y29" s="77">
        <v>782</v>
      </c>
      <c r="Z29" s="77"/>
      <c r="AA29" s="77"/>
      <c r="AB29" s="87"/>
      <c r="AC29" s="79">
        <f t="shared" si="0"/>
        <v>7240</v>
      </c>
      <c r="AD29" s="79">
        <f t="shared" si="1"/>
        <v>724</v>
      </c>
      <c r="AE29" s="56"/>
      <c r="AF29" s="56"/>
      <c r="AG29" s="56"/>
      <c r="AH29" s="56"/>
      <c r="AI29" s="56"/>
      <c r="AJ29" s="56"/>
      <c r="AK29" s="56"/>
    </row>
    <row r="30" spans="1:38" ht="15.75" customHeight="1" x14ac:dyDescent="0.2">
      <c r="A30" s="56"/>
      <c r="B30" s="76" t="s">
        <v>42</v>
      </c>
      <c r="C30" s="56"/>
      <c r="D30" s="88">
        <v>0.12488715016551309</v>
      </c>
      <c r="E30" s="88">
        <v>0.14553219448094612</v>
      </c>
      <c r="F30" s="88">
        <v>0.13058419243986255</v>
      </c>
      <c r="G30" s="88">
        <v>0.14123471170646476</v>
      </c>
      <c r="H30" s="88">
        <v>0.143058690744921</v>
      </c>
      <c r="I30" s="88">
        <v>0.16306954436450841</v>
      </c>
      <c r="J30" s="88">
        <v>0.15316315205327413</v>
      </c>
      <c r="K30" s="88">
        <v>0.15715983363042185</v>
      </c>
      <c r="L30" s="88">
        <v>0.15450399087799316</v>
      </c>
      <c r="M30" s="88">
        <v>0.1463963963963964</v>
      </c>
      <c r="N30" s="88">
        <v>0.17658042144571887</v>
      </c>
      <c r="O30" s="88">
        <v>0.17418191187838186</v>
      </c>
      <c r="P30" s="88">
        <v>0.171156462585034</v>
      </c>
      <c r="Q30" s="88">
        <v>0.1806709756848261</v>
      </c>
      <c r="R30" s="88">
        <v>0.18145483613109512</v>
      </c>
      <c r="S30" s="88">
        <v>0.19886193471099131</v>
      </c>
      <c r="T30" s="88">
        <v>0.21442228899207866</v>
      </c>
      <c r="U30" s="88">
        <v>0.22212257100149477</v>
      </c>
      <c r="V30" s="88">
        <v>0.23190462673857506</v>
      </c>
      <c r="W30" s="88">
        <v>0.22018615474112857</v>
      </c>
      <c r="X30" s="88">
        <v>0.21597392013039934</v>
      </c>
      <c r="Y30" s="88">
        <v>0.20770252324037183</v>
      </c>
      <c r="Z30" s="88"/>
      <c r="AA30" s="88"/>
      <c r="AB30" s="87"/>
      <c r="AC30" s="89">
        <f t="shared" si="0"/>
        <v>2.0444562939559949</v>
      </c>
      <c r="AD30" s="89">
        <f t="shared" si="1"/>
        <v>0.20444562939559949</v>
      </c>
      <c r="AE30" s="56"/>
      <c r="AF30" s="56"/>
      <c r="AG30" s="56"/>
      <c r="AH30" s="56"/>
      <c r="AI30" s="56"/>
      <c r="AJ30" s="56"/>
      <c r="AK30" s="56"/>
    </row>
    <row r="31" spans="1:38" ht="15.75" customHeight="1" x14ac:dyDescent="0.2">
      <c r="A31" s="56"/>
      <c r="B31" s="60" t="s">
        <v>43</v>
      </c>
      <c r="C31" s="58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74"/>
      <c r="AC31" s="86">
        <f t="shared" si="0"/>
        <v>0</v>
      </c>
      <c r="AD31" s="86">
        <f t="shared" si="1"/>
        <v>0</v>
      </c>
      <c r="AE31" s="56"/>
      <c r="AF31" s="56"/>
      <c r="AG31" s="56"/>
      <c r="AH31" s="56"/>
      <c r="AI31" s="56"/>
      <c r="AJ31" s="56"/>
      <c r="AK31" s="56"/>
    </row>
    <row r="32" spans="1:38" ht="15.75" customHeight="1" x14ac:dyDescent="0.2">
      <c r="A32" s="56"/>
      <c r="B32" s="90" t="s">
        <v>44</v>
      </c>
      <c r="C32" s="56"/>
      <c r="D32" s="81">
        <v>35945.757748165888</v>
      </c>
      <c r="E32" s="81">
        <v>30859.267255577171</v>
      </c>
      <c r="F32" s="81">
        <v>36459.761042072176</v>
      </c>
      <c r="G32" s="81">
        <v>40089.508758796226</v>
      </c>
      <c r="H32" s="81">
        <v>40815.408893546934</v>
      </c>
      <c r="I32" s="81">
        <v>36361.90148225781</v>
      </c>
      <c r="J32" s="81">
        <v>36447.773319359185</v>
      </c>
      <c r="K32" s="81">
        <v>36675.484952837251</v>
      </c>
      <c r="L32" s="81">
        <v>37210.222338673448</v>
      </c>
      <c r="M32" s="81">
        <v>39348.510854918393</v>
      </c>
      <c r="N32" s="81">
        <v>38446.338374008083</v>
      </c>
      <c r="O32" s="81">
        <v>40564.070220092835</v>
      </c>
      <c r="P32" s="81">
        <v>48017.737419354817</v>
      </c>
      <c r="Q32" s="81">
        <v>43638.231451612904</v>
      </c>
      <c r="R32" s="81">
        <v>46581.802903225813</v>
      </c>
      <c r="S32" s="81">
        <v>42320.285209677415</v>
      </c>
      <c r="T32" s="81">
        <v>43541.195161290314</v>
      </c>
      <c r="U32" s="81">
        <v>36185.445951612914</v>
      </c>
      <c r="V32" s="81">
        <v>42956.215322580647</v>
      </c>
      <c r="W32" s="81">
        <v>40835.016129032258</v>
      </c>
      <c r="X32" s="81">
        <v>40811.993548387101</v>
      </c>
      <c r="Y32" s="81">
        <v>41968.395161290326</v>
      </c>
      <c r="Z32" s="81"/>
      <c r="AA32" s="81"/>
      <c r="AB32" s="92"/>
      <c r="AC32" s="83">
        <f t="shared" si="0"/>
        <v>426856.31825806445</v>
      </c>
      <c r="AD32" s="83">
        <f t="shared" si="1"/>
        <v>42685.631825806442</v>
      </c>
      <c r="AE32" s="56"/>
      <c r="AF32" s="56"/>
      <c r="AG32" s="56"/>
      <c r="AH32" s="56"/>
      <c r="AI32" s="56"/>
      <c r="AJ32" s="56"/>
      <c r="AK32" s="56"/>
      <c r="AL32" s="56"/>
    </row>
    <row r="33" spans="1:38" ht="15.75" customHeight="1" x14ac:dyDescent="0.2">
      <c r="A33" s="56"/>
      <c r="B33" s="90" t="s">
        <v>45</v>
      </c>
      <c r="C33" s="56"/>
      <c r="D33" s="81">
        <v>41447.008668962422</v>
      </c>
      <c r="E33" s="81">
        <v>32737.590357837991</v>
      </c>
      <c r="F33" s="81">
        <v>35849.181000149722</v>
      </c>
      <c r="G33" s="81">
        <v>33844.705794280584</v>
      </c>
      <c r="H33" s="81">
        <v>28992.829016319807</v>
      </c>
      <c r="I33" s="81">
        <v>34930.705045665512</v>
      </c>
      <c r="J33" s="81">
        <v>35132.053900284467</v>
      </c>
      <c r="K33" s="81">
        <v>67112.470205120539</v>
      </c>
      <c r="L33" s="81">
        <v>32750.330588411452</v>
      </c>
      <c r="M33" s="81">
        <v>37136.209013325344</v>
      </c>
      <c r="N33" s="81">
        <v>44152.814493187594</v>
      </c>
      <c r="O33" s="81">
        <v>43586.694864500671</v>
      </c>
      <c r="P33" s="81">
        <v>48074.216451612912</v>
      </c>
      <c r="Q33" s="81">
        <v>41963.163387096771</v>
      </c>
      <c r="R33" s="81">
        <v>47782.851483870967</v>
      </c>
      <c r="S33" s="81">
        <v>44844.875806451608</v>
      </c>
      <c r="T33" s="81">
        <v>54447.726612903221</v>
      </c>
      <c r="U33" s="81">
        <v>42876.283870967738</v>
      </c>
      <c r="V33" s="81">
        <v>42397.469032258065</v>
      </c>
      <c r="W33" s="81">
        <v>46324.642096774194</v>
      </c>
      <c r="X33" s="81">
        <v>45154.00532258064</v>
      </c>
      <c r="Y33" s="81">
        <v>48436.542258064517</v>
      </c>
      <c r="Z33" s="81"/>
      <c r="AA33" s="81"/>
      <c r="AB33" s="92"/>
      <c r="AC33" s="83">
        <f t="shared" si="0"/>
        <v>462301.77632258064</v>
      </c>
      <c r="AD33" s="83">
        <f t="shared" si="1"/>
        <v>46230.177632258063</v>
      </c>
      <c r="AE33" s="56"/>
      <c r="AF33" s="56"/>
      <c r="AG33" s="56"/>
      <c r="AH33" s="56"/>
      <c r="AI33" s="56"/>
      <c r="AJ33" s="56"/>
      <c r="AK33" s="56"/>
      <c r="AL33" s="56"/>
    </row>
    <row r="34" spans="1:38" ht="15.75" customHeight="1" x14ac:dyDescent="0.2">
      <c r="A34" s="56"/>
      <c r="B34" s="90" t="s">
        <v>46</v>
      </c>
      <c r="C34" s="56"/>
      <c r="D34" s="81">
        <v>1868.5500823476566</v>
      </c>
      <c r="E34" s="81">
        <v>852.47102859709514</v>
      </c>
      <c r="F34" s="81">
        <v>1946.8183859859259</v>
      </c>
      <c r="G34" s="81">
        <v>1249.5448420422219</v>
      </c>
      <c r="H34" s="81">
        <v>1173.6831861057044</v>
      </c>
      <c r="I34" s="81">
        <v>1302.4734241652943</v>
      </c>
      <c r="J34" s="81">
        <v>1195.2088636023357</v>
      </c>
      <c r="K34" s="81">
        <v>1663.69216948645</v>
      </c>
      <c r="L34" s="81">
        <v>2894.9528372510849</v>
      </c>
      <c r="M34" s="81">
        <v>3153.3028896541396</v>
      </c>
      <c r="N34" s="81">
        <v>4298.155412486899</v>
      </c>
      <c r="O34" s="81">
        <v>2031.6215002245842</v>
      </c>
      <c r="P34" s="81">
        <v>1704.0387096774193</v>
      </c>
      <c r="Q34" s="81">
        <v>2666.6048387096776</v>
      </c>
      <c r="R34" s="81">
        <v>2576.6548387096777</v>
      </c>
      <c r="S34" s="81">
        <v>1768.5483870967741</v>
      </c>
      <c r="T34" s="81">
        <v>2492.9354838709678</v>
      </c>
      <c r="U34" s="81">
        <v>1331.2096774193549</v>
      </c>
      <c r="V34" s="81">
        <v>2791.6129032258063</v>
      </c>
      <c r="W34" s="81">
        <v>1096.3499999999999</v>
      </c>
      <c r="X34" s="81">
        <v>789.72580645161293</v>
      </c>
      <c r="Y34" s="81">
        <v>520.47903225806454</v>
      </c>
      <c r="Z34" s="81"/>
      <c r="AA34" s="81"/>
      <c r="AB34" s="92"/>
      <c r="AC34" s="83">
        <f t="shared" si="0"/>
        <v>17738.159677419353</v>
      </c>
      <c r="AD34" s="83">
        <f t="shared" si="1"/>
        <v>1773.8159677419353</v>
      </c>
      <c r="AE34" s="56"/>
      <c r="AF34" s="56"/>
      <c r="AG34" s="56"/>
      <c r="AH34" s="56"/>
      <c r="AI34" s="56"/>
      <c r="AJ34" s="56"/>
      <c r="AK34" s="56"/>
      <c r="AL34" s="56"/>
    </row>
    <row r="35" spans="1:38" ht="15.75" customHeight="1" x14ac:dyDescent="0.2">
      <c r="A35" s="56"/>
      <c r="B35" s="90" t="s">
        <v>47</v>
      </c>
      <c r="C35" s="56"/>
      <c r="D35" s="81">
        <v>75524.216334780649</v>
      </c>
      <c r="E35" s="81">
        <v>62744.386584818072</v>
      </c>
      <c r="F35" s="81">
        <v>70362.12365623597</v>
      </c>
      <c r="G35" s="81">
        <v>72684.669711034585</v>
      </c>
      <c r="H35" s="81">
        <v>68634.554723761044</v>
      </c>
      <c r="I35" s="81">
        <v>69990.133103758024</v>
      </c>
      <c r="J35" s="81">
        <v>70384.618356041319</v>
      </c>
      <c r="K35" s="81">
        <v>102124.26298847135</v>
      </c>
      <c r="L35" s="81">
        <v>67065.600089833824</v>
      </c>
      <c r="M35" s="81">
        <v>73331.416978589594</v>
      </c>
      <c r="N35" s="81">
        <v>78300.997454708777</v>
      </c>
      <c r="O35" s="81">
        <v>82119.143584368911</v>
      </c>
      <c r="P35" s="81">
        <v>94387.915161290308</v>
      </c>
      <c r="Q35" s="81">
        <v>82934.789999999994</v>
      </c>
      <c r="R35" s="81">
        <v>91787.999548387103</v>
      </c>
      <c r="S35" s="81">
        <v>85396.612629032243</v>
      </c>
      <c r="T35" s="81">
        <v>95495.986290322558</v>
      </c>
      <c r="U35" s="81">
        <v>77730.520145161296</v>
      </c>
      <c r="V35" s="81">
        <v>82562.071451612908</v>
      </c>
      <c r="W35" s="81">
        <v>86063.308225806453</v>
      </c>
      <c r="X35" s="81">
        <v>85176.273064516135</v>
      </c>
      <c r="Y35" s="81">
        <v>89884.458387096776</v>
      </c>
      <c r="Z35" s="81"/>
      <c r="AA35" s="81"/>
      <c r="AB35" s="92"/>
      <c r="AC35" s="83">
        <f t="shared" si="0"/>
        <v>871419.93490322563</v>
      </c>
      <c r="AD35" s="83">
        <f t="shared" si="1"/>
        <v>87141.993490322566</v>
      </c>
      <c r="AE35" s="56"/>
      <c r="AF35" s="56"/>
      <c r="AG35" s="56"/>
      <c r="AH35" s="56"/>
      <c r="AI35" s="56"/>
      <c r="AJ35" s="56"/>
      <c r="AK35" s="56"/>
      <c r="AL35" s="56"/>
    </row>
    <row r="36" spans="1:38" ht="15.75" customHeight="1" x14ac:dyDescent="0.2">
      <c r="A36" s="56"/>
      <c r="B36" s="90" t="s">
        <v>48</v>
      </c>
      <c r="C36" s="56"/>
      <c r="D36" s="81">
        <v>133399.25</v>
      </c>
      <c r="E36" s="81">
        <v>161228.95000000001</v>
      </c>
      <c r="F36" s="81">
        <v>190107.85</v>
      </c>
      <c r="G36" s="81">
        <v>155656.04999999999</v>
      </c>
      <c r="H36" s="81">
        <v>162021.20000000001</v>
      </c>
      <c r="I36" s="81">
        <v>173312.67499999999</v>
      </c>
      <c r="J36" s="81">
        <v>240673.35</v>
      </c>
      <c r="K36" s="81">
        <v>180479.59</v>
      </c>
      <c r="L36" s="81">
        <v>213244.34999999998</v>
      </c>
      <c r="M36" s="81">
        <v>200877.41999999998</v>
      </c>
      <c r="N36" s="81">
        <v>205481.67000000004</v>
      </c>
      <c r="O36" s="81">
        <v>180007.1</v>
      </c>
      <c r="P36" s="81">
        <v>162896.12999999998</v>
      </c>
      <c r="Q36" s="81">
        <v>100903.75</v>
      </c>
      <c r="R36" s="81">
        <v>164772.70000000001</v>
      </c>
      <c r="S36" s="81">
        <v>181238.6</v>
      </c>
      <c r="T36" s="81">
        <v>180369.39999999997</v>
      </c>
      <c r="U36" s="81">
        <v>171407.17999999996</v>
      </c>
      <c r="V36" s="81">
        <v>172751.06000000003</v>
      </c>
      <c r="W36" s="81">
        <v>173315.97</v>
      </c>
      <c r="X36" s="81">
        <v>190549.85</v>
      </c>
      <c r="Y36" s="81">
        <v>189385.44</v>
      </c>
      <c r="Z36" s="81"/>
      <c r="AA36" s="81"/>
      <c r="AB36" s="92"/>
      <c r="AC36" s="83">
        <f t="shared" si="0"/>
        <v>1687590.08</v>
      </c>
      <c r="AD36" s="83">
        <f t="shared" si="1"/>
        <v>168759.008</v>
      </c>
      <c r="AE36" s="56"/>
      <c r="AF36" s="56"/>
      <c r="AG36" s="56"/>
      <c r="AH36" s="56"/>
      <c r="AI36" s="56"/>
      <c r="AJ36" s="56"/>
      <c r="AK36" s="56"/>
      <c r="AL36" s="56"/>
    </row>
    <row r="37" spans="1:38" ht="15.75" customHeight="1" x14ac:dyDescent="0.2">
      <c r="A37" s="56"/>
      <c r="B37" s="90" t="s">
        <v>49</v>
      </c>
      <c r="C37" s="56"/>
      <c r="D37" s="81">
        <v>210792.01641712832</v>
      </c>
      <c r="E37" s="81">
        <v>224825.80761341518</v>
      </c>
      <c r="F37" s="81">
        <v>262416.79204222187</v>
      </c>
      <c r="G37" s="81">
        <v>229590.26455307679</v>
      </c>
      <c r="H37" s="81">
        <v>231829.43790986674</v>
      </c>
      <c r="I37" s="81">
        <v>244605.2815279233</v>
      </c>
      <c r="J37" s="81">
        <v>312253.17721964367</v>
      </c>
      <c r="K37" s="81">
        <v>284267.54515795782</v>
      </c>
      <c r="L37" s="81">
        <v>283204.90292708488</v>
      </c>
      <c r="M37" s="81">
        <v>277362.13986824371</v>
      </c>
      <c r="N37" s="81">
        <v>288080.8228671957</v>
      </c>
      <c r="O37" s="81">
        <v>264157.86508459353</v>
      </c>
      <c r="P37" s="81">
        <v>258988.0838709677</v>
      </c>
      <c r="Q37" s="81">
        <v>186505.14483870968</v>
      </c>
      <c r="R37" s="81">
        <v>259137.3543870968</v>
      </c>
      <c r="S37" s="81">
        <v>268403.76101612905</v>
      </c>
      <c r="T37" s="81">
        <v>278358.32177419349</v>
      </c>
      <c r="U37" s="81">
        <v>250468.90982258061</v>
      </c>
      <c r="V37" s="81">
        <v>258104.74435483874</v>
      </c>
      <c r="W37" s="81">
        <v>260475.62822580646</v>
      </c>
      <c r="X37" s="81">
        <v>276515.84887096775</v>
      </c>
      <c r="Y37" s="81">
        <v>279790.37741935486</v>
      </c>
      <c r="Z37" s="81"/>
      <c r="AA37" s="81"/>
      <c r="AB37" s="92"/>
      <c r="AC37" s="83">
        <f t="shared" si="0"/>
        <v>2576748.1745806453</v>
      </c>
      <c r="AD37" s="83">
        <f t="shared" si="1"/>
        <v>257674.81745806453</v>
      </c>
      <c r="AE37" s="56"/>
      <c r="AF37" s="56"/>
      <c r="AG37" s="56"/>
      <c r="AH37" s="56"/>
      <c r="AI37" s="56"/>
      <c r="AJ37" s="56"/>
      <c r="AK37" s="56"/>
      <c r="AL37" s="56"/>
    </row>
    <row r="38" spans="1:38" ht="15.75" customHeight="1" x14ac:dyDescent="0.2">
      <c r="A38" s="56"/>
      <c r="B38" s="60" t="s">
        <v>50</v>
      </c>
      <c r="C38" s="56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3"/>
      <c r="AC38" s="86">
        <f t="shared" si="0"/>
        <v>0</v>
      </c>
      <c r="AD38" s="86">
        <f t="shared" si="1"/>
        <v>0</v>
      </c>
      <c r="AE38" s="56"/>
      <c r="AF38" s="56"/>
      <c r="AG38" s="56"/>
      <c r="AH38" s="56"/>
      <c r="AI38" s="56"/>
      <c r="AJ38" s="56"/>
      <c r="AK38" s="56"/>
    </row>
    <row r="39" spans="1:38" s="127" customFormat="1" ht="15.75" customHeight="1" x14ac:dyDescent="0.2">
      <c r="A39" s="122"/>
      <c r="B39" s="128" t="s">
        <v>3</v>
      </c>
      <c r="C39" s="122"/>
      <c r="D39" s="124">
        <v>10913</v>
      </c>
      <c r="E39" s="124">
        <v>9417</v>
      </c>
      <c r="F39" s="124">
        <v>9576</v>
      </c>
      <c r="G39" s="124">
        <v>10259</v>
      </c>
      <c r="H39" s="124">
        <v>10259</v>
      </c>
      <c r="I39" s="124">
        <v>9783</v>
      </c>
      <c r="J39" s="124">
        <v>10909</v>
      </c>
      <c r="K39" s="124">
        <v>10003</v>
      </c>
      <c r="L39" s="124">
        <v>10756</v>
      </c>
      <c r="M39" s="124">
        <v>10961</v>
      </c>
      <c r="N39" s="124">
        <v>12404</v>
      </c>
      <c r="O39" s="124">
        <v>11770</v>
      </c>
      <c r="P39" s="124">
        <v>11119</v>
      </c>
      <c r="Q39" s="124">
        <v>9713</v>
      </c>
      <c r="R39" s="124">
        <v>12772</v>
      </c>
      <c r="S39" s="124">
        <v>11082</v>
      </c>
      <c r="T39" s="124">
        <v>12419</v>
      </c>
      <c r="U39" s="124">
        <v>11495</v>
      </c>
      <c r="V39" s="124">
        <v>11473</v>
      </c>
      <c r="W39" s="124">
        <v>9303</v>
      </c>
      <c r="X39" s="124">
        <v>9999</v>
      </c>
      <c r="Y39" s="124">
        <v>10836</v>
      </c>
      <c r="Z39" s="124"/>
      <c r="AA39" s="124"/>
      <c r="AB39" s="129"/>
      <c r="AC39" s="126">
        <f t="shared" si="0"/>
        <v>110211</v>
      </c>
      <c r="AD39" s="126">
        <f t="shared" si="1"/>
        <v>11021.1</v>
      </c>
      <c r="AE39" s="122"/>
      <c r="AF39" s="122"/>
      <c r="AG39" s="122"/>
      <c r="AH39" s="122"/>
      <c r="AI39" s="122"/>
      <c r="AJ39" s="122"/>
      <c r="AK39" s="122"/>
    </row>
    <row r="40" spans="1:38" ht="15.75" customHeight="1" x14ac:dyDescent="0.2">
      <c r="A40" s="56"/>
      <c r="B40" s="93" t="s">
        <v>51</v>
      </c>
      <c r="C40" s="56"/>
      <c r="D40" s="95">
        <v>0</v>
      </c>
      <c r="E40" s="95">
        <v>0</v>
      </c>
      <c r="F40" s="95">
        <v>0</v>
      </c>
      <c r="G40" s="95">
        <v>0</v>
      </c>
      <c r="H40" s="95">
        <v>0</v>
      </c>
      <c r="I40" s="95">
        <v>0</v>
      </c>
      <c r="J40" s="95">
        <v>0</v>
      </c>
      <c r="K40" s="95">
        <v>0</v>
      </c>
      <c r="L40" s="95">
        <v>0</v>
      </c>
      <c r="M40" s="95">
        <v>0</v>
      </c>
      <c r="N40" s="95">
        <v>0</v>
      </c>
      <c r="O40" s="95">
        <v>0</v>
      </c>
      <c r="P40" s="95">
        <v>0</v>
      </c>
      <c r="Q40" s="95">
        <v>0</v>
      </c>
      <c r="R40" s="95">
        <v>0</v>
      </c>
      <c r="S40" s="95">
        <v>0</v>
      </c>
      <c r="T40" s="95">
        <v>0</v>
      </c>
      <c r="U40" s="95">
        <v>0</v>
      </c>
      <c r="V40" s="95">
        <v>0</v>
      </c>
      <c r="W40" s="95">
        <v>0</v>
      </c>
      <c r="X40" s="95">
        <v>0</v>
      </c>
      <c r="Y40" s="95">
        <v>0</v>
      </c>
      <c r="Z40" s="95"/>
      <c r="AA40" s="95"/>
      <c r="AB40" s="94"/>
      <c r="AC40" s="89">
        <f t="shared" si="0"/>
        <v>0</v>
      </c>
      <c r="AD40" s="89">
        <f t="shared" si="1"/>
        <v>0</v>
      </c>
      <c r="AE40" s="56"/>
      <c r="AF40" s="56"/>
      <c r="AG40" s="56"/>
      <c r="AH40" s="56"/>
      <c r="AI40" s="56"/>
      <c r="AJ40" s="56"/>
      <c r="AK40" s="56"/>
    </row>
    <row r="41" spans="1:38" ht="15.75" customHeight="1" x14ac:dyDescent="0.2">
      <c r="A41" s="56"/>
      <c r="B41" s="93" t="s">
        <v>52</v>
      </c>
      <c r="C41" s="56"/>
      <c r="D41" s="95">
        <v>0.71547695409145051</v>
      </c>
      <c r="E41" s="95">
        <v>0.65243708187320804</v>
      </c>
      <c r="F41" s="95">
        <v>0.66687552213868007</v>
      </c>
      <c r="G41" s="95">
        <v>0.66536699483380446</v>
      </c>
      <c r="H41" s="95">
        <v>0.66536699483380446</v>
      </c>
      <c r="I41" s="95">
        <v>0.69140345497291222</v>
      </c>
      <c r="J41" s="95">
        <v>0.70354752956274635</v>
      </c>
      <c r="K41" s="95">
        <v>0.71458562431270622</v>
      </c>
      <c r="L41" s="95">
        <v>0.7120676831535887</v>
      </c>
      <c r="M41" s="95">
        <v>0.69856764893714074</v>
      </c>
      <c r="N41" s="95">
        <v>0.70227346017413739</v>
      </c>
      <c r="O41" s="95">
        <v>0.72650807136788442</v>
      </c>
      <c r="P41" s="95">
        <v>0.72578469286806369</v>
      </c>
      <c r="Q41" s="95">
        <v>0.71450633172037481</v>
      </c>
      <c r="R41" s="95">
        <v>0.66919824616348267</v>
      </c>
      <c r="S41" s="95">
        <v>0.73732178307164775</v>
      </c>
      <c r="T41" s="95">
        <v>0.76447379016023831</v>
      </c>
      <c r="U41" s="95">
        <v>0.75598086124401909</v>
      </c>
      <c r="V41" s="95">
        <v>0.79499694935936549</v>
      </c>
      <c r="W41" s="95">
        <v>0.79576480705148878</v>
      </c>
      <c r="X41" s="95">
        <v>0.75327532753275328</v>
      </c>
      <c r="Y41" s="95">
        <v>0.77205610926541157</v>
      </c>
      <c r="Z41" s="95"/>
      <c r="AA41" s="95"/>
      <c r="AB41" s="94"/>
      <c r="AC41" s="89">
        <f t="shared" si="0"/>
        <v>7.4833588984368458</v>
      </c>
      <c r="AD41" s="89">
        <f t="shared" si="1"/>
        <v>0.7483358898436846</v>
      </c>
      <c r="AE41" s="56"/>
      <c r="AF41" s="56"/>
      <c r="AG41" s="56"/>
      <c r="AH41" s="56"/>
      <c r="AI41" s="56"/>
      <c r="AJ41" s="56"/>
      <c r="AK41" s="56"/>
    </row>
    <row r="42" spans="1:38" ht="15.75" customHeight="1" x14ac:dyDescent="0.2">
      <c r="A42" s="56"/>
      <c r="B42" s="60" t="s">
        <v>53</v>
      </c>
      <c r="C42" s="58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74"/>
      <c r="AC42" s="86">
        <f t="shared" si="0"/>
        <v>0</v>
      </c>
      <c r="AD42" s="86">
        <f t="shared" si="1"/>
        <v>0</v>
      </c>
      <c r="AE42" s="56"/>
      <c r="AF42" s="56"/>
      <c r="AG42" s="56"/>
      <c r="AH42" s="56"/>
      <c r="AI42" s="56"/>
      <c r="AJ42" s="56"/>
      <c r="AK42" s="56"/>
    </row>
    <row r="43" spans="1:38" ht="15.75" customHeight="1" x14ac:dyDescent="0.2">
      <c r="A43" s="56"/>
      <c r="B43" s="97" t="s">
        <v>54</v>
      </c>
      <c r="C43" s="98"/>
      <c r="D43" s="99">
        <v>3105</v>
      </c>
      <c r="E43" s="100">
        <v>3273</v>
      </c>
      <c r="F43" s="100">
        <v>3190</v>
      </c>
      <c r="G43" s="100">
        <v>3433</v>
      </c>
      <c r="H43" s="100">
        <v>3433</v>
      </c>
      <c r="I43" s="100">
        <v>3019</v>
      </c>
      <c r="J43" s="100">
        <v>3234</v>
      </c>
      <c r="K43" s="100">
        <v>2855</v>
      </c>
      <c r="L43" s="100">
        <v>3097</v>
      </c>
      <c r="M43" s="100">
        <v>3304</v>
      </c>
      <c r="N43" s="100">
        <v>3693</v>
      </c>
      <c r="O43" s="100">
        <v>3219</v>
      </c>
      <c r="P43" s="100">
        <v>3049</v>
      </c>
      <c r="Q43" s="100">
        <v>2773</v>
      </c>
      <c r="R43" s="100">
        <v>4225</v>
      </c>
      <c r="S43" s="100" t="s">
        <v>131</v>
      </c>
      <c r="T43" s="100">
        <v>2925</v>
      </c>
      <c r="U43" s="100">
        <v>2805</v>
      </c>
      <c r="V43" s="100">
        <v>2352</v>
      </c>
      <c r="W43" s="100">
        <v>1900</v>
      </c>
      <c r="X43" s="100">
        <v>2467</v>
      </c>
      <c r="Y43" s="100">
        <v>2470</v>
      </c>
      <c r="Z43" s="100"/>
      <c r="AA43" s="100"/>
      <c r="AB43" s="94"/>
      <c r="AC43" s="79">
        <f t="shared" si="0"/>
        <v>24966</v>
      </c>
      <c r="AD43" s="79">
        <f t="shared" si="1"/>
        <v>2774</v>
      </c>
      <c r="AE43" s="56"/>
      <c r="AF43" s="56"/>
      <c r="AG43" s="56"/>
      <c r="AH43" s="56"/>
      <c r="AI43" s="56"/>
      <c r="AJ43" s="56"/>
      <c r="AK43" s="56"/>
    </row>
    <row r="44" spans="1:38" ht="15.75" customHeight="1" x14ac:dyDescent="0.2">
      <c r="A44" s="56"/>
      <c r="B44" s="97" t="s">
        <v>55</v>
      </c>
      <c r="C44" s="98"/>
      <c r="D44" s="99">
        <v>3105</v>
      </c>
      <c r="E44" s="100">
        <v>3273</v>
      </c>
      <c r="F44" s="100">
        <v>3190</v>
      </c>
      <c r="G44" s="100">
        <v>3433</v>
      </c>
      <c r="H44" s="100">
        <v>3433</v>
      </c>
      <c r="I44" s="100">
        <v>6.6666666666666666E-2</v>
      </c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94"/>
      <c r="AC44" s="79">
        <f t="shared" si="0"/>
        <v>0</v>
      </c>
      <c r="AD44" s="79">
        <f t="shared" si="1"/>
        <v>0</v>
      </c>
      <c r="AE44" s="56"/>
      <c r="AF44" s="56"/>
      <c r="AG44" s="56"/>
      <c r="AH44" s="56"/>
      <c r="AI44" s="56"/>
      <c r="AJ44" s="56"/>
      <c r="AK44" s="56"/>
    </row>
    <row r="45" spans="1:38" ht="15.75" customHeight="1" x14ac:dyDescent="0.2">
      <c r="A45" s="56"/>
      <c r="B45" s="97" t="s">
        <v>56</v>
      </c>
      <c r="C45" s="98"/>
      <c r="D45" s="101">
        <v>1.31</v>
      </c>
      <c r="E45" s="101">
        <v>1.28</v>
      </c>
      <c r="F45" s="101">
        <v>1.32</v>
      </c>
      <c r="G45" s="101">
        <v>1.34</v>
      </c>
      <c r="H45" s="101">
        <v>1.34</v>
      </c>
      <c r="I45" s="101">
        <v>1.36</v>
      </c>
      <c r="J45" s="101">
        <v>1.34</v>
      </c>
      <c r="K45" s="101">
        <v>1.44</v>
      </c>
      <c r="L45" s="101">
        <v>1.43</v>
      </c>
      <c r="M45" s="101">
        <v>1.35</v>
      </c>
      <c r="N45" s="101">
        <v>1.3</v>
      </c>
      <c r="O45" s="101">
        <v>1.3</v>
      </c>
      <c r="P45" s="101">
        <v>1.36</v>
      </c>
      <c r="Q45" s="101">
        <v>1.25</v>
      </c>
      <c r="R45" s="101">
        <v>1.23</v>
      </c>
      <c r="S45" s="101">
        <v>1.41</v>
      </c>
      <c r="T45" s="101">
        <v>1.45</v>
      </c>
      <c r="U45" s="101">
        <v>1.43</v>
      </c>
      <c r="V45" s="101">
        <v>1.55</v>
      </c>
      <c r="W45" s="101">
        <v>1.58</v>
      </c>
      <c r="X45" s="101">
        <v>1.59</v>
      </c>
      <c r="Y45" s="101">
        <v>1.52</v>
      </c>
      <c r="Z45" s="101"/>
      <c r="AA45" s="101"/>
      <c r="AB45" s="94"/>
      <c r="AC45" s="102">
        <f t="shared" si="0"/>
        <v>14.370000000000001</v>
      </c>
      <c r="AD45" s="102">
        <f t="shared" si="1"/>
        <v>1.4370000000000001</v>
      </c>
      <c r="AE45" s="56"/>
      <c r="AF45" s="56"/>
      <c r="AG45" s="56"/>
      <c r="AH45" s="56"/>
      <c r="AI45" s="56"/>
      <c r="AJ45" s="56"/>
      <c r="AK45" s="56"/>
    </row>
    <row r="46" spans="1:38" ht="15.75" customHeight="1" x14ac:dyDescent="0.2">
      <c r="A46" s="56"/>
      <c r="B46" s="97" t="s">
        <v>57</v>
      </c>
      <c r="C46" s="98"/>
      <c r="D46" s="99" t="s">
        <v>58</v>
      </c>
      <c r="E46" s="100">
        <v>2913</v>
      </c>
      <c r="F46" s="100">
        <v>2521</v>
      </c>
      <c r="G46" s="100">
        <v>2862</v>
      </c>
      <c r="H46" s="100">
        <v>2862</v>
      </c>
      <c r="I46" s="100">
        <v>2522</v>
      </c>
      <c r="J46" s="100">
        <v>2595</v>
      </c>
      <c r="K46" s="100">
        <v>2437</v>
      </c>
      <c r="L46" s="100">
        <v>2662</v>
      </c>
      <c r="M46" s="100">
        <v>2937</v>
      </c>
      <c r="N46" s="100">
        <v>3126</v>
      </c>
      <c r="O46" s="100">
        <v>2529</v>
      </c>
      <c r="P46" s="100">
        <v>2655</v>
      </c>
      <c r="Q46" s="100">
        <v>2622</v>
      </c>
      <c r="R46" s="100">
        <v>3553</v>
      </c>
      <c r="S46" s="100">
        <v>2549</v>
      </c>
      <c r="T46" s="100">
        <v>2362</v>
      </c>
      <c r="U46" s="100">
        <v>2459</v>
      </c>
      <c r="V46" s="100">
        <v>2104</v>
      </c>
      <c r="W46" s="100">
        <v>1694</v>
      </c>
      <c r="X46" s="100">
        <v>2175</v>
      </c>
      <c r="Y46" s="100">
        <v>2168</v>
      </c>
      <c r="Z46" s="100"/>
      <c r="AA46" s="100"/>
      <c r="AB46" s="94"/>
      <c r="AC46" s="79">
        <f t="shared" si="0"/>
        <v>24341</v>
      </c>
      <c r="AD46" s="79">
        <f t="shared" si="1"/>
        <v>2434.1</v>
      </c>
      <c r="AE46" s="56"/>
      <c r="AF46" s="56"/>
      <c r="AG46" s="56"/>
      <c r="AH46" s="56"/>
      <c r="AI46" s="56"/>
      <c r="AJ46" s="56"/>
      <c r="AK46" s="56"/>
    </row>
    <row r="47" spans="1:38" ht="15.75" customHeight="1" x14ac:dyDescent="0.2">
      <c r="A47" s="56"/>
      <c r="B47" s="97" t="s">
        <v>59</v>
      </c>
      <c r="C47" s="98"/>
      <c r="D47" s="99" t="s">
        <v>60</v>
      </c>
      <c r="E47" s="100">
        <v>190</v>
      </c>
      <c r="F47" s="100">
        <v>153</v>
      </c>
      <c r="G47" s="100">
        <v>141</v>
      </c>
      <c r="H47" s="100">
        <v>141</v>
      </c>
      <c r="I47" s="100">
        <v>145</v>
      </c>
      <c r="J47" s="100">
        <v>230</v>
      </c>
      <c r="K47" s="100">
        <v>102</v>
      </c>
      <c r="L47" s="100">
        <v>90</v>
      </c>
      <c r="M47" s="100">
        <v>67</v>
      </c>
      <c r="N47" s="100">
        <v>78</v>
      </c>
      <c r="O47" s="100">
        <v>68</v>
      </c>
      <c r="P47" s="100">
        <v>39</v>
      </c>
      <c r="Q47" s="100">
        <v>16</v>
      </c>
      <c r="R47" s="100">
        <v>98</v>
      </c>
      <c r="S47" s="100">
        <v>50</v>
      </c>
      <c r="T47" s="100">
        <v>53</v>
      </c>
      <c r="U47" s="100">
        <v>43</v>
      </c>
      <c r="V47" s="100">
        <v>37</v>
      </c>
      <c r="W47" s="100">
        <v>18</v>
      </c>
      <c r="X47" s="100">
        <v>47</v>
      </c>
      <c r="Y47" s="100">
        <v>36</v>
      </c>
      <c r="Z47" s="100"/>
      <c r="AA47" s="100"/>
      <c r="AB47" s="94"/>
      <c r="AC47" s="79">
        <f t="shared" si="0"/>
        <v>437</v>
      </c>
      <c r="AD47" s="79">
        <f t="shared" si="1"/>
        <v>43.7</v>
      </c>
      <c r="AE47" s="56"/>
      <c r="AF47" s="56"/>
      <c r="AG47" s="56"/>
      <c r="AH47" s="56"/>
      <c r="AI47" s="56"/>
      <c r="AJ47" s="56"/>
      <c r="AK47" s="56"/>
    </row>
    <row r="48" spans="1:38" ht="15.75" customHeight="1" x14ac:dyDescent="0.2">
      <c r="A48" s="56"/>
      <c r="B48" s="97" t="s">
        <v>61</v>
      </c>
      <c r="C48" s="98"/>
      <c r="D48" s="103" t="s">
        <v>62</v>
      </c>
      <c r="E48" s="104">
        <v>0.06</v>
      </c>
      <c r="F48" s="104">
        <v>4.7962382445141068E-2</v>
      </c>
      <c r="G48" s="104">
        <v>4.1071948732886686E-2</v>
      </c>
      <c r="H48" s="104">
        <v>4.1071948732886686E-2</v>
      </c>
      <c r="I48" s="104">
        <v>0.05</v>
      </c>
      <c r="J48" s="104">
        <v>7.1119356833642552E-2</v>
      </c>
      <c r="K48" s="104">
        <v>0.03</v>
      </c>
      <c r="L48" s="104">
        <v>2.9060381013884404E-2</v>
      </c>
      <c r="M48" s="104">
        <v>2.0278450363196126E-2</v>
      </c>
      <c r="N48" s="104">
        <v>0.02</v>
      </c>
      <c r="O48" s="104">
        <v>0.02</v>
      </c>
      <c r="P48" s="104" t="s">
        <v>115</v>
      </c>
      <c r="Q48" s="104">
        <v>6.0000000000000001E-3</v>
      </c>
      <c r="R48" s="104">
        <v>2.319526627218935E-2</v>
      </c>
      <c r="S48" s="104">
        <v>1.7176228100309172E-2</v>
      </c>
      <c r="T48" s="104">
        <v>1.8119658119658121E-2</v>
      </c>
      <c r="U48" s="104">
        <v>1.5329768270944741E-2</v>
      </c>
      <c r="V48" s="104">
        <v>1.5731292517006803E-2</v>
      </c>
      <c r="W48" s="104">
        <v>9.4736842105263164E-3</v>
      </c>
      <c r="X48" s="104">
        <v>1.9051479529793271E-2</v>
      </c>
      <c r="Y48" s="104">
        <v>1.4574898785425101E-2</v>
      </c>
      <c r="Z48" s="104"/>
      <c r="AA48" s="104"/>
      <c r="AB48" s="94"/>
      <c r="AC48" s="105">
        <f t="shared" si="0"/>
        <v>0.13865227580585288</v>
      </c>
      <c r="AD48" s="105">
        <f t="shared" si="1"/>
        <v>1.5405808422872543E-2</v>
      </c>
      <c r="AE48" s="56"/>
      <c r="AF48" s="56"/>
      <c r="AG48" s="56"/>
      <c r="AH48" s="56"/>
      <c r="AI48" s="56"/>
      <c r="AJ48" s="56"/>
      <c r="AK48" s="56"/>
    </row>
    <row r="49" spans="1:37" ht="15.75" customHeight="1" x14ac:dyDescent="0.2">
      <c r="A49" s="56"/>
      <c r="B49" s="97" t="s">
        <v>63</v>
      </c>
      <c r="C49" s="98"/>
      <c r="D49" s="103" t="s">
        <v>64</v>
      </c>
      <c r="E49" s="104">
        <v>0.84</v>
      </c>
      <c r="F49" s="104">
        <v>0.79028213166144201</v>
      </c>
      <c r="G49" s="104">
        <v>0.83367317215263614</v>
      </c>
      <c r="H49" s="104">
        <v>0.83367317215263614</v>
      </c>
      <c r="I49" s="104">
        <v>0.84</v>
      </c>
      <c r="J49" s="104">
        <v>0.80241187384044532</v>
      </c>
      <c r="K49" s="104">
        <v>0.85</v>
      </c>
      <c r="L49" s="104">
        <v>0.85954149176622541</v>
      </c>
      <c r="M49" s="104">
        <v>0.88892251815980627</v>
      </c>
      <c r="N49" s="104">
        <v>0.89</v>
      </c>
      <c r="O49" s="104">
        <v>0.84</v>
      </c>
      <c r="P49" s="104">
        <v>0.91</v>
      </c>
      <c r="Q49" s="104">
        <v>0.94</v>
      </c>
      <c r="R49" s="104">
        <v>0.9</v>
      </c>
      <c r="S49" s="104">
        <v>0.92</v>
      </c>
      <c r="T49" s="104">
        <v>0.87</v>
      </c>
      <c r="U49" s="104">
        <v>0.91</v>
      </c>
      <c r="V49" s="104">
        <v>0.92</v>
      </c>
      <c r="W49" s="104">
        <v>0.93</v>
      </c>
      <c r="X49" s="104">
        <v>0.93</v>
      </c>
      <c r="Y49" s="104">
        <v>0.92</v>
      </c>
      <c r="Z49" s="104"/>
      <c r="AA49" s="104"/>
      <c r="AB49" s="94"/>
      <c r="AC49" s="105">
        <f t="shared" si="0"/>
        <v>9.15</v>
      </c>
      <c r="AD49" s="105">
        <f t="shared" si="1"/>
        <v>0.91500000000000004</v>
      </c>
      <c r="AE49" s="56"/>
      <c r="AF49" s="56"/>
      <c r="AG49" s="56"/>
      <c r="AH49" s="56"/>
      <c r="AI49" s="56"/>
      <c r="AJ49" s="56"/>
      <c r="AK49" s="56"/>
    </row>
    <row r="50" spans="1:37" ht="15.75" customHeight="1" x14ac:dyDescent="0.2">
      <c r="A50" s="56"/>
      <c r="B50" s="60" t="s">
        <v>65</v>
      </c>
      <c r="C50" s="58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 s="74"/>
      <c r="AC50" s="86">
        <f t="shared" si="0"/>
        <v>0</v>
      </c>
      <c r="AD50" s="86">
        <f t="shared" si="1"/>
        <v>0</v>
      </c>
      <c r="AE50" s="56"/>
      <c r="AF50" s="56"/>
      <c r="AG50" s="56"/>
      <c r="AH50" s="56"/>
      <c r="AI50" s="56"/>
      <c r="AJ50" s="56"/>
      <c r="AK50" s="56"/>
    </row>
    <row r="51" spans="1:37" ht="15.75" customHeight="1" x14ac:dyDescent="0.2">
      <c r="A51" s="56"/>
      <c r="B51" s="97" t="s">
        <v>66</v>
      </c>
      <c r="C51" s="98"/>
      <c r="D51" s="99" t="s">
        <v>67</v>
      </c>
      <c r="E51" s="100">
        <v>6144</v>
      </c>
      <c r="F51" s="100">
        <v>6386</v>
      </c>
      <c r="G51" s="100">
        <v>6826</v>
      </c>
      <c r="H51" s="100">
        <v>6826</v>
      </c>
      <c r="I51" s="100">
        <v>6764</v>
      </c>
      <c r="J51" s="100">
        <v>7675</v>
      </c>
      <c r="K51" s="100">
        <v>7148</v>
      </c>
      <c r="L51" s="100">
        <v>7659</v>
      </c>
      <c r="M51" s="100">
        <v>7657</v>
      </c>
      <c r="N51" s="100">
        <v>8711</v>
      </c>
      <c r="O51" s="100">
        <v>8551</v>
      </c>
      <c r="P51" s="100">
        <v>8070</v>
      </c>
      <c r="Q51" s="100">
        <v>6940</v>
      </c>
      <c r="R51" s="100">
        <v>8547</v>
      </c>
      <c r="S51" s="100">
        <v>8171</v>
      </c>
      <c r="T51" s="100">
        <v>9494</v>
      </c>
      <c r="U51" s="100">
        <v>8690</v>
      </c>
      <c r="V51" s="100">
        <v>9121</v>
      </c>
      <c r="W51" s="100">
        <v>7403</v>
      </c>
      <c r="X51" s="100">
        <v>7532</v>
      </c>
      <c r="Y51" s="100">
        <v>8366</v>
      </c>
      <c r="Z51" s="100"/>
      <c r="AA51" s="100"/>
      <c r="AB51" s="94"/>
      <c r="AC51" s="79">
        <f t="shared" si="0"/>
        <v>82334</v>
      </c>
      <c r="AD51" s="79">
        <f t="shared" si="1"/>
        <v>8233.4</v>
      </c>
      <c r="AE51" s="56"/>
      <c r="AF51" s="56"/>
      <c r="AG51" s="56"/>
      <c r="AH51" s="56"/>
      <c r="AI51" s="56"/>
      <c r="AJ51" s="56"/>
      <c r="AK51" s="56"/>
    </row>
    <row r="52" spans="1:37" ht="15.75" customHeight="1" x14ac:dyDescent="0.2">
      <c r="A52" s="56"/>
      <c r="B52" s="97" t="s">
        <v>68</v>
      </c>
      <c r="C52" s="98"/>
      <c r="D52" s="99" t="s">
        <v>67</v>
      </c>
      <c r="E52" s="100">
        <v>6144</v>
      </c>
      <c r="F52" s="100">
        <v>6386</v>
      </c>
      <c r="G52" s="100">
        <v>6826</v>
      </c>
      <c r="H52" s="100">
        <v>6826</v>
      </c>
      <c r="I52" s="100">
        <v>0</v>
      </c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94"/>
      <c r="AC52" s="79">
        <f t="shared" si="0"/>
        <v>0</v>
      </c>
      <c r="AD52" s="79">
        <f t="shared" si="1"/>
        <v>0</v>
      </c>
      <c r="AE52" s="80"/>
      <c r="AF52" s="56"/>
      <c r="AG52" s="56"/>
      <c r="AH52" s="56"/>
      <c r="AI52" s="56"/>
      <c r="AJ52" s="56"/>
      <c r="AK52" s="56"/>
    </row>
    <row r="53" spans="1:37" ht="15.75" customHeight="1" x14ac:dyDescent="0.2">
      <c r="A53" s="56"/>
      <c r="B53" s="97" t="s">
        <v>69</v>
      </c>
      <c r="C53" s="98"/>
      <c r="D53" s="101">
        <v>3.09</v>
      </c>
      <c r="E53" s="101">
        <v>3.28</v>
      </c>
      <c r="F53" s="101">
        <v>3.27</v>
      </c>
      <c r="G53" s="101">
        <v>3.37</v>
      </c>
      <c r="H53" s="101">
        <v>3.37</v>
      </c>
      <c r="I53" s="101">
        <v>3.39</v>
      </c>
      <c r="J53" s="101">
        <v>3.21</v>
      </c>
      <c r="K53" s="101">
        <v>3.11</v>
      </c>
      <c r="L53" s="101">
        <v>3.16</v>
      </c>
      <c r="M53" s="101">
        <v>3.11</v>
      </c>
      <c r="N53" s="101">
        <v>3.11</v>
      </c>
      <c r="O53" s="101">
        <v>3.08</v>
      </c>
      <c r="P53" s="101">
        <v>3.16</v>
      </c>
      <c r="Q53" s="101">
        <v>3.07</v>
      </c>
      <c r="R53" s="101">
        <v>3.04</v>
      </c>
      <c r="S53" s="101">
        <v>3.21</v>
      </c>
      <c r="T53" s="101">
        <v>3.15</v>
      </c>
      <c r="U53" s="101">
        <v>3</v>
      </c>
      <c r="V53" s="101">
        <v>3.04</v>
      </c>
      <c r="W53" s="101">
        <v>3.22</v>
      </c>
      <c r="X53" s="101">
        <v>3.22</v>
      </c>
      <c r="Y53" s="101">
        <v>3.19</v>
      </c>
      <c r="Z53" s="101"/>
      <c r="AA53" s="101"/>
      <c r="AB53" s="94"/>
      <c r="AC53" s="102">
        <f t="shared" si="0"/>
        <v>31.3</v>
      </c>
      <c r="AD53" s="102">
        <f t="shared" si="1"/>
        <v>3.13</v>
      </c>
      <c r="AE53" s="80"/>
      <c r="AF53" s="56"/>
      <c r="AG53" s="56"/>
      <c r="AH53" s="56"/>
      <c r="AI53" s="56"/>
      <c r="AJ53" s="56"/>
      <c r="AK53" s="56"/>
    </row>
    <row r="54" spans="1:37" ht="15.75" customHeight="1" x14ac:dyDescent="0.2">
      <c r="A54" s="56"/>
      <c r="B54" s="97" t="s">
        <v>70</v>
      </c>
      <c r="C54" s="98"/>
      <c r="D54" s="99" t="s">
        <v>71</v>
      </c>
      <c r="E54" s="100">
        <v>4896</v>
      </c>
      <c r="F54" s="100">
        <v>5177</v>
      </c>
      <c r="G54" s="100">
        <v>5126</v>
      </c>
      <c r="H54" s="100">
        <v>5126</v>
      </c>
      <c r="I54" s="100">
        <v>5262</v>
      </c>
      <c r="J54" s="100">
        <v>5736</v>
      </c>
      <c r="K54" s="100">
        <v>5772</v>
      </c>
      <c r="L54" s="100">
        <v>6077</v>
      </c>
      <c r="M54" s="100">
        <v>6534</v>
      </c>
      <c r="N54" s="100">
        <v>7136</v>
      </c>
      <c r="O54" s="100">
        <v>6574</v>
      </c>
      <c r="P54" s="100">
        <v>6630</v>
      </c>
      <c r="Q54" s="100">
        <v>6144</v>
      </c>
      <c r="R54" s="100">
        <v>6867</v>
      </c>
      <c r="S54" s="100">
        <v>6715</v>
      </c>
      <c r="T54" s="100">
        <v>7635</v>
      </c>
      <c r="U54" s="100">
        <v>7641</v>
      </c>
      <c r="V54" s="100">
        <v>8099</v>
      </c>
      <c r="W54" s="100">
        <v>6580</v>
      </c>
      <c r="X54" s="100">
        <v>6354</v>
      </c>
      <c r="Y54" s="100">
        <v>7243</v>
      </c>
      <c r="Z54" s="100"/>
      <c r="AA54" s="100"/>
      <c r="AB54" s="94"/>
      <c r="AC54" s="79">
        <f t="shared" si="0"/>
        <v>69908</v>
      </c>
      <c r="AD54" s="79">
        <f t="shared" si="1"/>
        <v>6990.8</v>
      </c>
      <c r="AE54" s="56"/>
      <c r="AF54" s="56"/>
      <c r="AG54" s="56"/>
      <c r="AH54" s="56"/>
      <c r="AI54" s="56"/>
      <c r="AJ54" s="56"/>
      <c r="AK54" s="56"/>
    </row>
    <row r="55" spans="1:37" ht="15.75" customHeight="1" x14ac:dyDescent="0.2">
      <c r="A55" s="56"/>
      <c r="B55" s="97" t="s">
        <v>72</v>
      </c>
      <c r="C55" s="98"/>
      <c r="D55" s="99" t="s">
        <v>73</v>
      </c>
      <c r="E55" s="100">
        <v>262</v>
      </c>
      <c r="F55" s="100">
        <v>210</v>
      </c>
      <c r="G55" s="100">
        <v>301</v>
      </c>
      <c r="H55" s="100">
        <v>301</v>
      </c>
      <c r="I55" s="100">
        <v>272</v>
      </c>
      <c r="J55" s="100">
        <v>370</v>
      </c>
      <c r="K55" s="100">
        <v>286</v>
      </c>
      <c r="L55" s="100">
        <v>258</v>
      </c>
      <c r="M55" s="100">
        <v>142</v>
      </c>
      <c r="N55" s="100">
        <v>127</v>
      </c>
      <c r="O55" s="100">
        <v>170</v>
      </c>
      <c r="P55" s="100">
        <v>123</v>
      </c>
      <c r="Q55" s="100">
        <v>68</v>
      </c>
      <c r="R55" s="100">
        <v>247</v>
      </c>
      <c r="S55" s="100">
        <v>119</v>
      </c>
      <c r="T55" s="100">
        <v>169</v>
      </c>
      <c r="U55" s="100">
        <v>109</v>
      </c>
      <c r="V55" s="100">
        <v>92</v>
      </c>
      <c r="W55" s="100">
        <v>94</v>
      </c>
      <c r="X55" s="100">
        <v>127</v>
      </c>
      <c r="Y55" s="100">
        <v>113</v>
      </c>
      <c r="Z55" s="100"/>
      <c r="AA55" s="100"/>
      <c r="AB55" s="94"/>
      <c r="AC55" s="79">
        <f t="shared" si="0"/>
        <v>1261</v>
      </c>
      <c r="AD55" s="79">
        <f t="shared" si="1"/>
        <v>126.1</v>
      </c>
      <c r="AE55" s="56"/>
      <c r="AF55" s="56"/>
      <c r="AG55" s="56"/>
      <c r="AH55" s="56"/>
      <c r="AI55" s="56"/>
      <c r="AJ55" s="56"/>
      <c r="AK55" s="56"/>
    </row>
    <row r="56" spans="1:37" ht="15.75" customHeight="1" x14ac:dyDescent="0.2">
      <c r="A56" s="56"/>
      <c r="B56" s="97" t="s">
        <v>74</v>
      </c>
      <c r="C56" s="98"/>
      <c r="D56" s="103" t="s">
        <v>62</v>
      </c>
      <c r="E56" s="104">
        <v>0.04</v>
      </c>
      <c r="F56" s="104">
        <v>3.2884434700908238E-2</v>
      </c>
      <c r="G56" s="104">
        <v>4.4096103135071785E-2</v>
      </c>
      <c r="H56" s="104">
        <v>4.4096103135071785E-2</v>
      </c>
      <c r="I56" s="104">
        <v>0.04</v>
      </c>
      <c r="J56" s="104">
        <v>4.8208469055374591E-2</v>
      </c>
      <c r="K56" s="104">
        <v>0.04</v>
      </c>
      <c r="L56" s="104">
        <v>3.3685859772816296E-2</v>
      </c>
      <c r="M56" s="104">
        <v>1.8545122110487137E-2</v>
      </c>
      <c r="N56" s="104">
        <v>0.02</v>
      </c>
      <c r="O56" s="104">
        <v>0.02</v>
      </c>
      <c r="P56" s="104" t="s">
        <v>116</v>
      </c>
      <c r="Q56" s="104">
        <v>9.7999999999999997E-3</v>
      </c>
      <c r="R56" s="104">
        <v>2.88990288990289E-2</v>
      </c>
      <c r="S56" s="104">
        <v>1.4563700893403499E-2</v>
      </c>
      <c r="T56" s="104">
        <v>1.7800716241836951E-2</v>
      </c>
      <c r="U56" s="104">
        <v>1.2543153049482163E-2</v>
      </c>
      <c r="V56" s="104">
        <v>1.0086613309944086E-2</v>
      </c>
      <c r="W56" s="104">
        <v>1.2697555045251925E-2</v>
      </c>
      <c r="X56" s="104">
        <v>1.6861391396707382E-2</v>
      </c>
      <c r="Y56" s="104">
        <v>1.3507052354769305E-2</v>
      </c>
      <c r="Z56" s="104"/>
      <c r="AA56" s="104"/>
      <c r="AB56" s="94"/>
      <c r="AC56" s="105">
        <f t="shared" si="0"/>
        <v>0.13675921119042422</v>
      </c>
      <c r="AD56" s="105">
        <f t="shared" si="1"/>
        <v>1.5195467910047136E-2</v>
      </c>
      <c r="AE56" s="56"/>
      <c r="AF56" s="56"/>
      <c r="AG56" s="56"/>
      <c r="AH56" s="56"/>
      <c r="AI56" s="56"/>
      <c r="AJ56" s="56"/>
      <c r="AK56" s="56"/>
    </row>
    <row r="57" spans="1:37" ht="15.75" customHeight="1" x14ac:dyDescent="0.2">
      <c r="A57" s="56"/>
      <c r="B57" s="97" t="s">
        <v>75</v>
      </c>
      <c r="C57" s="98"/>
      <c r="D57" s="103" t="s">
        <v>76</v>
      </c>
      <c r="E57" s="104">
        <v>0.8</v>
      </c>
      <c r="F57" s="104">
        <v>0.81067961165048541</v>
      </c>
      <c r="G57" s="104">
        <v>0.75095224142982708</v>
      </c>
      <c r="H57" s="104">
        <v>0.75095224142982708</v>
      </c>
      <c r="I57" s="104">
        <v>0.78</v>
      </c>
      <c r="J57" s="104">
        <v>0.74736156351791527</v>
      </c>
      <c r="K57" s="104">
        <v>0.81</v>
      </c>
      <c r="L57" s="104">
        <v>0.79344561953257609</v>
      </c>
      <c r="M57" s="104">
        <v>0.85333681598537281</v>
      </c>
      <c r="N57" s="104">
        <v>0.82</v>
      </c>
      <c r="O57" s="104">
        <v>0.82</v>
      </c>
      <c r="P57" s="104">
        <v>0.87</v>
      </c>
      <c r="Q57" s="104">
        <v>0.92</v>
      </c>
      <c r="R57" s="104">
        <v>0.86</v>
      </c>
      <c r="S57" s="104">
        <v>0.86</v>
      </c>
      <c r="T57" s="104">
        <v>0.86</v>
      </c>
      <c r="U57" s="104">
        <v>0.91</v>
      </c>
      <c r="V57" s="104">
        <v>92</v>
      </c>
      <c r="W57" s="104">
        <v>0.92</v>
      </c>
      <c r="X57" s="104">
        <v>0.91</v>
      </c>
      <c r="Y57" s="104">
        <v>0.91</v>
      </c>
      <c r="Z57" s="104"/>
      <c r="AA57" s="104"/>
      <c r="AB57" s="94"/>
      <c r="AC57" s="105">
        <f t="shared" si="0"/>
        <v>100.02</v>
      </c>
      <c r="AD57" s="105">
        <f t="shared" si="1"/>
        <v>10.001999999999999</v>
      </c>
      <c r="AE57" s="56"/>
      <c r="AF57" s="56"/>
      <c r="AG57" s="56"/>
      <c r="AH57" s="56"/>
      <c r="AI57" s="56"/>
      <c r="AJ57" s="56"/>
      <c r="AK57" s="56"/>
    </row>
    <row r="58" spans="1:37" ht="15.75" customHeight="1" x14ac:dyDescent="0.2">
      <c r="A58" s="56"/>
      <c r="B58" s="60" t="s">
        <v>77</v>
      </c>
      <c r="C58" s="98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7"/>
      <c r="AC58" s="108">
        <f t="shared" si="0"/>
        <v>0</v>
      </c>
      <c r="AD58" s="109">
        <f t="shared" si="1"/>
        <v>0</v>
      </c>
      <c r="AE58" s="56"/>
      <c r="AF58" s="56"/>
      <c r="AG58" s="56"/>
      <c r="AH58" s="56"/>
      <c r="AI58" s="56"/>
      <c r="AJ58" s="56"/>
      <c r="AK58" s="56"/>
    </row>
    <row r="59" spans="1:37" ht="15.75" customHeight="1" x14ac:dyDescent="0.2">
      <c r="A59" s="56"/>
      <c r="B59" s="97" t="s">
        <v>78</v>
      </c>
      <c r="C59" s="98"/>
      <c r="D59" s="110">
        <v>10</v>
      </c>
      <c r="E59" s="110">
        <v>10</v>
      </c>
      <c r="F59" s="110">
        <v>10</v>
      </c>
      <c r="G59" s="110">
        <v>11</v>
      </c>
      <c r="H59" s="110">
        <v>12</v>
      </c>
      <c r="I59" s="110">
        <v>11</v>
      </c>
      <c r="J59" s="110">
        <v>11</v>
      </c>
      <c r="K59" s="110">
        <v>11</v>
      </c>
      <c r="L59" s="110">
        <v>11</v>
      </c>
      <c r="M59" s="110">
        <v>11</v>
      </c>
      <c r="N59" s="110">
        <v>11</v>
      </c>
      <c r="O59" s="110">
        <v>11</v>
      </c>
      <c r="P59" s="110">
        <v>11</v>
      </c>
      <c r="Q59" s="110">
        <v>11</v>
      </c>
      <c r="R59" s="110">
        <v>11</v>
      </c>
      <c r="S59" s="110">
        <v>11</v>
      </c>
      <c r="T59" s="110">
        <v>11</v>
      </c>
      <c r="U59" s="110">
        <v>11</v>
      </c>
      <c r="V59" s="110">
        <v>11</v>
      </c>
      <c r="W59" s="110">
        <v>11</v>
      </c>
      <c r="X59" s="110">
        <v>11</v>
      </c>
      <c r="Y59" s="110">
        <v>11</v>
      </c>
      <c r="Z59" s="110"/>
      <c r="AA59" s="110"/>
      <c r="AB59" s="94"/>
      <c r="AC59" s="79">
        <f t="shared" si="0"/>
        <v>110</v>
      </c>
      <c r="AD59" s="79">
        <f t="shared" si="1"/>
        <v>11</v>
      </c>
      <c r="AE59" s="56"/>
      <c r="AF59" s="56"/>
      <c r="AG59" s="56"/>
      <c r="AH59" s="56"/>
      <c r="AI59" s="56"/>
      <c r="AJ59" s="56"/>
      <c r="AK59" s="56"/>
    </row>
    <row r="60" spans="1:37" ht="15.75" customHeight="1" x14ac:dyDescent="0.2">
      <c r="A60" s="56"/>
      <c r="B60" s="97" t="s">
        <v>79</v>
      </c>
      <c r="C60" s="98"/>
      <c r="D60" s="77">
        <v>332.3</v>
      </c>
      <c r="E60" s="77">
        <v>304.39999999999998</v>
      </c>
      <c r="F60" s="77">
        <v>320.10000000000002</v>
      </c>
      <c r="G60" s="77">
        <v>312.18181818181819</v>
      </c>
      <c r="H60" s="77">
        <v>295.33333333333331</v>
      </c>
      <c r="I60" s="77">
        <v>303.27272727272725</v>
      </c>
      <c r="J60" s="77">
        <v>327.63636363636363</v>
      </c>
      <c r="K60" s="77">
        <v>306</v>
      </c>
      <c r="L60" s="77">
        <v>318.90909090909093</v>
      </c>
      <c r="M60" s="77">
        <v>322.90909090909093</v>
      </c>
      <c r="N60" s="77">
        <v>340.81818181818181</v>
      </c>
      <c r="O60" s="77">
        <v>352.81818181818181</v>
      </c>
      <c r="P60" s="77">
        <v>334.09090909090907</v>
      </c>
      <c r="Q60" s="77">
        <v>295.36363636363637</v>
      </c>
      <c r="R60" s="77">
        <v>341.18181818181819</v>
      </c>
      <c r="S60" s="77">
        <v>303.54545454545456</v>
      </c>
      <c r="T60" s="77">
        <v>332.81818181818181</v>
      </c>
      <c r="U60" s="77">
        <v>304.09090909090907</v>
      </c>
      <c r="V60" s="77">
        <v>320.27272727272725</v>
      </c>
      <c r="W60" s="77">
        <v>312.54545454545456</v>
      </c>
      <c r="X60" s="77">
        <v>334.63636363636363</v>
      </c>
      <c r="Y60" s="77">
        <v>342.27272727272725</v>
      </c>
      <c r="Z60" s="77"/>
      <c r="AA60" s="77"/>
      <c r="AB60" s="94"/>
      <c r="AC60" s="79">
        <f t="shared" si="0"/>
        <v>3220.8181818181811</v>
      </c>
      <c r="AD60" s="79">
        <f t="shared" si="1"/>
        <v>322.08181818181811</v>
      </c>
      <c r="AE60" s="56"/>
      <c r="AF60" s="56"/>
      <c r="AG60" s="56"/>
      <c r="AH60" s="56"/>
      <c r="AI60" s="56"/>
      <c r="AJ60" s="56"/>
      <c r="AK60" s="56"/>
    </row>
    <row r="61" spans="1:37" ht="15.75" customHeight="1" x14ac:dyDescent="0.2">
      <c r="A61" s="56"/>
      <c r="B61" s="97" t="s">
        <v>80</v>
      </c>
      <c r="C61" s="98"/>
      <c r="D61" s="77">
        <v>245</v>
      </c>
      <c r="E61" s="77">
        <v>218.9</v>
      </c>
      <c r="F61" s="77">
        <v>235</v>
      </c>
      <c r="G61" s="77">
        <v>224.09090909090909</v>
      </c>
      <c r="H61" s="77">
        <v>210.5</v>
      </c>
      <c r="I61" s="77">
        <v>210.36363636363637</v>
      </c>
      <c r="J61" s="77">
        <v>224.81818181818181</v>
      </c>
      <c r="K61" s="77">
        <v>217.72727272727272</v>
      </c>
      <c r="L61" s="77">
        <v>219.36363636363637</v>
      </c>
      <c r="M61" s="77">
        <v>232.45454545454547</v>
      </c>
      <c r="N61" s="77">
        <v>237.63636363636363</v>
      </c>
      <c r="O61" s="77">
        <v>242.63636363636363</v>
      </c>
      <c r="P61" s="77">
        <v>230.27272727272728</v>
      </c>
      <c r="Q61" s="77">
        <v>210</v>
      </c>
      <c r="R61" s="77">
        <v>238.63636363636363</v>
      </c>
      <c r="S61" s="77">
        <v>203.36363636363637</v>
      </c>
      <c r="T61" s="77">
        <v>223.63636363636363</v>
      </c>
      <c r="U61" s="77">
        <v>201.63636363636363</v>
      </c>
      <c r="V61" s="77">
        <v>213.72727272727272</v>
      </c>
      <c r="W61" s="77">
        <v>211.63636363636363</v>
      </c>
      <c r="X61" s="77">
        <v>224.72727272727272</v>
      </c>
      <c r="Y61" s="77">
        <v>232.18181818181819</v>
      </c>
      <c r="Z61" s="77"/>
      <c r="AA61" s="77"/>
      <c r="AB61" s="94"/>
      <c r="AC61" s="79">
        <f t="shared" si="0"/>
        <v>2189.818181818182</v>
      </c>
      <c r="AD61" s="79">
        <f t="shared" si="1"/>
        <v>218.9818181818182</v>
      </c>
      <c r="AE61" s="56"/>
      <c r="AF61" s="56"/>
      <c r="AG61" s="56"/>
      <c r="AH61" s="56"/>
      <c r="AI61" s="56"/>
      <c r="AJ61" s="56"/>
      <c r="AK61" s="56"/>
    </row>
    <row r="62" spans="1:37" ht="15.75" customHeight="1" x14ac:dyDescent="0.2">
      <c r="A62" s="56"/>
      <c r="B62" s="97" t="s">
        <v>81</v>
      </c>
      <c r="C62" s="98"/>
      <c r="D62" s="77">
        <v>1091.3</v>
      </c>
      <c r="E62" s="77">
        <v>941.7</v>
      </c>
      <c r="F62" s="77">
        <v>957.6</v>
      </c>
      <c r="G62" s="77">
        <v>932.63636363636363</v>
      </c>
      <c r="H62" s="77">
        <v>854.91666666666663</v>
      </c>
      <c r="I62" s="77">
        <v>6.0606060606060606E-3</v>
      </c>
      <c r="J62" s="77">
        <v>0</v>
      </c>
      <c r="K62" s="77">
        <v>0</v>
      </c>
      <c r="L62" s="77">
        <v>0</v>
      </c>
      <c r="M62" s="77">
        <v>0</v>
      </c>
      <c r="N62" s="77">
        <v>0</v>
      </c>
      <c r="O62" s="77">
        <v>0</v>
      </c>
      <c r="P62" s="77">
        <v>0</v>
      </c>
      <c r="Q62" s="77">
        <v>0</v>
      </c>
      <c r="R62" s="77">
        <v>0</v>
      </c>
      <c r="S62" s="77">
        <v>0</v>
      </c>
      <c r="T62" s="77">
        <v>0</v>
      </c>
      <c r="U62" s="77">
        <v>0</v>
      </c>
      <c r="V62" s="77">
        <v>0</v>
      </c>
      <c r="W62" s="77">
        <v>0</v>
      </c>
      <c r="X62" s="77">
        <v>0</v>
      </c>
      <c r="Y62" s="77">
        <v>0</v>
      </c>
      <c r="Z62" s="77"/>
      <c r="AA62" s="77"/>
      <c r="AB62" s="94"/>
      <c r="AC62" s="79">
        <f t="shared" si="0"/>
        <v>0</v>
      </c>
      <c r="AD62" s="79">
        <f t="shared" si="1"/>
        <v>0</v>
      </c>
      <c r="AE62" s="56"/>
      <c r="AF62" s="56"/>
      <c r="AG62" s="56"/>
      <c r="AH62" s="56"/>
      <c r="AI62" s="56"/>
      <c r="AJ62" s="56"/>
      <c r="AK62" s="56"/>
    </row>
    <row r="63" spans="1:37" ht="15.75" customHeight="1" x14ac:dyDescent="0.2">
      <c r="A63" s="56"/>
      <c r="B63" s="60" t="s">
        <v>82</v>
      </c>
      <c r="C63" s="58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 s="74"/>
      <c r="AC63" s="86">
        <f t="shared" si="0"/>
        <v>0</v>
      </c>
      <c r="AD63" s="86">
        <f t="shared" si="1"/>
        <v>0</v>
      </c>
      <c r="AE63" s="56"/>
      <c r="AF63" s="56"/>
      <c r="AG63" s="56"/>
      <c r="AH63" s="56"/>
      <c r="AI63" s="56"/>
      <c r="AJ63" s="56"/>
      <c r="AK63" s="56"/>
    </row>
    <row r="64" spans="1:37" ht="15.75" customHeight="1" x14ac:dyDescent="0.2">
      <c r="A64" s="56"/>
      <c r="B64" s="97" t="s">
        <v>83</v>
      </c>
      <c r="C64" s="56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78"/>
      <c r="AC64" s="79">
        <f t="shared" si="0"/>
        <v>0</v>
      </c>
      <c r="AD64" s="79">
        <f t="shared" si="1"/>
        <v>0</v>
      </c>
      <c r="AE64" s="56"/>
      <c r="AF64" s="56"/>
      <c r="AG64" s="56"/>
      <c r="AH64" s="56"/>
      <c r="AI64" s="56"/>
      <c r="AJ64" s="56"/>
      <c r="AK64" s="56"/>
    </row>
    <row r="65" spans="1:37" ht="15.75" customHeight="1" x14ac:dyDescent="0.2">
      <c r="A65" s="56"/>
      <c r="B65" s="97" t="s">
        <v>84</v>
      </c>
      <c r="C65" s="56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78"/>
      <c r="AC65" s="79">
        <f t="shared" si="0"/>
        <v>0</v>
      </c>
      <c r="AD65" s="79">
        <f t="shared" si="1"/>
        <v>0</v>
      </c>
      <c r="AE65" s="56"/>
      <c r="AF65" s="56"/>
      <c r="AG65" s="56"/>
      <c r="AH65" s="56"/>
      <c r="AI65" s="56"/>
      <c r="AJ65" s="56"/>
      <c r="AK65" s="56"/>
    </row>
    <row r="66" spans="1:37" ht="14.25" customHeight="1" x14ac:dyDescent="0.2">
      <c r="A66" s="56"/>
      <c r="B66" s="97" t="s">
        <v>85</v>
      </c>
      <c r="C66" s="56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78"/>
      <c r="AC66" s="102">
        <f t="shared" si="0"/>
        <v>0</v>
      </c>
      <c r="AD66" s="102">
        <f t="shared" si="1"/>
        <v>0</v>
      </c>
      <c r="AE66" s="56"/>
      <c r="AF66" s="56"/>
      <c r="AG66" s="56"/>
      <c r="AH66" s="56"/>
      <c r="AI66" s="56"/>
      <c r="AJ66" s="56"/>
      <c r="AK66" s="56"/>
    </row>
    <row r="67" spans="1:37" ht="14.25" customHeight="1" x14ac:dyDescent="0.2">
      <c r="A67" s="56"/>
      <c r="B67" s="97" t="s">
        <v>86</v>
      </c>
      <c r="C67" s="56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78"/>
      <c r="AC67" s="79">
        <f t="shared" si="0"/>
        <v>0</v>
      </c>
      <c r="AD67" s="79">
        <f t="shared" si="1"/>
        <v>0</v>
      </c>
      <c r="AE67" s="56"/>
      <c r="AF67" s="56"/>
      <c r="AG67" s="56"/>
      <c r="AH67" s="56"/>
      <c r="AI67" s="56"/>
      <c r="AJ67" s="56"/>
      <c r="AK67" s="56"/>
    </row>
    <row r="68" spans="1:37" ht="14.25" customHeight="1" x14ac:dyDescent="0.2">
      <c r="A68" s="56"/>
      <c r="B68" s="97" t="s">
        <v>87</v>
      </c>
      <c r="C68" s="56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78"/>
      <c r="AC68" s="79">
        <f t="shared" si="0"/>
        <v>0</v>
      </c>
      <c r="AD68" s="79">
        <f t="shared" si="1"/>
        <v>0</v>
      </c>
      <c r="AE68" s="56"/>
      <c r="AF68" s="56"/>
      <c r="AG68" s="56"/>
      <c r="AH68" s="56"/>
      <c r="AI68" s="56"/>
      <c r="AJ68" s="56"/>
      <c r="AK68" s="56"/>
    </row>
    <row r="69" spans="1:37" ht="15.75" customHeight="1" x14ac:dyDescent="0.2">
      <c r="A69" s="56"/>
      <c r="B69" s="97" t="s">
        <v>88</v>
      </c>
      <c r="C69" s="56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  <c r="AA69" s="112"/>
      <c r="AB69" s="78"/>
      <c r="AC69" s="105">
        <f t="shared" si="0"/>
        <v>0</v>
      </c>
      <c r="AD69" s="105">
        <f t="shared" si="1"/>
        <v>0</v>
      </c>
      <c r="AE69" s="56"/>
      <c r="AF69" s="56"/>
      <c r="AG69" s="56"/>
      <c r="AH69" s="56"/>
      <c r="AI69" s="56"/>
      <c r="AJ69" s="56"/>
      <c r="AK69" s="56"/>
    </row>
    <row r="70" spans="1:37" ht="15.75" customHeight="1" x14ac:dyDescent="0.2">
      <c r="A70" s="56"/>
      <c r="B70" s="97" t="s">
        <v>89</v>
      </c>
      <c r="C70" s="56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  <c r="AA70" s="113"/>
      <c r="AB70" s="78"/>
      <c r="AC70" s="105">
        <f t="shared" si="0"/>
        <v>0</v>
      </c>
      <c r="AD70" s="105">
        <f t="shared" si="1"/>
        <v>0</v>
      </c>
      <c r="AE70" s="56"/>
      <c r="AF70" s="56"/>
      <c r="AG70" s="56"/>
      <c r="AH70" s="56"/>
      <c r="AI70" s="56"/>
      <c r="AJ70" s="56"/>
      <c r="AK70" s="56"/>
    </row>
    <row r="71" spans="1:37" ht="15.75" customHeight="1" x14ac:dyDescent="0.2">
      <c r="A71" s="56"/>
      <c r="B71" s="60" t="s">
        <v>90</v>
      </c>
      <c r="C71" s="98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7"/>
      <c r="AC71" s="108">
        <f t="shared" si="0"/>
        <v>0</v>
      </c>
      <c r="AD71" s="109">
        <f t="shared" si="1"/>
        <v>0</v>
      </c>
      <c r="AE71" s="56"/>
      <c r="AF71" s="56"/>
      <c r="AG71" s="56"/>
      <c r="AH71" s="56"/>
      <c r="AI71" s="56"/>
      <c r="AJ71" s="56"/>
      <c r="AK71" s="56"/>
    </row>
    <row r="72" spans="1:37" ht="15.75" customHeight="1" x14ac:dyDescent="0.2">
      <c r="A72" s="56"/>
      <c r="B72" s="97" t="s">
        <v>91</v>
      </c>
      <c r="C72" s="98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94"/>
      <c r="AC72" s="79">
        <f t="shared" si="0"/>
        <v>0</v>
      </c>
      <c r="AD72" s="79">
        <f t="shared" si="1"/>
        <v>0</v>
      </c>
      <c r="AE72" s="56"/>
      <c r="AF72" s="56"/>
      <c r="AG72" s="56"/>
      <c r="AH72" s="56"/>
      <c r="AI72" s="56"/>
      <c r="AJ72" s="56"/>
      <c r="AK72" s="56"/>
    </row>
    <row r="73" spans="1:37" ht="15.75" customHeight="1" x14ac:dyDescent="0.2">
      <c r="A73" s="56"/>
      <c r="B73" s="97" t="s">
        <v>92</v>
      </c>
      <c r="C73" s="98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94"/>
      <c r="AC73" s="79">
        <f t="shared" si="0"/>
        <v>0</v>
      </c>
      <c r="AD73" s="79">
        <f t="shared" si="1"/>
        <v>0</v>
      </c>
      <c r="AE73" s="56"/>
      <c r="AF73" s="56"/>
      <c r="AG73" s="56"/>
      <c r="AH73" s="56"/>
      <c r="AI73" s="56"/>
      <c r="AJ73" s="56"/>
      <c r="AK73" s="56"/>
    </row>
    <row r="74" spans="1:37" ht="15.75" customHeight="1" x14ac:dyDescent="0.2">
      <c r="A74" s="56"/>
      <c r="B74" s="60" t="s">
        <v>93</v>
      </c>
      <c r="C74" s="98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>
        <f t="shared" si="0"/>
        <v>0</v>
      </c>
      <c r="AD74" s="106">
        <f t="shared" si="1"/>
        <v>0</v>
      </c>
      <c r="AE74" s="56"/>
      <c r="AF74" s="56"/>
      <c r="AG74" s="56"/>
      <c r="AH74" s="56"/>
      <c r="AI74" s="56"/>
      <c r="AJ74" s="56"/>
      <c r="AK74" s="56"/>
    </row>
    <row r="75" spans="1:37" ht="15.75" customHeight="1" x14ac:dyDescent="0.2">
      <c r="A75" s="56"/>
      <c r="B75" s="115" t="s">
        <v>94</v>
      </c>
      <c r="C75" s="98"/>
      <c r="D75" s="99">
        <v>12331</v>
      </c>
      <c r="E75" s="99">
        <v>11438</v>
      </c>
      <c r="F75" s="99">
        <v>10981</v>
      </c>
      <c r="G75" s="99">
        <v>11823</v>
      </c>
      <c r="H75" s="99">
        <v>11823</v>
      </c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116"/>
      <c r="AC75" s="79">
        <f t="shared" si="0"/>
        <v>0</v>
      </c>
      <c r="AD75" s="79">
        <f t="shared" si="1"/>
        <v>0</v>
      </c>
      <c r="AE75" s="56"/>
      <c r="AF75" s="56"/>
      <c r="AG75" s="56"/>
      <c r="AH75" s="56"/>
      <c r="AI75" s="56"/>
      <c r="AJ75" s="56"/>
      <c r="AK75" s="56"/>
    </row>
    <row r="76" spans="1:37" ht="15.75" customHeight="1" x14ac:dyDescent="0.2">
      <c r="A76" s="56"/>
      <c r="B76" s="115" t="s">
        <v>95</v>
      </c>
      <c r="C76" s="98"/>
      <c r="D76" s="99">
        <v>10997</v>
      </c>
      <c r="E76" s="99">
        <v>9873</v>
      </c>
      <c r="F76" s="99">
        <v>11574</v>
      </c>
      <c r="G76" s="99">
        <v>11777</v>
      </c>
      <c r="H76" s="99">
        <v>11777</v>
      </c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116"/>
      <c r="AC76" s="79">
        <f t="shared" si="0"/>
        <v>0</v>
      </c>
      <c r="AD76" s="79">
        <f t="shared" si="1"/>
        <v>0</v>
      </c>
      <c r="AE76" s="56"/>
      <c r="AF76" s="56"/>
      <c r="AG76" s="56"/>
      <c r="AH76" s="56"/>
      <c r="AI76" s="56"/>
      <c r="AJ76" s="56"/>
      <c r="AK76" s="56"/>
    </row>
    <row r="77" spans="1:37" ht="15.75" customHeight="1" x14ac:dyDescent="0.2">
      <c r="A77" s="56"/>
      <c r="B77" s="115" t="s">
        <v>96</v>
      </c>
      <c r="C77" s="98"/>
      <c r="D77" s="117">
        <v>23328</v>
      </c>
      <c r="E77" s="117">
        <v>21311</v>
      </c>
      <c r="F77" s="117">
        <v>22555</v>
      </c>
      <c r="G77" s="117">
        <v>23600</v>
      </c>
      <c r="H77" s="117">
        <v>23600</v>
      </c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  <c r="AA77" s="117"/>
      <c r="AB77" s="116"/>
      <c r="AC77" s="79">
        <f t="shared" ref="AC77:AC84" si="2">SUM(P77:AA77)</f>
        <v>0</v>
      </c>
      <c r="AD77" s="79">
        <f t="shared" ref="AD77" si="3">IFERROR(AC77/(COUNT(P77:AA77)),0)</f>
        <v>0</v>
      </c>
      <c r="AE77" s="56"/>
      <c r="AF77" s="56"/>
      <c r="AG77" s="56"/>
      <c r="AH77" s="56"/>
      <c r="AI77" s="56"/>
      <c r="AJ77" s="56"/>
      <c r="AK77" s="56"/>
    </row>
    <row r="78" spans="1:37" ht="15.75" customHeight="1" x14ac:dyDescent="0.2">
      <c r="A78" s="56"/>
      <c r="B78" s="60" t="s">
        <v>97</v>
      </c>
      <c r="C78" s="5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 s="106"/>
      <c r="AC78" s="86">
        <f t="shared" si="2"/>
        <v>0</v>
      </c>
      <c r="AD78" s="86"/>
      <c r="AE78" s="56"/>
      <c r="AF78" s="56"/>
      <c r="AG78" s="56"/>
      <c r="AH78" s="56"/>
      <c r="AI78" s="56"/>
      <c r="AJ78" s="56"/>
      <c r="AK78" s="56"/>
    </row>
    <row r="79" spans="1:37" ht="15.75" customHeight="1" x14ac:dyDescent="0.2">
      <c r="A79" s="56"/>
      <c r="B79" s="76" t="s">
        <v>98</v>
      </c>
      <c r="C79" s="56"/>
      <c r="D79" s="88">
        <v>0</v>
      </c>
      <c r="E79" s="88">
        <v>0</v>
      </c>
      <c r="F79" s="88">
        <v>0</v>
      </c>
      <c r="G79" s="88">
        <v>0</v>
      </c>
      <c r="H79" s="88">
        <v>0</v>
      </c>
      <c r="I79" s="88">
        <v>0</v>
      </c>
      <c r="J79" s="88">
        <v>0</v>
      </c>
      <c r="K79" s="88">
        <v>0</v>
      </c>
      <c r="L79" s="88">
        <v>0</v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88">
        <v>0</v>
      </c>
      <c r="V79" s="88">
        <v>0</v>
      </c>
      <c r="W79" s="88">
        <v>0</v>
      </c>
      <c r="X79" s="88">
        <v>0</v>
      </c>
      <c r="Y79" s="88">
        <v>0</v>
      </c>
      <c r="Z79" s="88"/>
      <c r="AA79" s="88"/>
      <c r="AB79" s="118"/>
      <c r="AC79" s="105">
        <f t="shared" si="2"/>
        <v>0</v>
      </c>
      <c r="AD79" s="86"/>
      <c r="AE79" s="56"/>
      <c r="AF79" s="56"/>
      <c r="AG79" s="56"/>
      <c r="AH79" s="56"/>
      <c r="AI79" s="56"/>
      <c r="AJ79" s="56"/>
      <c r="AK79" s="56"/>
    </row>
    <row r="80" spans="1:37" ht="15.75" customHeight="1" x14ac:dyDescent="0.2">
      <c r="A80" s="56"/>
      <c r="B80" s="76" t="s">
        <v>99</v>
      </c>
      <c r="C80" s="56"/>
      <c r="D80" s="88">
        <v>0</v>
      </c>
      <c r="E80" s="88">
        <v>0</v>
      </c>
      <c r="F80" s="88">
        <v>0</v>
      </c>
      <c r="G80" s="88">
        <v>0</v>
      </c>
      <c r="H80" s="88">
        <v>0</v>
      </c>
      <c r="I80" s="88">
        <v>0</v>
      </c>
      <c r="J80" s="88">
        <v>0</v>
      </c>
      <c r="K80" s="88">
        <v>0</v>
      </c>
      <c r="L80" s="88">
        <v>0</v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88">
        <v>0</v>
      </c>
      <c r="V80" s="88">
        <v>0</v>
      </c>
      <c r="W80" s="88">
        <v>0</v>
      </c>
      <c r="X80" s="88">
        <v>0</v>
      </c>
      <c r="Y80" s="88">
        <v>0</v>
      </c>
      <c r="Z80" s="88"/>
      <c r="AA80" s="88"/>
      <c r="AB80" s="118"/>
      <c r="AC80" s="105">
        <f t="shared" si="2"/>
        <v>0</v>
      </c>
      <c r="AD80" s="86"/>
      <c r="AE80" s="56"/>
      <c r="AF80" s="56"/>
      <c r="AG80" s="56"/>
      <c r="AH80" s="56"/>
      <c r="AI80" s="56"/>
      <c r="AJ80" s="56"/>
      <c r="AK80" s="56"/>
    </row>
    <row r="81" spans="1:38" ht="15.75" customHeight="1" x14ac:dyDescent="0.2">
      <c r="A81" s="56"/>
      <c r="B81" s="76" t="s">
        <v>100</v>
      </c>
      <c r="C81" s="56"/>
      <c r="D81" s="88">
        <v>0</v>
      </c>
      <c r="E81" s="88">
        <v>0</v>
      </c>
      <c r="F81" s="88">
        <v>0</v>
      </c>
      <c r="G81" s="88">
        <v>0</v>
      </c>
      <c r="H81" s="88">
        <v>0</v>
      </c>
      <c r="I81" s="88">
        <v>0</v>
      </c>
      <c r="J81" s="88">
        <v>0</v>
      </c>
      <c r="K81" s="88">
        <v>0</v>
      </c>
      <c r="L81" s="88">
        <v>0</v>
      </c>
      <c r="M81" s="88">
        <v>0</v>
      </c>
      <c r="N81" s="88">
        <v>0</v>
      </c>
      <c r="O81" s="88">
        <v>0</v>
      </c>
      <c r="P81" s="88">
        <v>0</v>
      </c>
      <c r="Q81" s="88">
        <v>0</v>
      </c>
      <c r="R81" s="88">
        <v>0</v>
      </c>
      <c r="S81" s="88">
        <v>0</v>
      </c>
      <c r="T81" s="88">
        <v>0</v>
      </c>
      <c r="U81" s="88">
        <v>0</v>
      </c>
      <c r="V81" s="88">
        <v>0</v>
      </c>
      <c r="W81" s="88">
        <v>0</v>
      </c>
      <c r="X81" s="88">
        <v>0</v>
      </c>
      <c r="Y81" s="88">
        <v>0</v>
      </c>
      <c r="Z81" s="88"/>
      <c r="AA81" s="88"/>
      <c r="AB81" s="118"/>
      <c r="AC81" s="105">
        <f t="shared" si="2"/>
        <v>0</v>
      </c>
      <c r="AD81" s="86"/>
      <c r="AE81" s="56"/>
      <c r="AF81" s="56"/>
      <c r="AG81" s="56"/>
      <c r="AH81" s="56"/>
      <c r="AI81" s="56"/>
      <c r="AJ81" s="56"/>
      <c r="AK81" s="56"/>
    </row>
    <row r="82" spans="1:38" ht="15.75" customHeight="1" x14ac:dyDescent="0.2">
      <c r="A82" s="56"/>
      <c r="B82" s="76" t="s">
        <v>101</v>
      </c>
      <c r="C82" s="56"/>
      <c r="D82" s="88">
        <v>1.093983092988563E-2</v>
      </c>
      <c r="E82" s="88">
        <v>7.0080862533692719E-3</v>
      </c>
      <c r="F82" s="88">
        <v>1.3347022587268994E-2</v>
      </c>
      <c r="G82" s="88">
        <v>7.575757575757576E-3</v>
      </c>
      <c r="H82" s="88">
        <v>6.6225165562913907E-3</v>
      </c>
      <c r="I82" s="88">
        <v>8.2389289392378988E-3</v>
      </c>
      <c r="J82" s="88">
        <v>5.3140096618357491E-3</v>
      </c>
      <c r="K82" s="88">
        <v>1.0126582278481013E-2</v>
      </c>
      <c r="L82" s="88">
        <v>1.3493975903614458E-2</v>
      </c>
      <c r="M82" s="88">
        <v>1.5894641235240689E-2</v>
      </c>
      <c r="N82" s="88">
        <v>1.7929179740026894E-2</v>
      </c>
      <c r="O82" s="88">
        <v>1.027244305493524E-2</v>
      </c>
      <c r="P82" s="88">
        <v>9.9337748344370865E-3</v>
      </c>
      <c r="Q82" s="88">
        <v>1.3000520020800831E-2</v>
      </c>
      <c r="R82" s="88">
        <v>1.0240427426536063E-2</v>
      </c>
      <c r="S82" s="88">
        <v>8.9947089947089946E-3</v>
      </c>
      <c r="T82" s="88">
        <v>1.0421601136901942E-2</v>
      </c>
      <c r="U82" s="88">
        <v>7.2016460905349796E-3</v>
      </c>
      <c r="V82" s="88">
        <v>1.2382367508667657E-2</v>
      </c>
      <c r="W82" s="88">
        <v>8.4915084915084919E-3</v>
      </c>
      <c r="X82" s="88">
        <v>5.0435580009170105E-3</v>
      </c>
      <c r="Y82" s="88">
        <v>3.5304501323918801E-3</v>
      </c>
      <c r="Z82" s="88"/>
      <c r="AA82" s="88"/>
      <c r="AB82" s="118"/>
      <c r="AC82" s="105">
        <f t="shared" si="2"/>
        <v>8.9240562637404944E-2</v>
      </c>
      <c r="AD82" s="86"/>
      <c r="AE82" s="56"/>
      <c r="AF82" s="56"/>
      <c r="AG82" s="56"/>
      <c r="AH82" s="56"/>
      <c r="AI82" s="56"/>
      <c r="AJ82" s="56"/>
      <c r="AK82" s="56"/>
    </row>
    <row r="83" spans="1:38" ht="15.75" customHeight="1" x14ac:dyDescent="0.2">
      <c r="A83" s="56"/>
      <c r="B83" s="76" t="s">
        <v>102</v>
      </c>
      <c r="C83" s="56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118"/>
      <c r="AC83" s="105">
        <f t="shared" si="2"/>
        <v>0</v>
      </c>
      <c r="AD83" s="86"/>
      <c r="AE83" s="56"/>
      <c r="AF83" s="56"/>
      <c r="AG83" s="56"/>
      <c r="AH83" s="56"/>
      <c r="AI83" s="56"/>
      <c r="AJ83" s="56"/>
      <c r="AK83" s="56"/>
    </row>
    <row r="84" spans="1:38" ht="15.75" customHeight="1" x14ac:dyDescent="0.2">
      <c r="A84" s="56"/>
      <c r="B84" s="76" t="s">
        <v>103</v>
      </c>
      <c r="C84" s="56"/>
      <c r="D84" s="84">
        <v>33.315870175259718</v>
      </c>
      <c r="E84" s="84">
        <v>30.737968880335991</v>
      </c>
      <c r="F84" s="84">
        <v>32.897607844504947</v>
      </c>
      <c r="G84" s="84">
        <v>31.758683227266669</v>
      </c>
      <c r="H84" s="84">
        <v>30.444063632737343</v>
      </c>
      <c r="I84" s="84">
        <v>33.660343025459547</v>
      </c>
      <c r="J84" s="84">
        <v>31.491345015241382</v>
      </c>
      <c r="K84" s="84">
        <v>47.587324694157644</v>
      </c>
      <c r="L84" s="84">
        <v>31.190616552423052</v>
      </c>
      <c r="M84" s="84">
        <v>32.326593350906059</v>
      </c>
      <c r="N84" s="84">
        <v>34.488164036407376</v>
      </c>
      <c r="O84" s="84">
        <v>34.629944479256594</v>
      </c>
      <c r="P84" s="84">
        <v>41.779110378681622</v>
      </c>
      <c r="Q84" s="84">
        <v>40.320958473249966</v>
      </c>
      <c r="R84" s="84">
        <v>38.610742384245825</v>
      </c>
      <c r="S84" s="84">
        <v>41.606282107937488</v>
      </c>
      <c r="T84" s="84">
        <v>42.254817496418077</v>
      </c>
      <c r="U84" s="84">
        <v>37.487780854708696</v>
      </c>
      <c r="V84" s="84">
        <v>38.744296121125153</v>
      </c>
      <c r="W84" s="84">
        <v>39.871755821503413</v>
      </c>
      <c r="X84" s="84">
        <v>36.879450395095553</v>
      </c>
      <c r="Y84" s="84">
        <v>37.218994408956299</v>
      </c>
      <c r="Z84" s="84"/>
      <c r="AA84" s="84"/>
      <c r="AB84" s="118"/>
      <c r="AC84" s="85">
        <f t="shared" si="2"/>
        <v>394.77418844192204</v>
      </c>
      <c r="AD84" s="86"/>
      <c r="AE84" s="56"/>
      <c r="AF84" s="56"/>
      <c r="AG84" s="56"/>
      <c r="AH84" s="56"/>
      <c r="AI84" s="56"/>
      <c r="AJ84" s="56"/>
      <c r="AK84" s="56"/>
    </row>
    <row r="85" spans="1:38" ht="15.75" customHeight="1" x14ac:dyDescent="0.2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56"/>
      <c r="AC85" s="56"/>
      <c r="AD85" s="58"/>
      <c r="AE85" s="56"/>
      <c r="AF85" s="56"/>
      <c r="AG85" s="56"/>
      <c r="AH85" s="56"/>
      <c r="AI85" s="56"/>
      <c r="AJ85" s="56"/>
      <c r="AK85" s="56"/>
      <c r="AL85" s="56"/>
    </row>
    <row r="86" spans="1:38" ht="15.75" customHeight="1" x14ac:dyDescent="0.2">
      <c r="A86" s="56"/>
      <c r="B86" s="56"/>
      <c r="C86" s="56"/>
      <c r="D86" s="120"/>
      <c r="E86" s="120"/>
      <c r="F86" s="56"/>
      <c r="G86" s="56"/>
      <c r="H86" s="56"/>
      <c r="I86" s="56"/>
      <c r="J86" s="56"/>
      <c r="K86" s="56"/>
      <c r="L86" s="120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8"/>
      <c r="AE86" s="56"/>
      <c r="AF86" s="56"/>
      <c r="AG86" s="56"/>
      <c r="AH86" s="56"/>
      <c r="AI86" s="56"/>
      <c r="AJ86" s="56"/>
      <c r="AK86" s="56"/>
      <c r="AL86" s="56"/>
    </row>
    <row r="87" spans="1:38" ht="15.75" customHeight="1" x14ac:dyDescent="0.2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8"/>
      <c r="AE87" s="56"/>
      <c r="AF87" s="56"/>
      <c r="AG87" s="56"/>
      <c r="AH87" s="56"/>
      <c r="AI87" s="56"/>
      <c r="AJ87" s="56"/>
      <c r="AK87" s="56"/>
      <c r="AL87" s="56"/>
    </row>
    <row r="88" spans="1:38" ht="15.75" customHeight="1" x14ac:dyDescent="0.2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8"/>
      <c r="AE88" s="56"/>
      <c r="AF88" s="56"/>
      <c r="AG88" s="56"/>
      <c r="AH88" s="56"/>
      <c r="AI88" s="56"/>
      <c r="AJ88" s="56"/>
      <c r="AK88" s="56"/>
      <c r="AL88" s="56"/>
    </row>
    <row r="89" spans="1:38" ht="15.75" customHeight="1" x14ac:dyDescent="0.2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8"/>
      <c r="AE89" s="56"/>
      <c r="AF89" s="56"/>
      <c r="AG89" s="56"/>
      <c r="AH89" s="56"/>
      <c r="AI89" s="56"/>
      <c r="AJ89" s="56"/>
      <c r="AK89" s="56"/>
      <c r="AL89" s="56"/>
    </row>
    <row r="90" spans="1:38" ht="15.75" customHeight="1" x14ac:dyDescent="0.2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8"/>
      <c r="AE90" s="56"/>
      <c r="AF90" s="56"/>
      <c r="AG90" s="56"/>
      <c r="AH90" s="56"/>
      <c r="AI90" s="56"/>
      <c r="AJ90" s="56"/>
      <c r="AK90" s="56"/>
      <c r="AL90" s="56"/>
    </row>
    <row r="91" spans="1:38" ht="15.75" customHeight="1" x14ac:dyDescent="0.2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8"/>
      <c r="AE91" s="56"/>
      <c r="AF91" s="56"/>
      <c r="AG91" s="56"/>
      <c r="AH91" s="56"/>
      <c r="AI91" s="56"/>
      <c r="AJ91" s="56"/>
      <c r="AK91" s="56"/>
      <c r="AL91" s="56"/>
    </row>
    <row r="92" spans="1:38" ht="15.75" customHeight="1" x14ac:dyDescent="0.2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8"/>
      <c r="AE92" s="56"/>
      <c r="AF92" s="56"/>
      <c r="AG92" s="56"/>
      <c r="AH92" s="56"/>
      <c r="AI92" s="56"/>
      <c r="AJ92" s="56"/>
      <c r="AK92" s="56"/>
      <c r="AL92" s="56"/>
    </row>
    <row r="93" spans="1:38" ht="15.75" customHeight="1" x14ac:dyDescent="0.2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8"/>
      <c r="AE93" s="56"/>
      <c r="AF93" s="56"/>
      <c r="AG93" s="56"/>
      <c r="AH93" s="56"/>
      <c r="AI93" s="56"/>
      <c r="AJ93" s="56"/>
      <c r="AK93" s="56"/>
      <c r="AL93" s="56"/>
    </row>
    <row r="94" spans="1:38" ht="15.75" customHeight="1" x14ac:dyDescent="0.2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8"/>
      <c r="AE94" s="56"/>
      <c r="AF94" s="56"/>
      <c r="AG94" s="56"/>
      <c r="AH94" s="56"/>
      <c r="AI94" s="56"/>
      <c r="AJ94" s="56"/>
      <c r="AK94" s="56"/>
      <c r="AL94" s="56"/>
    </row>
    <row r="95" spans="1:38" ht="15.75" customHeight="1" x14ac:dyDescent="0.2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8"/>
      <c r="AE95" s="56"/>
      <c r="AF95" s="56"/>
      <c r="AG95" s="56"/>
      <c r="AH95" s="56"/>
      <c r="AI95" s="56"/>
      <c r="AJ95" s="56"/>
      <c r="AK95" s="56"/>
      <c r="AL95" s="56"/>
    </row>
    <row r="96" spans="1:38" ht="15.75" customHeight="1" x14ac:dyDescent="0.2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8"/>
      <c r="AE96" s="56"/>
      <c r="AF96" s="56"/>
      <c r="AG96" s="56"/>
      <c r="AH96" s="56"/>
      <c r="AI96" s="56"/>
      <c r="AJ96" s="56"/>
      <c r="AK96" s="56"/>
      <c r="AL96" s="56"/>
    </row>
    <row r="97" spans="1:38" ht="15.75" customHeight="1" x14ac:dyDescent="0.2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8"/>
      <c r="AE97" s="56"/>
      <c r="AF97" s="56"/>
      <c r="AG97" s="56"/>
      <c r="AH97" s="56"/>
      <c r="AI97" s="56"/>
      <c r="AJ97" s="56"/>
      <c r="AK97" s="56"/>
      <c r="AL97" s="56"/>
    </row>
    <row r="98" spans="1:38" ht="15.75" customHeight="1" x14ac:dyDescent="0.2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8"/>
      <c r="AE98" s="56"/>
      <c r="AF98" s="56"/>
      <c r="AG98" s="56"/>
      <c r="AH98" s="56"/>
      <c r="AI98" s="56"/>
      <c r="AJ98" s="56"/>
      <c r="AK98" s="56"/>
      <c r="AL98" s="56"/>
    </row>
    <row r="99" spans="1:38" ht="15.75" customHeight="1" x14ac:dyDescent="0.2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8"/>
      <c r="AE99" s="56"/>
      <c r="AF99" s="56"/>
      <c r="AG99" s="56"/>
      <c r="AH99" s="56"/>
      <c r="AI99" s="56"/>
      <c r="AJ99" s="56"/>
      <c r="AK99" s="56"/>
      <c r="AL99" s="56"/>
    </row>
    <row r="100" spans="1:38" ht="15.75" customHeight="1" x14ac:dyDescent="0.2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8"/>
      <c r="AE100" s="56"/>
      <c r="AF100" s="56"/>
      <c r="AG100" s="56"/>
      <c r="AH100" s="56"/>
      <c r="AI100" s="56"/>
      <c r="AJ100" s="56"/>
      <c r="AK100" s="56"/>
      <c r="AL100" s="56"/>
    </row>
    <row r="101" spans="1:38" ht="15.75" customHeight="1" x14ac:dyDescent="0.2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8"/>
      <c r="AE101" s="56"/>
      <c r="AF101" s="56"/>
      <c r="AG101" s="56"/>
      <c r="AH101" s="56"/>
      <c r="AI101" s="56"/>
      <c r="AJ101" s="56"/>
      <c r="AK101" s="56"/>
      <c r="AL101" s="56"/>
    </row>
    <row r="102" spans="1:38" ht="15.75" customHeight="1" x14ac:dyDescent="0.2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8"/>
      <c r="AE102" s="56"/>
      <c r="AF102" s="56"/>
      <c r="AG102" s="56"/>
      <c r="AH102" s="56"/>
      <c r="AI102" s="56"/>
      <c r="AJ102" s="56"/>
      <c r="AK102" s="56"/>
      <c r="AL102" s="56"/>
    </row>
    <row r="103" spans="1:38" ht="15.75" customHeight="1" x14ac:dyDescent="0.2">
      <c r="A103" s="56"/>
      <c r="B103" s="56"/>
      <c r="C103" s="56"/>
      <c r="D103" s="120"/>
      <c r="E103" s="120"/>
      <c r="F103" s="56"/>
      <c r="G103" s="56"/>
      <c r="H103" s="56"/>
      <c r="I103" s="56"/>
      <c r="J103" s="56"/>
      <c r="K103" s="56"/>
      <c r="L103" s="120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8"/>
      <c r="AE103" s="56"/>
      <c r="AF103" s="56"/>
      <c r="AG103" s="56"/>
      <c r="AH103" s="56"/>
      <c r="AI103" s="56"/>
      <c r="AJ103" s="56"/>
      <c r="AK103" s="56"/>
      <c r="AL103" s="56"/>
    </row>
    <row r="104" spans="1:38" ht="15.75" customHeight="1" x14ac:dyDescent="0.2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8"/>
      <c r="AE104" s="56"/>
      <c r="AF104" s="56"/>
      <c r="AG104" s="56"/>
      <c r="AH104" s="56"/>
      <c r="AI104" s="56"/>
      <c r="AJ104" s="56"/>
      <c r="AK104" s="56"/>
      <c r="AL104" s="56"/>
    </row>
    <row r="105" spans="1:38" ht="15.75" customHeight="1" x14ac:dyDescent="0.2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8"/>
      <c r="AE105" s="56"/>
      <c r="AF105" s="56"/>
      <c r="AG105" s="56"/>
      <c r="AH105" s="56"/>
      <c r="AI105" s="56"/>
      <c r="AJ105" s="56"/>
      <c r="AK105" s="56"/>
      <c r="AL105" s="56"/>
    </row>
    <row r="106" spans="1:38" ht="15.75" customHeight="1" x14ac:dyDescent="0.2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8"/>
      <c r="AE106" s="56"/>
      <c r="AF106" s="56"/>
      <c r="AG106" s="56"/>
      <c r="AH106" s="56"/>
      <c r="AI106" s="56"/>
      <c r="AJ106" s="56"/>
      <c r="AK106" s="56"/>
      <c r="AL106" s="56"/>
    </row>
    <row r="107" spans="1:38" ht="15.75" customHeight="1" x14ac:dyDescent="0.2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8"/>
      <c r="AE107" s="56"/>
      <c r="AF107" s="56"/>
      <c r="AG107" s="56"/>
      <c r="AH107" s="56"/>
      <c r="AI107" s="56"/>
      <c r="AJ107" s="56"/>
      <c r="AK107" s="56"/>
      <c r="AL107" s="56"/>
    </row>
    <row r="108" spans="1:38" ht="15.75" customHeight="1" x14ac:dyDescent="0.2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8"/>
      <c r="AE108" s="56"/>
      <c r="AF108" s="56"/>
      <c r="AG108" s="56"/>
      <c r="AH108" s="56"/>
      <c r="AI108" s="56"/>
      <c r="AJ108" s="56"/>
      <c r="AK108" s="56"/>
      <c r="AL108" s="56"/>
    </row>
    <row r="109" spans="1:38" ht="15.75" customHeight="1" x14ac:dyDescent="0.2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8"/>
      <c r="AE109" s="56"/>
      <c r="AF109" s="56"/>
      <c r="AG109" s="56"/>
      <c r="AH109" s="56"/>
      <c r="AI109" s="56"/>
      <c r="AJ109" s="56"/>
      <c r="AK109" s="56"/>
      <c r="AL109" s="56"/>
    </row>
    <row r="110" spans="1:38" ht="15.75" customHeight="1" x14ac:dyDescent="0.2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8"/>
      <c r="AE110" s="56"/>
      <c r="AF110" s="56"/>
      <c r="AG110" s="56"/>
      <c r="AH110" s="56"/>
      <c r="AI110" s="56"/>
      <c r="AJ110" s="56"/>
      <c r="AK110" s="56"/>
      <c r="AL110" s="56"/>
    </row>
    <row r="111" spans="1:38" ht="15.75" customHeight="1" x14ac:dyDescent="0.2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8"/>
      <c r="AE111" s="56"/>
      <c r="AF111" s="56"/>
      <c r="AG111" s="56"/>
      <c r="AH111" s="56"/>
      <c r="AI111" s="56"/>
      <c r="AJ111" s="56"/>
      <c r="AK111" s="56"/>
      <c r="AL111" s="56"/>
    </row>
    <row r="112" spans="1:38" ht="15.75" customHeight="1" x14ac:dyDescent="0.2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8"/>
      <c r="AE112" s="56"/>
      <c r="AF112" s="56"/>
      <c r="AG112" s="56"/>
      <c r="AH112" s="56"/>
      <c r="AI112" s="56"/>
      <c r="AJ112" s="56"/>
      <c r="AK112" s="56"/>
      <c r="AL112" s="56"/>
    </row>
    <row r="113" spans="1:38" ht="15.75" customHeight="1" x14ac:dyDescent="0.2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8"/>
      <c r="AE113" s="56"/>
      <c r="AF113" s="56"/>
      <c r="AG113" s="56"/>
      <c r="AH113" s="56"/>
      <c r="AI113" s="56"/>
      <c r="AJ113" s="56"/>
      <c r="AK113" s="56"/>
      <c r="AL113" s="56"/>
    </row>
    <row r="114" spans="1:38" ht="15.75" customHeight="1" x14ac:dyDescent="0.2">
      <c r="A114" s="56"/>
      <c r="C114" s="56"/>
      <c r="AB114" s="56"/>
      <c r="AC114" s="56"/>
      <c r="AD114" s="58"/>
      <c r="AE114" s="56"/>
      <c r="AF114" s="56"/>
      <c r="AG114" s="56"/>
      <c r="AH114" s="56"/>
      <c r="AI114" s="56"/>
      <c r="AJ114" s="56"/>
      <c r="AK114" s="56"/>
    </row>
    <row r="115" spans="1:38" ht="15.75" customHeight="1" x14ac:dyDescent="0.2">
      <c r="A115" s="56"/>
      <c r="C115" s="56"/>
      <c r="AB115" s="56"/>
      <c r="AC115" s="56"/>
      <c r="AD115" s="58"/>
      <c r="AE115" s="56"/>
      <c r="AF115" s="56"/>
      <c r="AG115" s="56"/>
      <c r="AH115" s="56"/>
      <c r="AI115" s="56"/>
      <c r="AJ115" s="56"/>
      <c r="AK115" s="56"/>
    </row>
    <row r="116" spans="1:38" ht="15.75" customHeight="1" x14ac:dyDescent="0.2">
      <c r="A116" s="56"/>
      <c r="C116" s="56"/>
      <c r="AB116" s="56"/>
      <c r="AC116" s="56"/>
      <c r="AD116" s="58"/>
      <c r="AE116" s="56"/>
      <c r="AF116" s="56"/>
      <c r="AG116" s="56"/>
      <c r="AH116" s="56"/>
      <c r="AI116" s="56"/>
      <c r="AJ116" s="56"/>
      <c r="AK116" s="56"/>
    </row>
    <row r="117" spans="1:38" ht="15.75" customHeight="1" x14ac:dyDescent="0.2">
      <c r="A117" s="56"/>
      <c r="C117" s="56"/>
      <c r="AB117" s="56"/>
      <c r="AC117" s="56"/>
      <c r="AD117" s="58"/>
      <c r="AE117" s="56"/>
      <c r="AF117" s="56"/>
      <c r="AG117" s="56"/>
      <c r="AH117" s="56"/>
      <c r="AI117" s="56"/>
      <c r="AJ117" s="56"/>
      <c r="AK117" s="56"/>
    </row>
    <row r="118" spans="1:38" ht="15.75" customHeight="1" x14ac:dyDescent="0.2">
      <c r="A118" s="56"/>
      <c r="C118" s="56"/>
      <c r="AB118" s="56"/>
      <c r="AC118" s="56"/>
      <c r="AD118" s="58"/>
      <c r="AE118" s="56"/>
      <c r="AF118" s="56"/>
      <c r="AG118" s="56"/>
      <c r="AH118" s="56"/>
      <c r="AI118" s="56"/>
      <c r="AJ118" s="56"/>
      <c r="AK118" s="56"/>
    </row>
    <row r="119" spans="1:38" ht="15.75" customHeight="1" x14ac:dyDescent="0.2">
      <c r="A119" s="56"/>
      <c r="C119" s="56"/>
      <c r="AB119" s="56"/>
      <c r="AC119" s="56"/>
      <c r="AD119" s="58"/>
      <c r="AE119" s="56"/>
      <c r="AF119" s="56"/>
      <c r="AG119" s="56"/>
      <c r="AH119" s="56"/>
      <c r="AI119" s="56"/>
      <c r="AJ119" s="56"/>
      <c r="AK119" s="56"/>
    </row>
    <row r="120" spans="1:38" ht="15.75" customHeight="1" x14ac:dyDescent="0.2">
      <c r="A120" s="56"/>
      <c r="C120" s="56"/>
      <c r="AB120" s="56"/>
      <c r="AC120" s="56"/>
      <c r="AD120" s="58"/>
      <c r="AE120" s="56"/>
      <c r="AF120" s="56"/>
      <c r="AG120" s="56"/>
      <c r="AH120" s="56"/>
      <c r="AI120" s="56"/>
      <c r="AJ120" s="56"/>
      <c r="AK120" s="56"/>
    </row>
    <row r="121" spans="1:38" ht="15.75" customHeight="1" x14ac:dyDescent="0.2">
      <c r="A121" s="56"/>
      <c r="C121" s="56"/>
      <c r="D121" s="121"/>
      <c r="E121" s="121"/>
      <c r="AB121" s="56"/>
      <c r="AC121" s="56"/>
      <c r="AD121" s="58"/>
      <c r="AE121" s="56"/>
      <c r="AF121" s="56"/>
      <c r="AG121" s="56"/>
      <c r="AH121" s="56"/>
      <c r="AI121" s="56"/>
      <c r="AJ121" s="56"/>
      <c r="AK121" s="56"/>
    </row>
    <row r="122" spans="1:38" ht="15.75" customHeight="1" x14ac:dyDescent="0.2">
      <c r="A122" s="56"/>
      <c r="C122" s="56"/>
      <c r="AB122" s="56"/>
      <c r="AC122" s="56"/>
      <c r="AD122" s="58"/>
      <c r="AE122" s="56"/>
      <c r="AF122" s="56"/>
      <c r="AG122" s="56"/>
      <c r="AH122" s="56"/>
      <c r="AI122" s="56"/>
      <c r="AJ122" s="56"/>
      <c r="AK122" s="56"/>
    </row>
    <row r="123" spans="1:38" ht="15.75" customHeight="1" x14ac:dyDescent="0.2">
      <c r="A123" s="56"/>
      <c r="C123" s="56"/>
      <c r="AB123" s="56"/>
      <c r="AC123" s="56"/>
      <c r="AD123" s="58"/>
      <c r="AE123" s="56"/>
      <c r="AF123" s="56"/>
      <c r="AG123" s="56"/>
      <c r="AH123" s="56"/>
      <c r="AI123" s="56"/>
      <c r="AJ123" s="56"/>
      <c r="AK123" s="56"/>
    </row>
    <row r="124" spans="1:38" ht="15.75" customHeight="1" x14ac:dyDescent="0.2">
      <c r="A124" s="56"/>
      <c r="C124" s="56"/>
      <c r="AB124" s="56"/>
      <c r="AC124" s="56"/>
      <c r="AD124" s="58"/>
      <c r="AE124" s="56"/>
      <c r="AF124" s="56"/>
      <c r="AG124" s="56"/>
      <c r="AH124" s="56"/>
      <c r="AI124" s="56"/>
      <c r="AJ124" s="56"/>
      <c r="AK124" s="56"/>
    </row>
    <row r="125" spans="1:38" ht="15.75" customHeight="1" x14ac:dyDescent="0.2">
      <c r="A125" s="56"/>
      <c r="C125" s="56"/>
      <c r="AB125" s="56"/>
      <c r="AC125" s="56"/>
      <c r="AD125" s="58"/>
      <c r="AE125" s="56"/>
      <c r="AF125" s="56"/>
      <c r="AG125" s="56"/>
      <c r="AH125" s="56"/>
      <c r="AI125" s="56"/>
      <c r="AJ125" s="56"/>
      <c r="AK125" s="56"/>
    </row>
    <row r="126" spans="1:38" ht="15.75" customHeight="1" x14ac:dyDescent="0.2">
      <c r="A126" s="56"/>
      <c r="C126" s="56"/>
      <c r="AB126" s="56"/>
      <c r="AC126" s="56"/>
      <c r="AD126" s="58"/>
      <c r="AE126" s="56"/>
      <c r="AF126" s="56"/>
      <c r="AG126" s="56"/>
      <c r="AH126" s="56"/>
      <c r="AI126" s="56"/>
      <c r="AJ126" s="56"/>
      <c r="AK126" s="56"/>
    </row>
    <row r="127" spans="1:38" ht="15.75" customHeight="1" x14ac:dyDescent="0.2">
      <c r="A127" s="56"/>
      <c r="C127" s="56"/>
      <c r="AB127" s="56"/>
      <c r="AC127" s="56"/>
      <c r="AD127" s="58"/>
      <c r="AE127" s="56"/>
      <c r="AF127" s="56"/>
      <c r="AG127" s="56"/>
      <c r="AH127" s="56"/>
      <c r="AI127" s="56"/>
      <c r="AJ127" s="56"/>
      <c r="AK127" s="56"/>
    </row>
    <row r="128" spans="1:38" ht="15.75" customHeight="1" x14ac:dyDescent="0.2">
      <c r="A128" s="56"/>
      <c r="C128" s="56"/>
      <c r="AB128" s="56"/>
      <c r="AC128" s="56"/>
      <c r="AD128" s="58"/>
      <c r="AE128" s="56"/>
      <c r="AF128" s="56"/>
      <c r="AG128" s="56"/>
      <c r="AH128" s="56"/>
      <c r="AI128" s="56"/>
      <c r="AJ128" s="56"/>
      <c r="AK128" s="56"/>
    </row>
    <row r="129" spans="1:37" ht="15.75" customHeight="1" x14ac:dyDescent="0.2">
      <c r="A129" s="56"/>
      <c r="C129" s="56"/>
      <c r="AB129" s="56"/>
      <c r="AC129" s="56"/>
      <c r="AD129" s="58"/>
      <c r="AE129" s="56"/>
      <c r="AF129" s="56"/>
      <c r="AG129" s="56"/>
      <c r="AH129" s="56"/>
      <c r="AI129" s="56"/>
      <c r="AJ129" s="56"/>
      <c r="AK129" s="56"/>
    </row>
    <row r="130" spans="1:37" ht="15.75" customHeight="1" x14ac:dyDescent="0.2">
      <c r="A130" s="56"/>
      <c r="C130" s="56"/>
      <c r="AB130" s="56"/>
      <c r="AC130" s="56"/>
      <c r="AD130" s="58"/>
      <c r="AE130" s="56"/>
      <c r="AF130" s="56"/>
      <c r="AG130" s="56"/>
      <c r="AH130" s="56"/>
      <c r="AI130" s="56"/>
      <c r="AJ130" s="56"/>
      <c r="AK130" s="56"/>
    </row>
    <row r="131" spans="1:37" ht="15.75" customHeight="1" x14ac:dyDescent="0.2">
      <c r="A131" s="56"/>
      <c r="C131" s="56"/>
      <c r="AB131" s="56"/>
      <c r="AC131" s="56"/>
      <c r="AD131" s="58"/>
      <c r="AE131" s="56"/>
      <c r="AF131" s="56"/>
      <c r="AG131" s="56"/>
      <c r="AH131" s="56"/>
      <c r="AI131" s="56"/>
      <c r="AJ131" s="56"/>
      <c r="AK131" s="56"/>
    </row>
    <row r="132" spans="1:37" ht="15.75" customHeight="1" x14ac:dyDescent="0.2">
      <c r="A132" s="56"/>
      <c r="C132" s="56"/>
      <c r="AB132" s="56"/>
      <c r="AC132" s="56"/>
      <c r="AD132" s="58"/>
      <c r="AE132" s="56"/>
      <c r="AF132" s="56"/>
      <c r="AG132" s="56"/>
      <c r="AH132" s="56"/>
      <c r="AI132" s="56"/>
      <c r="AJ132" s="56"/>
      <c r="AK132" s="56"/>
    </row>
    <row r="133" spans="1:37" ht="15.75" customHeight="1" x14ac:dyDescent="0.2">
      <c r="A133" s="56"/>
      <c r="C133" s="56"/>
      <c r="AB133" s="56"/>
      <c r="AC133" s="56"/>
      <c r="AD133" s="58"/>
      <c r="AE133" s="56"/>
      <c r="AF133" s="56"/>
      <c r="AG133" s="56"/>
      <c r="AH133" s="56"/>
      <c r="AI133" s="56"/>
      <c r="AJ133" s="56"/>
      <c r="AK133" s="56"/>
    </row>
    <row r="134" spans="1:37" ht="15.75" customHeight="1" x14ac:dyDescent="0.2">
      <c r="A134" s="56"/>
      <c r="C134" s="56"/>
      <c r="AB134" s="56"/>
      <c r="AC134" s="56"/>
      <c r="AD134" s="58"/>
      <c r="AE134" s="56"/>
      <c r="AF134" s="56"/>
      <c r="AG134" s="56"/>
      <c r="AH134" s="56"/>
      <c r="AI134" s="56"/>
      <c r="AJ134" s="56"/>
      <c r="AK134" s="56"/>
    </row>
    <row r="135" spans="1:37" ht="15.75" customHeight="1" x14ac:dyDescent="0.2">
      <c r="A135" s="56"/>
      <c r="C135" s="56"/>
      <c r="AB135" s="56"/>
      <c r="AC135" s="56"/>
      <c r="AD135" s="58"/>
      <c r="AE135" s="56"/>
      <c r="AF135" s="56"/>
      <c r="AG135" s="56"/>
      <c r="AH135" s="56"/>
      <c r="AI135" s="56"/>
      <c r="AJ135" s="56"/>
      <c r="AK135" s="56"/>
    </row>
    <row r="136" spans="1:37" ht="15.75" customHeight="1" x14ac:dyDescent="0.2">
      <c r="A136" s="56"/>
      <c r="C136" s="56"/>
      <c r="AB136" s="56"/>
      <c r="AC136" s="56"/>
      <c r="AD136" s="58"/>
      <c r="AE136" s="56"/>
      <c r="AF136" s="56"/>
      <c r="AG136" s="56"/>
      <c r="AH136" s="56"/>
      <c r="AI136" s="56"/>
      <c r="AJ136" s="56"/>
      <c r="AK136" s="56"/>
    </row>
    <row r="137" spans="1:37" ht="15.75" customHeight="1" x14ac:dyDescent="0.2">
      <c r="A137" s="56"/>
      <c r="C137" s="56"/>
      <c r="AB137" s="56"/>
      <c r="AC137" s="56"/>
      <c r="AD137" s="58"/>
      <c r="AE137" s="56"/>
      <c r="AF137" s="56"/>
      <c r="AG137" s="56"/>
      <c r="AH137" s="56"/>
      <c r="AI137" s="56"/>
      <c r="AJ137" s="56"/>
      <c r="AK137" s="56"/>
    </row>
    <row r="138" spans="1:37" ht="15.75" customHeight="1" x14ac:dyDescent="0.2">
      <c r="A138" s="56"/>
      <c r="C138" s="56"/>
      <c r="AB138" s="56"/>
      <c r="AC138" s="56"/>
      <c r="AD138" s="58"/>
      <c r="AE138" s="56"/>
      <c r="AF138" s="56"/>
      <c r="AG138" s="56"/>
      <c r="AH138" s="56"/>
      <c r="AI138" s="56"/>
      <c r="AJ138" s="56"/>
      <c r="AK138" s="56"/>
    </row>
    <row r="139" spans="1:37" ht="15.75" customHeight="1" x14ac:dyDescent="0.2">
      <c r="A139" s="56"/>
      <c r="C139" s="56"/>
      <c r="AB139" s="56"/>
      <c r="AC139" s="56"/>
      <c r="AD139" s="58"/>
      <c r="AE139" s="56"/>
      <c r="AF139" s="56"/>
      <c r="AG139" s="56"/>
      <c r="AH139" s="56"/>
      <c r="AI139" s="56"/>
      <c r="AJ139" s="56"/>
      <c r="AK139" s="56"/>
    </row>
    <row r="140" spans="1:37" ht="15.75" customHeight="1" x14ac:dyDescent="0.2">
      <c r="A140" s="56"/>
      <c r="C140" s="56"/>
      <c r="AB140" s="56"/>
      <c r="AC140" s="56"/>
      <c r="AD140" s="58"/>
      <c r="AE140" s="56"/>
      <c r="AF140" s="56"/>
      <c r="AG140" s="56"/>
      <c r="AH140" s="56"/>
      <c r="AI140" s="56"/>
      <c r="AJ140" s="56"/>
      <c r="AK140" s="56"/>
    </row>
    <row r="141" spans="1:37" ht="15.75" customHeight="1" x14ac:dyDescent="0.2">
      <c r="A141" s="56"/>
      <c r="C141" s="56"/>
      <c r="AB141" s="56"/>
      <c r="AC141" s="56"/>
      <c r="AD141" s="58"/>
      <c r="AE141" s="56"/>
      <c r="AF141" s="56"/>
      <c r="AG141" s="56"/>
      <c r="AH141" s="56"/>
      <c r="AI141" s="56"/>
      <c r="AJ141" s="56"/>
      <c r="AK141" s="56"/>
    </row>
    <row r="142" spans="1:37" ht="15.75" customHeight="1" x14ac:dyDescent="0.2">
      <c r="A142" s="56"/>
      <c r="C142" s="56"/>
      <c r="AB142" s="56"/>
      <c r="AC142" s="56"/>
      <c r="AD142" s="58"/>
      <c r="AE142" s="56"/>
      <c r="AF142" s="56"/>
      <c r="AG142" s="56"/>
      <c r="AH142" s="56"/>
      <c r="AI142" s="56"/>
      <c r="AJ142" s="56"/>
      <c r="AK142" s="56"/>
    </row>
    <row r="143" spans="1:37" ht="15.75" customHeight="1" x14ac:dyDescent="0.2">
      <c r="A143" s="56"/>
      <c r="C143" s="56"/>
      <c r="AB143" s="56"/>
      <c r="AC143" s="56"/>
      <c r="AD143" s="58"/>
      <c r="AE143" s="56"/>
      <c r="AF143" s="56"/>
      <c r="AG143" s="56"/>
      <c r="AH143" s="56"/>
      <c r="AI143" s="56"/>
      <c r="AJ143" s="56"/>
      <c r="AK143" s="56"/>
    </row>
    <row r="144" spans="1:37" ht="15.75" customHeight="1" x14ac:dyDescent="0.2">
      <c r="A144" s="56"/>
      <c r="C144" s="56"/>
      <c r="AB144" s="56"/>
      <c r="AC144" s="56"/>
      <c r="AD144" s="58"/>
      <c r="AE144" s="56"/>
      <c r="AF144" s="56"/>
      <c r="AG144" s="56"/>
      <c r="AH144" s="56"/>
      <c r="AI144" s="56"/>
      <c r="AJ144" s="56"/>
      <c r="AK144" s="56"/>
    </row>
    <row r="145" spans="1:37" ht="15.75" customHeight="1" x14ac:dyDescent="0.2">
      <c r="A145" s="56"/>
      <c r="C145" s="56"/>
      <c r="AB145" s="56"/>
      <c r="AC145" s="56"/>
      <c r="AD145" s="58"/>
      <c r="AE145" s="56"/>
      <c r="AF145" s="56"/>
      <c r="AG145" s="56"/>
      <c r="AH145" s="56"/>
      <c r="AI145" s="56"/>
      <c r="AJ145" s="56"/>
      <c r="AK145" s="56"/>
    </row>
    <row r="146" spans="1:37" ht="15.75" customHeight="1" x14ac:dyDescent="0.2">
      <c r="A146" s="56"/>
      <c r="C146" s="56"/>
      <c r="AB146" s="56"/>
      <c r="AC146" s="56"/>
      <c r="AD146" s="58"/>
      <c r="AE146" s="56"/>
      <c r="AF146" s="56"/>
      <c r="AG146" s="56"/>
      <c r="AH146" s="56"/>
      <c r="AI146" s="56"/>
      <c r="AJ146" s="56"/>
      <c r="AK146" s="56"/>
    </row>
    <row r="147" spans="1:37" ht="15.75" customHeight="1" x14ac:dyDescent="0.2">
      <c r="A147" s="56"/>
      <c r="C147" s="56"/>
      <c r="AB147" s="56"/>
      <c r="AC147" s="56"/>
      <c r="AD147" s="58"/>
      <c r="AE147" s="56"/>
      <c r="AF147" s="56"/>
      <c r="AG147" s="56"/>
      <c r="AH147" s="56"/>
      <c r="AI147" s="56"/>
      <c r="AJ147" s="56"/>
      <c r="AK147" s="56"/>
    </row>
    <row r="148" spans="1:37" ht="15.75" customHeight="1" x14ac:dyDescent="0.2">
      <c r="A148" s="56"/>
      <c r="C148" s="56"/>
      <c r="AB148" s="56"/>
      <c r="AC148" s="56"/>
      <c r="AD148" s="58"/>
      <c r="AE148" s="56"/>
      <c r="AF148" s="56"/>
      <c r="AG148" s="56"/>
      <c r="AH148" s="56"/>
      <c r="AI148" s="56"/>
      <c r="AJ148" s="56"/>
      <c r="AK148" s="56"/>
    </row>
    <row r="149" spans="1:37" ht="15.75" customHeight="1" x14ac:dyDescent="0.2">
      <c r="A149" s="56"/>
      <c r="C149" s="56"/>
      <c r="AB149" s="56"/>
      <c r="AC149" s="56"/>
      <c r="AD149" s="58"/>
      <c r="AE149" s="56"/>
      <c r="AF149" s="56"/>
      <c r="AG149" s="56"/>
      <c r="AH149" s="56"/>
      <c r="AI149" s="56"/>
      <c r="AJ149" s="56"/>
      <c r="AK149" s="56"/>
    </row>
    <row r="150" spans="1:37" ht="15.75" customHeight="1" x14ac:dyDescent="0.2">
      <c r="A150" s="56"/>
      <c r="C150" s="56"/>
      <c r="AB150" s="56"/>
      <c r="AC150" s="56"/>
      <c r="AD150" s="58"/>
      <c r="AE150" s="56"/>
      <c r="AF150" s="56"/>
      <c r="AG150" s="56"/>
      <c r="AH150" s="56"/>
      <c r="AI150" s="56"/>
      <c r="AJ150" s="56"/>
      <c r="AK150" s="56"/>
    </row>
    <row r="151" spans="1:37" ht="15.75" customHeight="1" x14ac:dyDescent="0.2">
      <c r="A151" s="56"/>
      <c r="C151" s="56"/>
      <c r="AB151" s="56"/>
      <c r="AC151" s="56"/>
      <c r="AD151" s="58"/>
      <c r="AE151" s="56"/>
      <c r="AF151" s="56"/>
      <c r="AG151" s="56"/>
      <c r="AH151" s="56"/>
      <c r="AI151" s="56"/>
      <c r="AJ151" s="56"/>
      <c r="AK151" s="56"/>
    </row>
    <row r="152" spans="1:37" ht="15.75" customHeight="1" x14ac:dyDescent="0.2">
      <c r="A152" s="56"/>
      <c r="C152" s="56"/>
      <c r="AB152" s="56"/>
      <c r="AC152" s="56"/>
      <c r="AD152" s="58"/>
      <c r="AE152" s="56"/>
      <c r="AF152" s="56"/>
      <c r="AG152" s="56"/>
      <c r="AH152" s="56"/>
      <c r="AI152" s="56"/>
      <c r="AJ152" s="56"/>
      <c r="AK152" s="56"/>
    </row>
    <row r="153" spans="1:37" ht="15.75" customHeight="1" x14ac:dyDescent="0.2">
      <c r="A153" s="56"/>
      <c r="C153" s="56"/>
      <c r="AB153" s="56"/>
      <c r="AC153" s="56"/>
      <c r="AD153" s="58"/>
      <c r="AE153" s="56"/>
      <c r="AF153" s="56"/>
      <c r="AG153" s="56"/>
      <c r="AH153" s="56"/>
      <c r="AI153" s="56"/>
      <c r="AJ153" s="56"/>
      <c r="AK153" s="56"/>
    </row>
    <row r="154" spans="1:37" ht="15.75" customHeight="1" x14ac:dyDescent="0.2">
      <c r="A154" s="56"/>
      <c r="C154" s="56"/>
      <c r="AB154" s="56"/>
      <c r="AC154" s="56"/>
      <c r="AD154" s="58"/>
      <c r="AE154" s="56"/>
      <c r="AF154" s="56"/>
      <c r="AG154" s="56"/>
      <c r="AH154" s="56"/>
      <c r="AI154" s="56"/>
      <c r="AJ154" s="56"/>
      <c r="AK154" s="56"/>
    </row>
    <row r="155" spans="1:37" ht="15.75" customHeight="1" x14ac:dyDescent="0.2">
      <c r="A155" s="56"/>
      <c r="C155" s="56"/>
      <c r="AB155" s="56"/>
      <c r="AC155" s="56"/>
      <c r="AD155" s="58"/>
      <c r="AE155" s="56"/>
      <c r="AF155" s="56"/>
      <c r="AG155" s="56"/>
      <c r="AH155" s="56"/>
      <c r="AI155" s="56"/>
      <c r="AJ155" s="56"/>
      <c r="AK155" s="56"/>
    </row>
    <row r="156" spans="1:37" ht="15.75" customHeight="1" x14ac:dyDescent="0.2">
      <c r="A156" s="56"/>
      <c r="C156" s="56"/>
      <c r="AB156" s="56"/>
      <c r="AC156" s="56"/>
      <c r="AD156" s="58"/>
      <c r="AE156" s="56"/>
      <c r="AF156" s="56"/>
      <c r="AG156" s="56"/>
      <c r="AH156" s="56"/>
      <c r="AI156" s="56"/>
      <c r="AJ156" s="56"/>
      <c r="AK156" s="56"/>
    </row>
    <row r="157" spans="1:37" ht="15.75" customHeight="1" x14ac:dyDescent="0.2">
      <c r="A157" s="56"/>
      <c r="C157" s="56"/>
      <c r="AB157" s="56"/>
      <c r="AC157" s="56"/>
      <c r="AD157" s="58"/>
      <c r="AE157" s="56"/>
      <c r="AF157" s="56"/>
      <c r="AG157" s="56"/>
      <c r="AH157" s="56"/>
      <c r="AI157" s="56"/>
      <c r="AJ157" s="56"/>
      <c r="AK157" s="56"/>
    </row>
    <row r="158" spans="1:37" ht="15.75" customHeight="1" x14ac:dyDescent="0.2">
      <c r="A158" s="56"/>
      <c r="C158" s="56"/>
      <c r="AB158" s="56"/>
      <c r="AC158" s="56"/>
      <c r="AD158" s="58"/>
      <c r="AE158" s="56"/>
      <c r="AF158" s="56"/>
      <c r="AG158" s="56"/>
      <c r="AH158" s="56"/>
      <c r="AI158" s="56"/>
      <c r="AJ158" s="56"/>
      <c r="AK158" s="56"/>
    </row>
    <row r="159" spans="1:37" ht="15.75" customHeight="1" x14ac:dyDescent="0.2">
      <c r="A159" s="56"/>
      <c r="C159" s="56"/>
      <c r="AB159" s="56"/>
      <c r="AC159" s="56"/>
      <c r="AD159" s="58"/>
      <c r="AE159" s="56"/>
      <c r="AF159" s="56"/>
      <c r="AG159" s="56"/>
      <c r="AH159" s="56"/>
      <c r="AI159" s="56"/>
      <c r="AJ159" s="56"/>
      <c r="AK159" s="56"/>
    </row>
    <row r="160" spans="1:37" ht="15.75" customHeight="1" x14ac:dyDescent="0.2">
      <c r="A160" s="56"/>
      <c r="C160" s="56"/>
      <c r="AB160" s="56"/>
      <c r="AC160" s="56"/>
      <c r="AD160" s="58"/>
      <c r="AE160" s="56"/>
      <c r="AF160" s="56"/>
      <c r="AG160" s="56"/>
      <c r="AH160" s="56"/>
      <c r="AI160" s="56"/>
      <c r="AJ160" s="56"/>
      <c r="AK160" s="56"/>
    </row>
    <row r="161" spans="1:37" ht="15.75" customHeight="1" x14ac:dyDescent="0.2">
      <c r="A161" s="56"/>
      <c r="C161" s="56"/>
      <c r="AB161" s="56"/>
      <c r="AC161" s="56"/>
      <c r="AD161" s="58"/>
      <c r="AE161" s="56"/>
      <c r="AF161" s="56"/>
      <c r="AG161" s="56"/>
      <c r="AH161" s="56"/>
      <c r="AI161" s="56"/>
      <c r="AJ161" s="56"/>
      <c r="AK161" s="56"/>
    </row>
    <row r="162" spans="1:37" ht="15.75" customHeight="1" x14ac:dyDescent="0.2">
      <c r="A162" s="56"/>
      <c r="C162" s="56"/>
      <c r="AB162" s="56"/>
      <c r="AC162" s="56"/>
      <c r="AD162" s="58"/>
      <c r="AE162" s="56"/>
      <c r="AF162" s="56"/>
      <c r="AG162" s="56"/>
      <c r="AH162" s="56"/>
      <c r="AI162" s="56"/>
      <c r="AJ162" s="56"/>
      <c r="AK162" s="56"/>
    </row>
    <row r="163" spans="1:37" ht="15.75" customHeight="1" x14ac:dyDescent="0.2">
      <c r="A163" s="56"/>
      <c r="C163" s="56"/>
      <c r="AB163" s="56"/>
      <c r="AC163" s="56"/>
      <c r="AD163" s="58"/>
      <c r="AE163" s="56"/>
      <c r="AF163" s="56"/>
      <c r="AG163" s="56"/>
      <c r="AH163" s="56"/>
      <c r="AI163" s="56"/>
      <c r="AJ163" s="56"/>
      <c r="AK163" s="56"/>
    </row>
    <row r="164" spans="1:37" ht="15.75" customHeight="1" x14ac:dyDescent="0.2">
      <c r="A164" s="56"/>
      <c r="C164" s="56"/>
      <c r="AB164" s="56"/>
      <c r="AC164" s="56"/>
      <c r="AD164" s="58"/>
      <c r="AE164" s="56"/>
      <c r="AF164" s="56"/>
      <c r="AG164" s="56"/>
      <c r="AH164" s="56"/>
      <c r="AI164" s="56"/>
      <c r="AJ164" s="56"/>
      <c r="AK164" s="56"/>
    </row>
    <row r="165" spans="1:37" ht="15.75" customHeight="1" x14ac:dyDescent="0.2">
      <c r="A165" s="56"/>
      <c r="C165" s="56"/>
      <c r="AB165" s="56"/>
      <c r="AC165" s="56"/>
      <c r="AD165" s="58"/>
      <c r="AE165" s="56"/>
      <c r="AF165" s="56"/>
      <c r="AG165" s="56"/>
      <c r="AH165" s="56"/>
      <c r="AI165" s="56"/>
      <c r="AJ165" s="56"/>
      <c r="AK165" s="56"/>
    </row>
    <row r="166" spans="1:37" ht="15.75" customHeight="1" x14ac:dyDescent="0.2">
      <c r="A166" s="56"/>
      <c r="C166" s="56"/>
      <c r="AB166" s="56"/>
      <c r="AC166" s="56"/>
      <c r="AD166" s="58"/>
      <c r="AE166" s="56"/>
      <c r="AF166" s="56"/>
      <c r="AG166" s="56"/>
      <c r="AH166" s="56"/>
      <c r="AI166" s="56"/>
      <c r="AJ166" s="56"/>
      <c r="AK166" s="56"/>
    </row>
    <row r="167" spans="1:37" ht="15.75" customHeight="1" x14ac:dyDescent="0.2">
      <c r="A167" s="56"/>
      <c r="C167" s="56"/>
      <c r="AB167" s="56"/>
      <c r="AC167" s="56"/>
      <c r="AD167" s="58"/>
      <c r="AE167" s="56"/>
      <c r="AF167" s="56"/>
      <c r="AG167" s="56"/>
      <c r="AH167" s="56"/>
      <c r="AI167" s="56"/>
      <c r="AJ167" s="56"/>
      <c r="AK167" s="56"/>
    </row>
    <row r="168" spans="1:37" ht="15.75" customHeight="1" x14ac:dyDescent="0.2">
      <c r="A168" s="56"/>
      <c r="C168" s="56"/>
      <c r="AB168" s="56"/>
      <c r="AC168" s="56"/>
      <c r="AD168" s="58"/>
      <c r="AE168" s="56"/>
      <c r="AF168" s="56"/>
      <c r="AG168" s="56"/>
      <c r="AH168" s="56"/>
      <c r="AI168" s="56"/>
      <c r="AJ168" s="56"/>
      <c r="AK168" s="56"/>
    </row>
    <row r="169" spans="1:37" ht="15.75" customHeight="1" x14ac:dyDescent="0.2">
      <c r="A169" s="56"/>
      <c r="C169" s="56"/>
      <c r="AB169" s="56"/>
      <c r="AC169" s="56"/>
      <c r="AD169" s="58"/>
      <c r="AE169" s="56"/>
      <c r="AF169" s="56"/>
      <c r="AG169" s="56"/>
      <c r="AH169" s="56"/>
      <c r="AI169" s="56"/>
      <c r="AJ169" s="56"/>
      <c r="AK169" s="56"/>
    </row>
    <row r="170" spans="1:37" ht="15.75" customHeight="1" x14ac:dyDescent="0.2">
      <c r="A170" s="56"/>
      <c r="C170" s="56"/>
      <c r="AB170" s="56"/>
      <c r="AC170" s="56"/>
      <c r="AD170" s="58"/>
      <c r="AE170" s="56"/>
      <c r="AF170" s="56"/>
      <c r="AG170" s="56"/>
      <c r="AH170" s="56"/>
      <c r="AI170" s="56"/>
      <c r="AJ170" s="56"/>
      <c r="AK170" s="56"/>
    </row>
    <row r="171" spans="1:37" ht="15.75" customHeight="1" x14ac:dyDescent="0.2">
      <c r="A171" s="56"/>
      <c r="C171" s="56"/>
      <c r="AB171" s="56"/>
      <c r="AC171" s="56"/>
      <c r="AD171" s="58"/>
      <c r="AE171" s="56"/>
      <c r="AF171" s="56"/>
      <c r="AG171" s="56"/>
      <c r="AH171" s="56"/>
      <c r="AI171" s="56"/>
      <c r="AJ171" s="56"/>
      <c r="AK171" s="56"/>
    </row>
    <row r="172" spans="1:37" ht="15.75" customHeight="1" x14ac:dyDescent="0.2">
      <c r="A172" s="56"/>
      <c r="C172" s="56"/>
      <c r="AB172" s="56"/>
      <c r="AC172" s="56"/>
      <c r="AD172" s="58"/>
      <c r="AE172" s="56"/>
      <c r="AF172" s="56"/>
      <c r="AG172" s="56"/>
      <c r="AH172" s="56"/>
      <c r="AI172" s="56"/>
      <c r="AJ172" s="56"/>
      <c r="AK172" s="56"/>
    </row>
    <row r="173" spans="1:37" ht="15.75" customHeight="1" x14ac:dyDescent="0.2">
      <c r="A173" s="56"/>
      <c r="C173" s="56"/>
      <c r="AB173" s="56"/>
      <c r="AC173" s="56"/>
      <c r="AD173" s="58"/>
      <c r="AE173" s="56"/>
      <c r="AF173" s="56"/>
      <c r="AG173" s="56"/>
      <c r="AH173" s="56"/>
      <c r="AI173" s="56"/>
      <c r="AJ173" s="56"/>
      <c r="AK173" s="56"/>
    </row>
    <row r="174" spans="1:37" ht="15.75" customHeight="1" x14ac:dyDescent="0.2">
      <c r="A174" s="56"/>
      <c r="C174" s="56"/>
      <c r="AB174" s="56"/>
      <c r="AC174" s="56"/>
      <c r="AD174" s="58"/>
      <c r="AE174" s="56"/>
      <c r="AF174" s="56"/>
      <c r="AG174" s="56"/>
      <c r="AH174" s="56"/>
      <c r="AI174" s="56"/>
      <c r="AJ174" s="56"/>
      <c r="AK174" s="56"/>
    </row>
    <row r="175" spans="1:37" ht="15.75" customHeight="1" x14ac:dyDescent="0.2">
      <c r="A175" s="56"/>
      <c r="C175" s="56"/>
      <c r="AB175" s="56"/>
      <c r="AC175" s="56"/>
      <c r="AD175" s="58"/>
      <c r="AE175" s="56"/>
      <c r="AF175" s="56"/>
      <c r="AG175" s="56"/>
      <c r="AH175" s="56"/>
      <c r="AI175" s="56"/>
      <c r="AJ175" s="56"/>
      <c r="AK175" s="56"/>
    </row>
    <row r="176" spans="1:37" ht="15.75" customHeight="1" x14ac:dyDescent="0.2">
      <c r="A176" s="56"/>
      <c r="C176" s="56"/>
      <c r="AB176" s="56"/>
      <c r="AC176" s="56"/>
      <c r="AD176" s="58"/>
      <c r="AE176" s="56"/>
      <c r="AF176" s="56"/>
      <c r="AG176" s="56"/>
      <c r="AH176" s="56"/>
      <c r="AI176" s="56"/>
      <c r="AJ176" s="56"/>
      <c r="AK176" s="56"/>
    </row>
    <row r="177" spans="1:37" ht="15.75" customHeight="1" x14ac:dyDescent="0.2">
      <c r="A177" s="56"/>
      <c r="C177" s="56"/>
      <c r="AB177" s="56"/>
      <c r="AC177" s="56"/>
      <c r="AD177" s="58"/>
      <c r="AE177" s="56"/>
      <c r="AF177" s="56"/>
      <c r="AG177" s="56"/>
      <c r="AH177" s="56"/>
      <c r="AI177" s="56"/>
      <c r="AJ177" s="56"/>
      <c r="AK177" s="56"/>
    </row>
    <row r="178" spans="1:37" ht="15.75" customHeight="1" x14ac:dyDescent="0.2">
      <c r="A178" s="56"/>
      <c r="C178" s="56"/>
      <c r="AB178" s="56"/>
      <c r="AC178" s="56"/>
      <c r="AD178" s="58"/>
      <c r="AE178" s="56"/>
      <c r="AF178" s="56"/>
      <c r="AG178" s="56"/>
      <c r="AH178" s="56"/>
      <c r="AI178" s="56"/>
      <c r="AJ178" s="56"/>
      <c r="AK178" s="56"/>
    </row>
    <row r="179" spans="1:37" ht="15.75" customHeight="1" x14ac:dyDescent="0.2">
      <c r="A179" s="56"/>
      <c r="C179" s="56"/>
      <c r="AB179" s="56"/>
      <c r="AC179" s="56"/>
      <c r="AD179" s="58"/>
      <c r="AE179" s="56"/>
      <c r="AF179" s="56"/>
      <c r="AG179" s="56"/>
      <c r="AH179" s="56"/>
      <c r="AI179" s="56"/>
      <c r="AJ179" s="56"/>
      <c r="AK179" s="56"/>
    </row>
    <row r="180" spans="1:37" ht="15.75" customHeight="1" x14ac:dyDescent="0.2">
      <c r="A180" s="56"/>
      <c r="C180" s="56"/>
      <c r="AB180" s="56"/>
      <c r="AC180" s="56"/>
      <c r="AD180" s="58"/>
      <c r="AE180" s="56"/>
      <c r="AF180" s="56"/>
      <c r="AG180" s="56"/>
      <c r="AH180" s="56"/>
      <c r="AI180" s="56"/>
      <c r="AJ180" s="56"/>
      <c r="AK180" s="56"/>
    </row>
    <row r="181" spans="1:37" ht="15.75" customHeight="1" x14ac:dyDescent="0.2">
      <c r="A181" s="56"/>
      <c r="C181" s="56"/>
      <c r="AB181" s="56"/>
      <c r="AC181" s="56"/>
      <c r="AD181" s="58"/>
      <c r="AE181" s="56"/>
      <c r="AF181" s="56"/>
      <c r="AG181" s="56"/>
      <c r="AH181" s="56"/>
      <c r="AI181" s="56"/>
      <c r="AJ181" s="56"/>
      <c r="AK181" s="56"/>
    </row>
    <row r="182" spans="1:37" ht="15.75" customHeight="1" x14ac:dyDescent="0.2">
      <c r="A182" s="56"/>
      <c r="C182" s="56"/>
      <c r="AB182" s="56"/>
      <c r="AC182" s="56"/>
      <c r="AD182" s="58"/>
      <c r="AE182" s="56"/>
      <c r="AF182" s="56"/>
      <c r="AG182" s="56"/>
      <c r="AH182" s="56"/>
      <c r="AI182" s="56"/>
      <c r="AJ182" s="56"/>
      <c r="AK182" s="56"/>
    </row>
    <row r="183" spans="1:37" ht="15.75" customHeight="1" x14ac:dyDescent="0.2">
      <c r="A183" s="56"/>
      <c r="C183" s="56"/>
      <c r="AB183" s="56"/>
      <c r="AC183" s="56"/>
      <c r="AD183" s="58"/>
      <c r="AE183" s="56"/>
      <c r="AF183" s="56"/>
      <c r="AG183" s="56"/>
      <c r="AH183" s="56"/>
      <c r="AI183" s="56"/>
      <c r="AJ183" s="56"/>
      <c r="AK183" s="56"/>
    </row>
    <row r="184" spans="1:37" ht="15.75" customHeight="1" x14ac:dyDescent="0.2">
      <c r="A184" s="56"/>
      <c r="C184" s="56"/>
      <c r="AB184" s="56"/>
      <c r="AC184" s="56"/>
      <c r="AD184" s="58"/>
      <c r="AE184" s="56"/>
      <c r="AF184" s="56"/>
      <c r="AG184" s="56"/>
      <c r="AH184" s="56"/>
      <c r="AI184" s="56"/>
      <c r="AJ184" s="56"/>
      <c r="AK184" s="56"/>
    </row>
    <row r="185" spans="1:37" ht="15.75" customHeight="1" x14ac:dyDescent="0.2">
      <c r="A185" s="56"/>
      <c r="C185" s="56"/>
      <c r="AB185" s="56"/>
      <c r="AC185" s="56"/>
      <c r="AD185" s="58"/>
      <c r="AE185" s="56"/>
      <c r="AF185" s="56"/>
      <c r="AG185" s="56"/>
      <c r="AH185" s="56"/>
      <c r="AI185" s="56"/>
      <c r="AJ185" s="56"/>
      <c r="AK185" s="56"/>
    </row>
    <row r="186" spans="1:37" ht="15.75" customHeight="1" x14ac:dyDescent="0.2">
      <c r="A186" s="56"/>
      <c r="C186" s="56"/>
      <c r="AB186" s="56"/>
      <c r="AC186" s="56"/>
      <c r="AD186" s="58"/>
      <c r="AE186" s="56"/>
      <c r="AF186" s="56"/>
      <c r="AG186" s="56"/>
      <c r="AH186" s="56"/>
      <c r="AI186" s="56"/>
      <c r="AJ186" s="56"/>
      <c r="AK186" s="56"/>
    </row>
    <row r="187" spans="1:37" ht="15.75" customHeight="1" x14ac:dyDescent="0.2">
      <c r="A187" s="56"/>
      <c r="C187" s="56"/>
      <c r="AB187" s="56"/>
      <c r="AC187" s="56"/>
      <c r="AD187" s="58"/>
      <c r="AE187" s="56"/>
      <c r="AF187" s="56"/>
      <c r="AG187" s="56"/>
      <c r="AH187" s="56"/>
      <c r="AI187" s="56"/>
      <c r="AJ187" s="56"/>
      <c r="AK187" s="56"/>
    </row>
    <row r="188" spans="1:37" ht="15.75" customHeight="1" x14ac:dyDescent="0.2">
      <c r="A188" s="56"/>
      <c r="C188" s="56"/>
      <c r="AB188" s="56"/>
      <c r="AC188" s="56"/>
      <c r="AD188" s="58"/>
      <c r="AE188" s="56"/>
      <c r="AF188" s="56"/>
      <c r="AG188" s="56"/>
      <c r="AH188" s="56"/>
      <c r="AI188" s="56"/>
      <c r="AJ188" s="56"/>
      <c r="AK188" s="56"/>
    </row>
    <row r="189" spans="1:37" ht="15.75" customHeight="1" x14ac:dyDescent="0.2">
      <c r="A189" s="56"/>
      <c r="C189" s="56"/>
      <c r="AB189" s="56"/>
      <c r="AC189" s="56"/>
      <c r="AD189" s="58"/>
      <c r="AE189" s="56"/>
      <c r="AF189" s="56"/>
      <c r="AG189" s="56"/>
      <c r="AH189" s="56"/>
      <c r="AI189" s="56"/>
      <c r="AJ189" s="56"/>
      <c r="AK189" s="56"/>
    </row>
    <row r="190" spans="1:37" ht="15.75" customHeight="1" x14ac:dyDescent="0.2">
      <c r="A190" s="56"/>
      <c r="C190" s="56"/>
      <c r="AB190" s="56"/>
      <c r="AC190" s="56"/>
      <c r="AD190" s="58"/>
      <c r="AE190" s="56"/>
      <c r="AF190" s="56"/>
      <c r="AG190" s="56"/>
      <c r="AH190" s="56"/>
      <c r="AI190" s="56"/>
      <c r="AJ190" s="56"/>
      <c r="AK190" s="56"/>
    </row>
    <row r="191" spans="1:37" ht="15.75" customHeight="1" x14ac:dyDescent="0.2">
      <c r="A191" s="56"/>
      <c r="C191" s="56"/>
      <c r="AB191" s="56"/>
      <c r="AC191" s="56"/>
      <c r="AD191" s="58"/>
      <c r="AE191" s="56"/>
      <c r="AF191" s="56"/>
      <c r="AG191" s="56"/>
      <c r="AH191" s="56"/>
      <c r="AI191" s="56"/>
      <c r="AJ191" s="56"/>
      <c r="AK191" s="56"/>
    </row>
    <row r="192" spans="1:37" ht="15.75" customHeight="1" x14ac:dyDescent="0.2">
      <c r="A192" s="56"/>
      <c r="C192" s="56"/>
      <c r="AB192" s="56"/>
      <c r="AC192" s="56"/>
      <c r="AD192" s="58"/>
      <c r="AE192" s="56"/>
      <c r="AF192" s="56"/>
      <c r="AG192" s="56"/>
      <c r="AH192" s="56"/>
      <c r="AI192" s="56"/>
      <c r="AJ192" s="56"/>
      <c r="AK192" s="56"/>
    </row>
    <row r="193" spans="1:37" ht="15.75" customHeight="1" x14ac:dyDescent="0.2">
      <c r="A193" s="56"/>
      <c r="C193" s="56"/>
      <c r="AB193" s="56"/>
      <c r="AC193" s="56"/>
      <c r="AD193" s="58"/>
      <c r="AE193" s="56"/>
      <c r="AF193" s="56"/>
      <c r="AG193" s="56"/>
      <c r="AH193" s="56"/>
      <c r="AI193" s="56"/>
      <c r="AJ193" s="56"/>
      <c r="AK193" s="56"/>
    </row>
    <row r="194" spans="1:37" ht="15.75" customHeight="1" x14ac:dyDescent="0.2">
      <c r="A194" s="56"/>
      <c r="C194" s="56"/>
      <c r="AB194" s="56"/>
      <c r="AC194" s="56"/>
      <c r="AD194" s="58"/>
      <c r="AE194" s="56"/>
      <c r="AF194" s="56"/>
      <c r="AG194" s="56"/>
      <c r="AH194" s="56"/>
      <c r="AI194" s="56"/>
      <c r="AJ194" s="56"/>
      <c r="AK194" s="56"/>
    </row>
    <row r="195" spans="1:37" ht="15.75" customHeight="1" x14ac:dyDescent="0.2">
      <c r="A195" s="56"/>
      <c r="C195" s="56"/>
      <c r="AB195" s="56"/>
      <c r="AC195" s="56"/>
      <c r="AD195" s="58"/>
      <c r="AE195" s="56"/>
      <c r="AF195" s="56"/>
      <c r="AG195" s="56"/>
      <c r="AH195" s="56"/>
      <c r="AI195" s="56"/>
      <c r="AJ195" s="56"/>
      <c r="AK195" s="56"/>
    </row>
    <row r="196" spans="1:37" ht="15.75" customHeight="1" x14ac:dyDescent="0.2">
      <c r="A196" s="56"/>
      <c r="C196" s="56"/>
      <c r="AB196" s="56"/>
      <c r="AC196" s="56"/>
      <c r="AD196" s="58"/>
      <c r="AE196" s="56"/>
      <c r="AF196" s="56"/>
      <c r="AG196" s="56"/>
      <c r="AH196" s="56"/>
      <c r="AI196" s="56"/>
      <c r="AJ196" s="56"/>
      <c r="AK196" s="56"/>
    </row>
    <row r="197" spans="1:37" ht="15.75" customHeight="1" x14ac:dyDescent="0.2">
      <c r="A197" s="56"/>
      <c r="C197" s="56"/>
      <c r="AB197" s="56"/>
      <c r="AC197" s="56"/>
      <c r="AD197" s="58"/>
      <c r="AE197" s="56"/>
      <c r="AF197" s="56"/>
      <c r="AG197" s="56"/>
      <c r="AH197" s="56"/>
      <c r="AI197" s="56"/>
      <c r="AJ197" s="56"/>
      <c r="AK197" s="56"/>
    </row>
    <row r="198" spans="1:37" ht="15.75" customHeight="1" x14ac:dyDescent="0.2">
      <c r="A198" s="56"/>
      <c r="C198" s="56"/>
      <c r="AB198" s="56"/>
      <c r="AC198" s="56"/>
      <c r="AD198" s="58"/>
      <c r="AE198" s="56"/>
      <c r="AF198" s="56"/>
      <c r="AG198" s="56"/>
      <c r="AH198" s="56"/>
      <c r="AI198" s="56"/>
      <c r="AJ198" s="56"/>
      <c r="AK198" s="56"/>
    </row>
    <row r="199" spans="1:37" ht="15.75" customHeight="1" x14ac:dyDescent="0.2">
      <c r="A199" s="56"/>
      <c r="C199" s="56"/>
      <c r="AB199" s="56"/>
      <c r="AC199" s="56"/>
      <c r="AD199" s="58"/>
      <c r="AE199" s="56"/>
      <c r="AF199" s="56"/>
      <c r="AG199" s="56"/>
      <c r="AH199" s="56"/>
      <c r="AI199" s="56"/>
      <c r="AJ199" s="56"/>
      <c r="AK199" s="56"/>
    </row>
    <row r="200" spans="1:37" ht="15.75" customHeight="1" x14ac:dyDescent="0.2">
      <c r="A200" s="56"/>
      <c r="C200" s="56"/>
      <c r="AB200" s="56"/>
      <c r="AC200" s="56"/>
      <c r="AD200" s="58"/>
      <c r="AE200" s="56"/>
      <c r="AF200" s="56"/>
      <c r="AG200" s="56"/>
      <c r="AH200" s="56"/>
      <c r="AI200" s="56"/>
      <c r="AJ200" s="56"/>
      <c r="AK200" s="56"/>
    </row>
    <row r="201" spans="1:37" ht="15.75" customHeight="1" x14ac:dyDescent="0.2">
      <c r="A201" s="56"/>
      <c r="C201" s="56"/>
      <c r="AB201" s="56"/>
      <c r="AC201" s="56"/>
      <c r="AD201" s="58"/>
      <c r="AE201" s="56"/>
      <c r="AF201" s="56"/>
      <c r="AG201" s="56"/>
      <c r="AH201" s="56"/>
      <c r="AI201" s="56"/>
      <c r="AJ201" s="56"/>
      <c r="AK201" s="56"/>
    </row>
    <row r="202" spans="1:37" ht="15.75" customHeight="1" x14ac:dyDescent="0.2">
      <c r="A202" s="56"/>
      <c r="C202" s="56"/>
      <c r="AB202" s="56"/>
      <c r="AC202" s="56"/>
      <c r="AD202" s="58"/>
      <c r="AE202" s="56"/>
      <c r="AF202" s="56"/>
      <c r="AG202" s="56"/>
      <c r="AH202" s="56"/>
      <c r="AI202" s="56"/>
      <c r="AJ202" s="56"/>
      <c r="AK202" s="56"/>
    </row>
    <row r="203" spans="1:37" ht="15.75" customHeight="1" x14ac:dyDescent="0.2">
      <c r="A203" s="56"/>
      <c r="C203" s="56"/>
      <c r="AB203" s="56"/>
      <c r="AC203" s="56"/>
      <c r="AD203" s="58"/>
      <c r="AE203" s="56"/>
      <c r="AF203" s="56"/>
      <c r="AG203" s="56"/>
      <c r="AH203" s="56"/>
      <c r="AI203" s="56"/>
      <c r="AJ203" s="56"/>
      <c r="AK203" s="56"/>
    </row>
    <row r="204" spans="1:37" ht="15.75" customHeight="1" x14ac:dyDescent="0.2">
      <c r="A204" s="56"/>
      <c r="C204" s="56"/>
      <c r="AB204" s="56"/>
      <c r="AC204" s="56"/>
      <c r="AD204" s="58"/>
      <c r="AE204" s="56"/>
      <c r="AF204" s="56"/>
      <c r="AG204" s="56"/>
      <c r="AH204" s="56"/>
      <c r="AI204" s="56"/>
      <c r="AJ204" s="56"/>
      <c r="AK204" s="56"/>
    </row>
    <row r="205" spans="1:37" ht="15.75" customHeight="1" x14ac:dyDescent="0.2">
      <c r="A205" s="56"/>
      <c r="C205" s="56"/>
      <c r="AB205" s="56"/>
      <c r="AC205" s="56"/>
      <c r="AD205" s="58"/>
      <c r="AE205" s="56"/>
      <c r="AF205" s="56"/>
      <c r="AG205" s="56"/>
      <c r="AH205" s="56"/>
      <c r="AI205" s="56"/>
      <c r="AJ205" s="56"/>
      <c r="AK205" s="56"/>
    </row>
    <row r="206" spans="1:37" ht="15.75" customHeight="1" x14ac:dyDescent="0.2">
      <c r="A206" s="56"/>
      <c r="C206" s="56"/>
      <c r="AB206" s="56"/>
      <c r="AC206" s="56"/>
      <c r="AD206" s="58"/>
      <c r="AE206" s="56"/>
      <c r="AF206" s="56"/>
      <c r="AG206" s="56"/>
      <c r="AH206" s="56"/>
      <c r="AI206" s="56"/>
      <c r="AJ206" s="56"/>
      <c r="AK206" s="56"/>
    </row>
    <row r="207" spans="1:37" ht="15.75" customHeight="1" x14ac:dyDescent="0.2">
      <c r="A207" s="56"/>
      <c r="C207" s="56"/>
      <c r="AB207" s="56"/>
      <c r="AC207" s="56"/>
      <c r="AD207" s="58"/>
      <c r="AE207" s="56"/>
      <c r="AF207" s="56"/>
      <c r="AG207" s="56"/>
      <c r="AH207" s="56"/>
      <c r="AI207" s="56"/>
      <c r="AJ207" s="56"/>
      <c r="AK207" s="56"/>
    </row>
    <row r="208" spans="1:37" ht="15.75" customHeight="1" x14ac:dyDescent="0.2">
      <c r="A208" s="56"/>
      <c r="C208" s="56"/>
      <c r="AB208" s="56"/>
      <c r="AC208" s="56"/>
      <c r="AD208" s="58"/>
      <c r="AE208" s="56"/>
      <c r="AF208" s="56"/>
      <c r="AG208" s="56"/>
      <c r="AH208" s="56"/>
      <c r="AI208" s="56"/>
      <c r="AJ208" s="56"/>
      <c r="AK208" s="56"/>
    </row>
    <row r="209" spans="1:37" ht="15.75" customHeight="1" x14ac:dyDescent="0.2">
      <c r="A209" s="56"/>
      <c r="C209" s="56"/>
      <c r="AB209" s="56"/>
      <c r="AC209" s="56"/>
      <c r="AD209" s="58"/>
      <c r="AE209" s="56"/>
      <c r="AF209" s="56"/>
      <c r="AG209" s="56"/>
      <c r="AH209" s="56"/>
      <c r="AI209" s="56"/>
      <c r="AJ209" s="56"/>
      <c r="AK209" s="56"/>
    </row>
    <row r="210" spans="1:37" ht="15.75" customHeight="1" x14ac:dyDescent="0.2">
      <c r="A210" s="56"/>
      <c r="C210" s="56"/>
      <c r="AB210" s="56"/>
      <c r="AC210" s="56"/>
      <c r="AD210" s="58"/>
      <c r="AE210" s="56"/>
      <c r="AF210" s="56"/>
      <c r="AG210" s="56"/>
      <c r="AH210" s="56"/>
      <c r="AI210" s="56"/>
      <c r="AJ210" s="56"/>
      <c r="AK210" s="56"/>
    </row>
    <row r="211" spans="1:37" ht="15.75" customHeight="1" x14ac:dyDescent="0.2">
      <c r="A211" s="56"/>
      <c r="C211" s="56"/>
      <c r="AB211" s="56"/>
      <c r="AC211" s="56"/>
      <c r="AD211" s="58"/>
      <c r="AE211" s="56"/>
      <c r="AF211" s="56"/>
      <c r="AG211" s="56"/>
      <c r="AH211" s="56"/>
      <c r="AI211" s="56"/>
      <c r="AJ211" s="56"/>
      <c r="AK211" s="56"/>
    </row>
    <row r="212" spans="1:37" ht="15.75" customHeight="1" x14ac:dyDescent="0.2">
      <c r="A212" s="56"/>
      <c r="C212" s="56"/>
      <c r="AB212" s="56"/>
      <c r="AC212" s="56"/>
      <c r="AD212" s="58"/>
      <c r="AE212" s="56"/>
      <c r="AF212" s="56"/>
      <c r="AG212" s="56"/>
      <c r="AH212" s="56"/>
      <c r="AI212" s="56"/>
      <c r="AJ212" s="56"/>
      <c r="AK212" s="56"/>
    </row>
    <row r="213" spans="1:37" ht="15.75" customHeight="1" x14ac:dyDescent="0.2">
      <c r="A213" s="56"/>
      <c r="C213" s="56"/>
      <c r="AB213" s="56"/>
      <c r="AC213" s="56"/>
      <c r="AD213" s="58"/>
      <c r="AE213" s="56"/>
      <c r="AF213" s="56"/>
      <c r="AG213" s="56"/>
      <c r="AH213" s="56"/>
      <c r="AI213" s="56"/>
      <c r="AJ213" s="56"/>
      <c r="AK213" s="56"/>
    </row>
    <row r="214" spans="1:37" ht="15.75" customHeight="1" x14ac:dyDescent="0.2">
      <c r="A214" s="56"/>
      <c r="C214" s="56"/>
      <c r="AB214" s="56"/>
      <c r="AC214" s="56"/>
      <c r="AD214" s="58"/>
      <c r="AE214" s="56"/>
      <c r="AF214" s="56"/>
      <c r="AG214" s="56"/>
      <c r="AH214" s="56"/>
      <c r="AI214" s="56"/>
      <c r="AJ214" s="56"/>
      <c r="AK214" s="56"/>
    </row>
    <row r="215" spans="1:37" ht="15.75" customHeight="1" x14ac:dyDescent="0.2">
      <c r="A215" s="56"/>
      <c r="C215" s="56"/>
      <c r="AB215" s="56"/>
      <c r="AC215" s="56"/>
      <c r="AD215" s="58"/>
      <c r="AE215" s="56"/>
      <c r="AF215" s="56"/>
      <c r="AG215" s="56"/>
      <c r="AH215" s="56"/>
      <c r="AI215" s="56"/>
      <c r="AJ215" s="56"/>
      <c r="AK215" s="56"/>
    </row>
    <row r="216" spans="1:37" ht="15.75" customHeight="1" x14ac:dyDescent="0.2">
      <c r="A216" s="56"/>
      <c r="C216" s="56"/>
      <c r="AB216" s="56"/>
      <c r="AC216" s="56"/>
      <c r="AD216" s="58"/>
      <c r="AE216" s="56"/>
      <c r="AF216" s="56"/>
      <c r="AG216" s="56"/>
      <c r="AH216" s="56"/>
      <c r="AI216" s="56"/>
      <c r="AJ216" s="56"/>
      <c r="AK216" s="56"/>
    </row>
    <row r="217" spans="1:37" ht="15.75" customHeight="1" x14ac:dyDescent="0.2">
      <c r="A217" s="56"/>
      <c r="C217" s="56"/>
      <c r="AB217" s="56"/>
      <c r="AC217" s="56"/>
      <c r="AD217" s="58"/>
      <c r="AE217" s="56"/>
      <c r="AF217" s="56"/>
      <c r="AG217" s="56"/>
      <c r="AH217" s="56"/>
      <c r="AI217" s="56"/>
      <c r="AJ217" s="56"/>
      <c r="AK217" s="56"/>
    </row>
    <row r="218" spans="1:37" ht="15.75" customHeight="1" x14ac:dyDescent="0.2">
      <c r="A218" s="56"/>
      <c r="C218" s="56"/>
      <c r="AB218" s="56"/>
      <c r="AC218" s="56"/>
      <c r="AD218" s="58"/>
      <c r="AE218" s="56"/>
      <c r="AF218" s="56"/>
      <c r="AG218" s="56"/>
      <c r="AH218" s="56"/>
      <c r="AI218" s="56"/>
      <c r="AJ218" s="56"/>
      <c r="AK218" s="56"/>
    </row>
    <row r="219" spans="1:37" ht="15.75" customHeight="1" x14ac:dyDescent="0.2">
      <c r="A219" s="56"/>
      <c r="C219" s="56"/>
      <c r="AB219" s="56"/>
      <c r="AC219" s="56"/>
      <c r="AD219" s="58"/>
      <c r="AE219" s="56"/>
      <c r="AF219" s="56"/>
      <c r="AG219" s="56"/>
      <c r="AH219" s="56"/>
      <c r="AI219" s="56"/>
      <c r="AJ219" s="56"/>
      <c r="AK219" s="56"/>
    </row>
    <row r="220" spans="1:37" ht="15.75" customHeight="1" x14ac:dyDescent="0.2">
      <c r="A220" s="56"/>
      <c r="C220" s="56"/>
      <c r="AB220" s="56"/>
      <c r="AC220" s="56"/>
      <c r="AD220" s="58"/>
      <c r="AE220" s="56"/>
      <c r="AF220" s="56"/>
      <c r="AG220" s="56"/>
      <c r="AH220" s="56"/>
      <c r="AI220" s="56"/>
      <c r="AJ220" s="56"/>
      <c r="AK220" s="56"/>
    </row>
    <row r="221" spans="1:37" ht="15.75" customHeight="1" x14ac:dyDescent="0.2">
      <c r="A221" s="56"/>
      <c r="C221" s="56"/>
      <c r="AB221" s="56"/>
      <c r="AC221" s="56"/>
      <c r="AD221" s="58"/>
      <c r="AE221" s="56"/>
      <c r="AF221" s="56"/>
      <c r="AG221" s="56"/>
      <c r="AH221" s="56"/>
      <c r="AI221" s="56"/>
      <c r="AJ221" s="56"/>
      <c r="AK221" s="56"/>
    </row>
    <row r="222" spans="1:37" ht="15.75" customHeight="1" x14ac:dyDescent="0.2">
      <c r="A222" s="56"/>
      <c r="C222" s="56"/>
      <c r="AB222" s="56"/>
      <c r="AC222" s="56"/>
      <c r="AD222" s="58"/>
      <c r="AE222" s="56"/>
      <c r="AF222" s="56"/>
      <c r="AG222" s="56"/>
      <c r="AH222" s="56"/>
      <c r="AI222" s="56"/>
      <c r="AJ222" s="56"/>
      <c r="AK222" s="56"/>
    </row>
    <row r="223" spans="1:37" ht="15.75" customHeight="1" x14ac:dyDescent="0.2">
      <c r="A223" s="56"/>
      <c r="C223" s="56"/>
      <c r="AB223" s="56"/>
      <c r="AC223" s="56"/>
      <c r="AD223" s="58"/>
      <c r="AE223" s="56"/>
      <c r="AF223" s="56"/>
      <c r="AG223" s="56"/>
      <c r="AH223" s="56"/>
      <c r="AI223" s="56"/>
      <c r="AJ223" s="56"/>
      <c r="AK223" s="56"/>
    </row>
    <row r="224" spans="1:37" ht="15.75" customHeight="1" x14ac:dyDescent="0.2">
      <c r="A224" s="56"/>
      <c r="C224" s="56"/>
      <c r="AB224" s="56"/>
      <c r="AC224" s="56"/>
      <c r="AD224" s="58"/>
      <c r="AE224" s="56"/>
      <c r="AF224" s="56"/>
      <c r="AG224" s="56"/>
      <c r="AH224" s="56"/>
      <c r="AI224" s="56"/>
      <c r="AJ224" s="56"/>
      <c r="AK224" s="56"/>
    </row>
    <row r="225" spans="1:37" ht="15.75" customHeight="1" x14ac:dyDescent="0.2">
      <c r="A225" s="56"/>
      <c r="C225" s="56"/>
      <c r="AB225" s="56"/>
      <c r="AC225" s="56"/>
      <c r="AD225" s="58"/>
      <c r="AE225" s="56"/>
      <c r="AF225" s="56"/>
      <c r="AG225" s="56"/>
      <c r="AH225" s="56"/>
      <c r="AI225" s="56"/>
      <c r="AJ225" s="56"/>
      <c r="AK225" s="56"/>
    </row>
    <row r="226" spans="1:37" ht="15.75" customHeight="1" x14ac:dyDescent="0.2">
      <c r="A226" s="56"/>
      <c r="C226" s="56"/>
      <c r="AB226" s="56"/>
      <c r="AC226" s="56"/>
      <c r="AD226" s="58"/>
      <c r="AE226" s="56"/>
      <c r="AF226" s="56"/>
      <c r="AG226" s="56"/>
      <c r="AH226" s="56"/>
      <c r="AI226" s="56"/>
      <c r="AJ226" s="56"/>
      <c r="AK226" s="56"/>
    </row>
    <row r="227" spans="1:37" ht="15.75" customHeight="1" x14ac:dyDescent="0.2">
      <c r="A227" s="56"/>
      <c r="C227" s="56"/>
      <c r="AB227" s="56"/>
      <c r="AC227" s="56"/>
      <c r="AD227" s="58"/>
      <c r="AE227" s="56"/>
      <c r="AF227" s="56"/>
      <c r="AG227" s="56"/>
      <c r="AH227" s="56"/>
      <c r="AI227" s="56"/>
      <c r="AJ227" s="56"/>
      <c r="AK227" s="56"/>
    </row>
    <row r="228" spans="1:37" ht="15.75" customHeight="1" x14ac:dyDescent="0.2">
      <c r="A228" s="56"/>
      <c r="C228" s="56"/>
      <c r="AB228" s="56"/>
      <c r="AC228" s="56"/>
      <c r="AD228" s="58"/>
      <c r="AE228" s="56"/>
      <c r="AF228" s="56"/>
      <c r="AG228" s="56"/>
      <c r="AH228" s="56"/>
      <c r="AI228" s="56"/>
      <c r="AJ228" s="56"/>
      <c r="AK228" s="56"/>
    </row>
    <row r="229" spans="1:37" ht="15.75" customHeight="1" x14ac:dyDescent="0.2">
      <c r="A229" s="56"/>
      <c r="C229" s="56"/>
      <c r="AB229" s="56"/>
      <c r="AC229" s="56"/>
      <c r="AD229" s="58"/>
      <c r="AE229" s="56"/>
      <c r="AF229" s="56"/>
      <c r="AG229" s="56"/>
      <c r="AH229" s="56"/>
      <c r="AI229" s="56"/>
      <c r="AJ229" s="56"/>
      <c r="AK229" s="56"/>
    </row>
    <row r="230" spans="1:37" ht="15.75" customHeight="1" x14ac:dyDescent="0.2">
      <c r="A230" s="56"/>
      <c r="C230" s="56"/>
      <c r="AB230" s="56"/>
      <c r="AC230" s="56"/>
      <c r="AD230" s="58"/>
      <c r="AE230" s="56"/>
      <c r="AF230" s="56"/>
      <c r="AG230" s="56"/>
      <c r="AH230" s="56"/>
      <c r="AI230" s="56"/>
      <c r="AJ230" s="56"/>
      <c r="AK230" s="56"/>
    </row>
    <row r="231" spans="1:37" ht="15.75" customHeight="1" x14ac:dyDescent="0.2">
      <c r="A231" s="56"/>
      <c r="C231" s="56"/>
      <c r="AB231" s="56"/>
      <c r="AC231" s="56"/>
      <c r="AD231" s="58"/>
      <c r="AE231" s="56"/>
      <c r="AF231" s="56"/>
      <c r="AG231" s="56"/>
      <c r="AH231" s="56"/>
      <c r="AI231" s="56"/>
      <c r="AJ231" s="56"/>
      <c r="AK231" s="56"/>
    </row>
    <row r="232" spans="1:37" ht="15.75" customHeight="1" x14ac:dyDescent="0.2">
      <c r="A232" s="56"/>
      <c r="C232" s="56"/>
      <c r="AB232" s="56"/>
      <c r="AC232" s="56"/>
      <c r="AD232" s="58"/>
      <c r="AE232" s="56"/>
      <c r="AF232" s="56"/>
      <c r="AG232" s="56"/>
      <c r="AH232" s="56"/>
      <c r="AI232" s="56"/>
      <c r="AJ232" s="56"/>
      <c r="AK232" s="56"/>
    </row>
    <row r="233" spans="1:37" ht="15.75" customHeight="1" x14ac:dyDescent="0.2">
      <c r="A233" s="56"/>
      <c r="C233" s="56"/>
      <c r="AB233" s="56"/>
      <c r="AC233" s="56"/>
      <c r="AD233" s="58"/>
      <c r="AE233" s="56"/>
      <c r="AF233" s="56"/>
      <c r="AG233" s="56"/>
      <c r="AH233" s="56"/>
      <c r="AI233" s="56"/>
      <c r="AJ233" s="56"/>
      <c r="AK233" s="56"/>
    </row>
    <row r="234" spans="1:37" ht="15.75" customHeight="1" x14ac:dyDescent="0.2">
      <c r="A234" s="56"/>
      <c r="C234" s="56"/>
      <c r="AB234" s="56"/>
      <c r="AC234" s="56"/>
      <c r="AD234" s="58"/>
      <c r="AE234" s="56"/>
      <c r="AF234" s="56"/>
      <c r="AG234" s="56"/>
      <c r="AH234" s="56"/>
      <c r="AI234" s="56"/>
      <c r="AJ234" s="56"/>
      <c r="AK234" s="56"/>
    </row>
    <row r="235" spans="1:37" ht="15.75" customHeight="1" x14ac:dyDescent="0.2">
      <c r="A235" s="56"/>
      <c r="C235" s="56"/>
      <c r="AB235" s="56"/>
      <c r="AC235" s="56"/>
      <c r="AD235" s="58"/>
      <c r="AE235" s="56"/>
      <c r="AF235" s="56"/>
      <c r="AG235" s="56"/>
      <c r="AH235" s="56"/>
      <c r="AI235" s="56"/>
      <c r="AJ235" s="56"/>
      <c r="AK235" s="56"/>
    </row>
    <row r="236" spans="1:37" ht="15.75" customHeight="1" x14ac:dyDescent="0.2">
      <c r="A236" s="56"/>
      <c r="C236" s="56"/>
      <c r="AB236" s="56"/>
      <c r="AC236" s="56"/>
      <c r="AD236" s="58"/>
      <c r="AE236" s="56"/>
      <c r="AF236" s="56"/>
      <c r="AG236" s="56"/>
      <c r="AH236" s="56"/>
      <c r="AI236" s="56"/>
      <c r="AJ236" s="56"/>
      <c r="AK236" s="56"/>
    </row>
    <row r="237" spans="1:37" ht="15.75" customHeight="1" x14ac:dyDescent="0.2">
      <c r="A237" s="56"/>
      <c r="C237" s="56"/>
      <c r="AB237" s="56"/>
      <c r="AC237" s="56"/>
      <c r="AD237" s="58"/>
      <c r="AE237" s="56"/>
      <c r="AF237" s="56"/>
      <c r="AG237" s="56"/>
      <c r="AH237" s="56"/>
      <c r="AI237" s="56"/>
      <c r="AJ237" s="56"/>
      <c r="AK237" s="56"/>
    </row>
    <row r="238" spans="1:37" ht="15.75" customHeight="1" x14ac:dyDescent="0.2">
      <c r="A238" s="56"/>
      <c r="C238" s="56"/>
      <c r="AB238" s="56"/>
      <c r="AC238" s="56"/>
      <c r="AD238" s="58"/>
      <c r="AE238" s="56"/>
      <c r="AF238" s="56"/>
      <c r="AG238" s="56"/>
      <c r="AH238" s="56"/>
      <c r="AI238" s="56"/>
      <c r="AJ238" s="56"/>
      <c r="AK238" s="56"/>
    </row>
    <row r="239" spans="1:37" ht="15.75" customHeight="1" x14ac:dyDescent="0.2">
      <c r="A239" s="56"/>
      <c r="C239" s="56"/>
      <c r="AB239" s="56"/>
      <c r="AC239" s="56"/>
      <c r="AD239" s="58"/>
      <c r="AE239" s="56"/>
      <c r="AF239" s="56"/>
      <c r="AG239" s="56"/>
      <c r="AH239" s="56"/>
      <c r="AI239" s="56"/>
      <c r="AJ239" s="56"/>
      <c r="AK239" s="56"/>
    </row>
    <row r="240" spans="1:37" ht="15.75" customHeight="1" x14ac:dyDescent="0.2">
      <c r="A240" s="56"/>
      <c r="C240" s="56"/>
      <c r="AB240" s="56"/>
      <c r="AC240" s="56"/>
      <c r="AD240" s="58"/>
      <c r="AE240" s="56"/>
      <c r="AF240" s="56"/>
      <c r="AG240" s="56"/>
      <c r="AH240" s="56"/>
      <c r="AI240" s="56"/>
      <c r="AJ240" s="56"/>
      <c r="AK240" s="56"/>
    </row>
    <row r="241" spans="1:37" ht="15.75" customHeight="1" x14ac:dyDescent="0.2">
      <c r="A241" s="56"/>
      <c r="C241" s="56"/>
      <c r="AB241" s="56"/>
      <c r="AC241" s="56"/>
      <c r="AD241" s="58"/>
      <c r="AE241" s="56"/>
      <c r="AF241" s="56"/>
      <c r="AG241" s="56"/>
      <c r="AH241" s="56"/>
      <c r="AI241" s="56"/>
      <c r="AJ241" s="56"/>
      <c r="AK241" s="56"/>
    </row>
    <row r="242" spans="1:37" ht="15.75" customHeight="1" x14ac:dyDescent="0.2">
      <c r="A242" s="56"/>
      <c r="C242" s="56"/>
      <c r="AB242" s="56"/>
      <c r="AC242" s="56"/>
      <c r="AD242" s="58"/>
      <c r="AE242" s="56"/>
      <c r="AF242" s="56"/>
      <c r="AG242" s="56"/>
      <c r="AH242" s="56"/>
      <c r="AI242" s="56"/>
      <c r="AJ242" s="56"/>
      <c r="AK242" s="56"/>
    </row>
    <row r="243" spans="1:37" ht="15.75" customHeight="1" x14ac:dyDescent="0.2">
      <c r="A243" s="56"/>
      <c r="C243" s="56"/>
      <c r="AB243" s="56"/>
      <c r="AC243" s="56"/>
      <c r="AD243" s="58"/>
      <c r="AE243" s="56"/>
      <c r="AF243" s="56"/>
      <c r="AG243" s="56"/>
      <c r="AH243" s="56"/>
      <c r="AI243" s="56"/>
      <c r="AJ243" s="56"/>
      <c r="AK243" s="56"/>
    </row>
    <row r="244" spans="1:37" ht="15.75" customHeight="1" x14ac:dyDescent="0.2">
      <c r="A244" s="56"/>
      <c r="C244" s="56"/>
      <c r="AB244" s="56"/>
      <c r="AC244" s="56"/>
      <c r="AD244" s="58"/>
      <c r="AE244" s="56"/>
      <c r="AF244" s="56"/>
      <c r="AG244" s="56"/>
      <c r="AH244" s="56"/>
      <c r="AI244" s="56"/>
      <c r="AJ244" s="56"/>
      <c r="AK244" s="56"/>
    </row>
    <row r="245" spans="1:37" ht="15.75" customHeight="1" x14ac:dyDescent="0.2">
      <c r="A245" s="56"/>
      <c r="C245" s="56"/>
      <c r="AB245" s="56"/>
      <c r="AC245" s="56"/>
      <c r="AD245" s="58"/>
      <c r="AE245" s="56"/>
      <c r="AF245" s="56"/>
      <c r="AG245" s="56"/>
      <c r="AH245" s="56"/>
      <c r="AI245" s="56"/>
      <c r="AJ245" s="56"/>
      <c r="AK245" s="56"/>
    </row>
    <row r="246" spans="1:37" ht="15.75" customHeight="1" x14ac:dyDescent="0.2">
      <c r="A246" s="56"/>
      <c r="C246" s="56"/>
      <c r="AB246" s="56"/>
      <c r="AC246" s="56"/>
      <c r="AD246" s="58"/>
      <c r="AE246" s="56"/>
      <c r="AF246" s="56"/>
      <c r="AG246" s="56"/>
      <c r="AH246" s="56"/>
      <c r="AI246" s="56"/>
      <c r="AJ246" s="56"/>
      <c r="AK246" s="56"/>
    </row>
    <row r="247" spans="1:37" ht="15.75" customHeight="1" x14ac:dyDescent="0.2">
      <c r="A247" s="56"/>
      <c r="C247" s="56"/>
      <c r="AB247" s="56"/>
      <c r="AC247" s="56"/>
      <c r="AD247" s="58"/>
      <c r="AE247" s="56"/>
      <c r="AF247" s="56"/>
      <c r="AG247" s="56"/>
      <c r="AH247" s="56"/>
      <c r="AI247" s="56"/>
      <c r="AJ247" s="56"/>
      <c r="AK247" s="56"/>
    </row>
    <row r="248" spans="1:37" ht="15.75" customHeight="1" x14ac:dyDescent="0.2">
      <c r="A248" s="56"/>
      <c r="C248" s="56"/>
      <c r="AB248" s="56"/>
      <c r="AC248" s="56"/>
      <c r="AD248" s="58"/>
      <c r="AE248" s="56"/>
      <c r="AF248" s="56"/>
      <c r="AG248" s="56"/>
      <c r="AH248" s="56"/>
      <c r="AI248" s="56"/>
      <c r="AJ248" s="56"/>
      <c r="AK248" s="56"/>
    </row>
    <row r="249" spans="1:37" ht="15.75" customHeight="1" x14ac:dyDescent="0.2">
      <c r="A249" s="56"/>
      <c r="C249" s="56"/>
      <c r="AB249" s="56"/>
      <c r="AC249" s="56"/>
      <c r="AD249" s="58"/>
      <c r="AE249" s="56"/>
      <c r="AF249" s="56"/>
      <c r="AG249" s="56"/>
      <c r="AH249" s="56"/>
      <c r="AI249" s="56"/>
      <c r="AJ249" s="56"/>
      <c r="AK249" s="56"/>
    </row>
    <row r="250" spans="1:37" ht="15.75" customHeight="1" x14ac:dyDescent="0.2">
      <c r="A250" s="56"/>
      <c r="C250" s="56"/>
      <c r="AB250" s="56"/>
      <c r="AC250" s="56"/>
      <c r="AD250" s="58"/>
      <c r="AE250" s="56"/>
      <c r="AF250" s="56"/>
      <c r="AG250" s="56"/>
      <c r="AH250" s="56"/>
      <c r="AI250" s="56"/>
      <c r="AJ250" s="56"/>
      <c r="AK250" s="56"/>
    </row>
    <row r="251" spans="1:37" ht="15.75" customHeight="1" x14ac:dyDescent="0.2">
      <c r="A251" s="56"/>
      <c r="C251" s="56"/>
      <c r="AB251" s="56"/>
      <c r="AC251" s="56"/>
      <c r="AD251" s="58"/>
      <c r="AE251" s="56"/>
      <c r="AF251" s="56"/>
      <c r="AG251" s="56"/>
      <c r="AH251" s="56"/>
      <c r="AI251" s="56"/>
      <c r="AJ251" s="56"/>
      <c r="AK251" s="56"/>
    </row>
    <row r="252" spans="1:37" ht="15.75" customHeight="1" x14ac:dyDescent="0.2">
      <c r="A252" s="56"/>
      <c r="C252" s="56"/>
      <c r="AB252" s="56"/>
      <c r="AC252" s="56"/>
      <c r="AD252" s="58"/>
      <c r="AE252" s="56"/>
      <c r="AF252" s="56"/>
      <c r="AG252" s="56"/>
      <c r="AH252" s="56"/>
      <c r="AI252" s="56"/>
      <c r="AJ252" s="56"/>
      <c r="AK252" s="56"/>
    </row>
    <row r="253" spans="1:37" ht="15.75" customHeight="1" x14ac:dyDescent="0.2">
      <c r="A253" s="56"/>
      <c r="C253" s="56"/>
      <c r="AB253" s="56"/>
      <c r="AC253" s="56"/>
      <c r="AD253" s="58"/>
      <c r="AE253" s="56"/>
      <c r="AF253" s="56"/>
      <c r="AG253" s="56"/>
      <c r="AH253" s="56"/>
      <c r="AI253" s="56"/>
      <c r="AJ253" s="56"/>
      <c r="AK253" s="56"/>
    </row>
    <row r="254" spans="1:37" ht="15.75" customHeight="1" x14ac:dyDescent="0.2">
      <c r="A254" s="56"/>
      <c r="C254" s="56"/>
      <c r="AB254" s="56"/>
      <c r="AC254" s="56"/>
      <c r="AD254" s="58"/>
      <c r="AE254" s="56"/>
      <c r="AF254" s="56"/>
      <c r="AG254" s="56"/>
      <c r="AH254" s="56"/>
      <c r="AI254" s="56"/>
      <c r="AJ254" s="56"/>
      <c r="AK254" s="56"/>
    </row>
    <row r="255" spans="1:37" ht="15.75" customHeight="1" x14ac:dyDescent="0.2">
      <c r="A255" s="56"/>
      <c r="C255" s="56"/>
      <c r="AB255" s="56"/>
      <c r="AC255" s="56"/>
      <c r="AD255" s="58"/>
      <c r="AE255" s="56"/>
      <c r="AF255" s="56"/>
      <c r="AG255" s="56"/>
      <c r="AH255" s="56"/>
      <c r="AI255" s="56"/>
      <c r="AJ255" s="56"/>
      <c r="AK255" s="56"/>
    </row>
    <row r="256" spans="1:37" ht="15.75" customHeight="1" x14ac:dyDescent="0.2">
      <c r="A256" s="56"/>
      <c r="C256" s="56"/>
      <c r="AB256" s="56"/>
      <c r="AC256" s="56"/>
      <c r="AD256" s="58"/>
      <c r="AE256" s="56"/>
      <c r="AF256" s="56"/>
      <c r="AG256" s="56"/>
      <c r="AH256" s="56"/>
      <c r="AI256" s="56"/>
      <c r="AJ256" s="56"/>
      <c r="AK256" s="56"/>
    </row>
    <row r="257" spans="1:37" ht="15.75" customHeight="1" x14ac:dyDescent="0.2">
      <c r="A257" s="56"/>
      <c r="C257" s="56"/>
      <c r="AB257" s="56"/>
      <c r="AC257" s="56"/>
      <c r="AD257" s="58"/>
      <c r="AE257" s="56"/>
      <c r="AF257" s="56"/>
      <c r="AG257" s="56"/>
      <c r="AH257" s="56"/>
      <c r="AI257" s="56"/>
      <c r="AJ257" s="56"/>
      <c r="AK257" s="56"/>
    </row>
    <row r="258" spans="1:37" ht="15.75" customHeight="1" x14ac:dyDescent="0.2">
      <c r="A258" s="56"/>
      <c r="C258" s="56"/>
      <c r="AB258" s="56"/>
      <c r="AC258" s="56"/>
      <c r="AD258" s="58"/>
      <c r="AE258" s="56"/>
      <c r="AF258" s="56"/>
      <c r="AG258" s="56"/>
      <c r="AH258" s="56"/>
      <c r="AI258" s="56"/>
      <c r="AJ258" s="56"/>
      <c r="AK258" s="56"/>
    </row>
    <row r="259" spans="1:37" ht="15.75" customHeight="1" x14ac:dyDescent="0.2">
      <c r="A259" s="56"/>
      <c r="C259" s="56"/>
      <c r="AB259" s="56"/>
      <c r="AC259" s="56"/>
      <c r="AD259" s="58"/>
      <c r="AE259" s="56"/>
      <c r="AF259" s="56"/>
      <c r="AG259" s="56"/>
      <c r="AH259" s="56"/>
      <c r="AI259" s="56"/>
      <c r="AJ259" s="56"/>
      <c r="AK259" s="56"/>
    </row>
    <row r="260" spans="1:37" ht="15.75" customHeight="1" x14ac:dyDescent="0.2">
      <c r="A260" s="56"/>
      <c r="C260" s="56"/>
      <c r="AB260" s="56"/>
      <c r="AC260" s="56"/>
      <c r="AD260" s="58"/>
      <c r="AE260" s="56"/>
      <c r="AF260" s="56"/>
      <c r="AG260" s="56"/>
      <c r="AH260" s="56"/>
      <c r="AI260" s="56"/>
      <c r="AJ260" s="56"/>
      <c r="AK260" s="56"/>
    </row>
    <row r="261" spans="1:37" ht="15.75" customHeight="1" x14ac:dyDescent="0.2">
      <c r="A261" s="56"/>
      <c r="C261" s="56"/>
      <c r="AB261" s="56"/>
      <c r="AC261" s="56"/>
      <c r="AD261" s="58"/>
      <c r="AE261" s="56"/>
      <c r="AF261" s="56"/>
      <c r="AG261" s="56"/>
      <c r="AH261" s="56"/>
      <c r="AI261" s="56"/>
      <c r="AJ261" s="56"/>
      <c r="AK261" s="56"/>
    </row>
    <row r="262" spans="1:37" ht="15.75" customHeight="1" x14ac:dyDescent="0.2">
      <c r="A262" s="56"/>
      <c r="C262" s="56"/>
      <c r="AB262" s="56"/>
      <c r="AC262" s="56"/>
      <c r="AD262" s="58"/>
      <c r="AE262" s="56"/>
      <c r="AF262" s="56"/>
      <c r="AG262" s="56"/>
      <c r="AH262" s="56"/>
      <c r="AI262" s="56"/>
      <c r="AJ262" s="56"/>
      <c r="AK262" s="56"/>
    </row>
    <row r="263" spans="1:37" ht="15.75" customHeight="1" x14ac:dyDescent="0.2">
      <c r="A263" s="56"/>
      <c r="C263" s="56"/>
      <c r="AB263" s="56"/>
      <c r="AC263" s="56"/>
      <c r="AD263" s="58"/>
      <c r="AE263" s="56"/>
      <c r="AF263" s="56"/>
      <c r="AG263" s="56"/>
      <c r="AH263" s="56"/>
      <c r="AI263" s="56"/>
      <c r="AJ263" s="56"/>
      <c r="AK263" s="56"/>
    </row>
    <row r="264" spans="1:37" ht="15.75" customHeight="1" x14ac:dyDescent="0.2">
      <c r="A264" s="56"/>
      <c r="C264" s="56"/>
      <c r="AB264" s="56"/>
      <c r="AC264" s="56"/>
      <c r="AD264" s="58"/>
      <c r="AE264" s="56"/>
      <c r="AF264" s="56"/>
      <c r="AG264" s="56"/>
      <c r="AH264" s="56"/>
      <c r="AI264" s="56"/>
      <c r="AJ264" s="56"/>
      <c r="AK264" s="56"/>
    </row>
    <row r="265" spans="1:37" ht="15.75" customHeight="1" x14ac:dyDescent="0.2">
      <c r="A265" s="56"/>
      <c r="C265" s="56"/>
      <c r="AB265" s="56"/>
      <c r="AC265" s="56"/>
      <c r="AD265" s="58"/>
      <c r="AE265" s="56"/>
      <c r="AF265" s="56"/>
      <c r="AG265" s="56"/>
      <c r="AH265" s="56"/>
      <c r="AI265" s="56"/>
      <c r="AJ265" s="56"/>
      <c r="AK265" s="56"/>
    </row>
    <row r="266" spans="1:37" ht="15.75" customHeight="1" x14ac:dyDescent="0.2">
      <c r="A266" s="56"/>
      <c r="C266" s="56"/>
      <c r="AB266" s="56"/>
      <c r="AC266" s="56"/>
      <c r="AD266" s="58"/>
      <c r="AE266" s="56"/>
      <c r="AF266" s="56"/>
      <c r="AG266" s="56"/>
      <c r="AH266" s="56"/>
      <c r="AI266" s="56"/>
      <c r="AJ266" s="56"/>
      <c r="AK266" s="56"/>
    </row>
    <row r="267" spans="1:37" ht="15.75" customHeight="1" x14ac:dyDescent="0.2">
      <c r="A267" s="56"/>
      <c r="C267" s="56"/>
      <c r="AB267" s="56"/>
      <c r="AC267" s="56"/>
      <c r="AD267" s="58"/>
      <c r="AE267" s="56"/>
      <c r="AF267" s="56"/>
      <c r="AG267" s="56"/>
      <c r="AH267" s="56"/>
      <c r="AI267" s="56"/>
      <c r="AJ267" s="56"/>
      <c r="AK267" s="56"/>
    </row>
    <row r="268" spans="1:37" ht="15.75" customHeight="1" x14ac:dyDescent="0.2">
      <c r="A268" s="56"/>
      <c r="C268" s="56"/>
      <c r="AB268" s="56"/>
      <c r="AC268" s="56"/>
      <c r="AD268" s="58"/>
      <c r="AE268" s="56"/>
      <c r="AF268" s="56"/>
      <c r="AG268" s="56"/>
      <c r="AH268" s="56"/>
      <c r="AI268" s="56"/>
      <c r="AJ268" s="56"/>
      <c r="AK268" s="56"/>
    </row>
    <row r="269" spans="1:37" ht="15.75" customHeight="1" x14ac:dyDescent="0.2">
      <c r="A269" s="56"/>
      <c r="C269" s="56"/>
      <c r="AB269" s="56"/>
      <c r="AC269" s="56"/>
      <c r="AD269" s="58"/>
      <c r="AE269" s="56"/>
      <c r="AF269" s="56"/>
      <c r="AG269" s="56"/>
      <c r="AH269" s="56"/>
      <c r="AI269" s="56"/>
      <c r="AJ269" s="56"/>
      <c r="AK269" s="56"/>
    </row>
    <row r="270" spans="1:37" ht="15.75" customHeight="1" x14ac:dyDescent="0.2">
      <c r="A270" s="56"/>
      <c r="C270" s="56"/>
      <c r="AB270" s="56"/>
      <c r="AC270" s="56"/>
      <c r="AD270" s="58"/>
      <c r="AE270" s="56"/>
      <c r="AF270" s="56"/>
      <c r="AG270" s="56"/>
      <c r="AH270" s="56"/>
      <c r="AI270" s="56"/>
      <c r="AJ270" s="56"/>
      <c r="AK270" s="56"/>
    </row>
    <row r="271" spans="1:37" ht="15.75" customHeight="1" x14ac:dyDescent="0.2">
      <c r="A271" s="56"/>
      <c r="C271" s="56"/>
      <c r="AB271" s="56"/>
      <c r="AC271" s="56"/>
      <c r="AD271" s="58"/>
      <c r="AE271" s="56"/>
      <c r="AF271" s="56"/>
      <c r="AG271" s="56"/>
      <c r="AH271" s="56"/>
      <c r="AI271" s="56"/>
      <c r="AJ271" s="56"/>
      <c r="AK271" s="56"/>
    </row>
    <row r="272" spans="1:37" ht="15.75" customHeight="1" x14ac:dyDescent="0.2">
      <c r="A272" s="56"/>
      <c r="C272" s="56"/>
      <c r="AB272" s="56"/>
      <c r="AC272" s="56"/>
      <c r="AD272" s="58"/>
      <c r="AE272" s="56"/>
      <c r="AF272" s="56"/>
      <c r="AG272" s="56"/>
      <c r="AH272" s="56"/>
      <c r="AI272" s="56"/>
      <c r="AJ272" s="56"/>
      <c r="AK272" s="56"/>
    </row>
    <row r="273" spans="1:37" ht="15.75" customHeight="1" x14ac:dyDescent="0.2">
      <c r="A273" s="56"/>
      <c r="C273" s="56"/>
      <c r="AB273" s="56"/>
      <c r="AC273" s="56"/>
      <c r="AD273" s="58"/>
      <c r="AE273" s="56"/>
      <c r="AF273" s="56"/>
      <c r="AG273" s="56"/>
      <c r="AH273" s="56"/>
      <c r="AI273" s="56"/>
      <c r="AJ273" s="56"/>
      <c r="AK273" s="56"/>
    </row>
    <row r="274" spans="1:37" ht="15.75" customHeight="1" x14ac:dyDescent="0.2">
      <c r="A274" s="56"/>
      <c r="C274" s="56"/>
      <c r="AB274" s="56"/>
      <c r="AC274" s="56"/>
      <c r="AD274" s="58"/>
      <c r="AE274" s="56"/>
      <c r="AF274" s="56"/>
      <c r="AG274" s="56"/>
      <c r="AH274" s="56"/>
      <c r="AI274" s="56"/>
      <c r="AJ274" s="56"/>
      <c r="AK274" s="56"/>
    </row>
    <row r="275" spans="1:37" ht="15.75" customHeight="1" x14ac:dyDescent="0.2">
      <c r="A275" s="56"/>
      <c r="C275" s="56"/>
      <c r="AB275" s="56"/>
      <c r="AC275" s="56"/>
      <c r="AD275" s="58"/>
      <c r="AE275" s="56"/>
      <c r="AF275" s="56"/>
      <c r="AG275" s="56"/>
      <c r="AH275" s="56"/>
      <c r="AI275" s="56"/>
      <c r="AJ275" s="56"/>
      <c r="AK275" s="56"/>
    </row>
    <row r="276" spans="1:37" ht="15.75" customHeight="1" x14ac:dyDescent="0.2">
      <c r="A276" s="56"/>
      <c r="C276" s="56"/>
      <c r="AB276" s="56"/>
      <c r="AC276" s="56"/>
      <c r="AD276" s="58"/>
      <c r="AE276" s="56"/>
      <c r="AF276" s="56"/>
      <c r="AG276" s="56"/>
      <c r="AH276" s="56"/>
      <c r="AI276" s="56"/>
      <c r="AJ276" s="56"/>
      <c r="AK276" s="56"/>
    </row>
    <row r="277" spans="1:37" ht="15.75" customHeight="1" x14ac:dyDescent="0.2">
      <c r="A277" s="56"/>
      <c r="C277" s="56"/>
      <c r="AB277" s="56"/>
      <c r="AC277" s="56"/>
      <c r="AD277" s="58"/>
      <c r="AE277" s="56"/>
      <c r="AF277" s="56"/>
      <c r="AG277" s="56"/>
      <c r="AH277" s="56"/>
      <c r="AI277" s="56"/>
      <c r="AJ277" s="56"/>
      <c r="AK277" s="56"/>
    </row>
    <row r="278" spans="1:37" ht="15.75" customHeight="1" x14ac:dyDescent="0.2">
      <c r="A278" s="56"/>
      <c r="C278" s="56"/>
      <c r="AB278" s="56"/>
      <c r="AC278" s="56"/>
      <c r="AD278" s="58"/>
      <c r="AE278" s="56"/>
      <c r="AF278" s="56"/>
      <c r="AG278" s="56"/>
      <c r="AH278" s="56"/>
      <c r="AI278" s="56"/>
      <c r="AJ278" s="56"/>
      <c r="AK278" s="56"/>
    </row>
    <row r="279" spans="1:37" ht="15.75" customHeight="1" x14ac:dyDescent="0.2">
      <c r="A279" s="56"/>
      <c r="C279" s="56"/>
      <c r="AB279" s="56"/>
      <c r="AC279" s="56"/>
      <c r="AD279" s="58"/>
      <c r="AE279" s="56"/>
      <c r="AF279" s="56"/>
      <c r="AG279" s="56"/>
      <c r="AH279" s="56"/>
      <c r="AI279" s="56"/>
      <c r="AJ279" s="56"/>
      <c r="AK279" s="56"/>
    </row>
    <row r="280" spans="1:37" ht="15.75" customHeight="1" x14ac:dyDescent="0.2">
      <c r="A280" s="56"/>
      <c r="C280" s="56"/>
      <c r="AB280" s="56"/>
      <c r="AC280" s="56"/>
      <c r="AD280" s="58"/>
      <c r="AE280" s="56"/>
      <c r="AF280" s="56"/>
      <c r="AG280" s="56"/>
      <c r="AH280" s="56"/>
      <c r="AI280" s="56"/>
      <c r="AJ280" s="56"/>
      <c r="AK280" s="56"/>
    </row>
    <row r="281" spans="1:37" ht="15.75" customHeight="1" x14ac:dyDescent="0.2">
      <c r="A281" s="56"/>
      <c r="C281" s="56"/>
      <c r="AB281" s="56"/>
      <c r="AC281" s="56"/>
      <c r="AD281" s="58"/>
      <c r="AE281" s="56"/>
      <c r="AF281" s="56"/>
      <c r="AG281" s="56"/>
      <c r="AH281" s="56"/>
      <c r="AI281" s="56"/>
      <c r="AJ281" s="56"/>
      <c r="AK281" s="56"/>
    </row>
    <row r="282" spans="1:37" ht="15.75" customHeight="1" x14ac:dyDescent="0.2">
      <c r="A282" s="56"/>
      <c r="C282" s="56"/>
      <c r="AB282" s="56"/>
      <c r="AC282" s="56"/>
      <c r="AD282" s="58"/>
      <c r="AE282" s="56"/>
      <c r="AF282" s="56"/>
      <c r="AG282" s="56"/>
      <c r="AH282" s="56"/>
      <c r="AI282" s="56"/>
      <c r="AJ282" s="56"/>
      <c r="AK282" s="56"/>
    </row>
    <row r="283" spans="1:37" ht="15.75" customHeight="1" x14ac:dyDescent="0.2">
      <c r="A283" s="56"/>
      <c r="C283" s="56"/>
      <c r="AB283" s="56"/>
      <c r="AC283" s="56"/>
      <c r="AD283" s="58"/>
      <c r="AE283" s="56"/>
      <c r="AF283" s="56"/>
      <c r="AG283" s="56"/>
      <c r="AH283" s="56"/>
      <c r="AI283" s="56"/>
      <c r="AJ283" s="56"/>
      <c r="AK283" s="56"/>
    </row>
    <row r="284" spans="1:37" ht="15.75" customHeight="1" x14ac:dyDescent="0.2">
      <c r="A284" s="56"/>
      <c r="C284" s="56"/>
      <c r="AB284" s="56"/>
      <c r="AC284" s="56"/>
      <c r="AD284" s="58"/>
      <c r="AE284" s="56"/>
      <c r="AF284" s="56"/>
      <c r="AG284" s="56"/>
      <c r="AH284" s="56"/>
      <c r="AI284" s="56"/>
      <c r="AJ284" s="56"/>
      <c r="AK284" s="56"/>
    </row>
    <row r="285" spans="1:37" ht="15.75" customHeight="1" x14ac:dyDescent="0.2">
      <c r="A285" s="56"/>
      <c r="C285" s="56"/>
      <c r="AB285" s="56"/>
      <c r="AC285" s="56"/>
      <c r="AD285" s="58"/>
      <c r="AE285" s="56"/>
      <c r="AF285" s="56"/>
      <c r="AG285" s="56"/>
      <c r="AH285" s="56"/>
      <c r="AI285" s="56"/>
      <c r="AJ285" s="56"/>
      <c r="AK285" s="56"/>
    </row>
    <row r="286" spans="1:37" ht="15.75" customHeight="1" x14ac:dyDescent="0.2">
      <c r="A286" s="56"/>
      <c r="C286" s="56"/>
      <c r="AB286" s="56"/>
      <c r="AC286" s="56"/>
      <c r="AD286" s="58"/>
      <c r="AE286" s="56"/>
      <c r="AF286" s="56"/>
      <c r="AG286" s="56"/>
      <c r="AH286" s="56"/>
      <c r="AI286" s="56"/>
      <c r="AJ286" s="56"/>
      <c r="AK286" s="56"/>
    </row>
    <row r="287" spans="1:37" ht="15.75" customHeight="1" x14ac:dyDescent="0.2">
      <c r="A287" s="56"/>
      <c r="C287" s="56"/>
      <c r="AB287" s="56"/>
      <c r="AC287" s="56"/>
      <c r="AD287" s="58"/>
      <c r="AE287" s="56"/>
      <c r="AF287" s="56"/>
      <c r="AG287" s="56"/>
      <c r="AH287" s="56"/>
      <c r="AI287" s="56"/>
      <c r="AJ287" s="56"/>
      <c r="AK287" s="56"/>
    </row>
    <row r="288" spans="1:37" ht="15.75" customHeight="1" x14ac:dyDescent="0.2">
      <c r="A288" s="56"/>
      <c r="C288" s="56"/>
      <c r="AB288" s="56"/>
      <c r="AC288" s="56"/>
      <c r="AD288" s="58"/>
      <c r="AE288" s="56"/>
      <c r="AF288" s="56"/>
      <c r="AG288" s="56"/>
      <c r="AH288" s="56"/>
      <c r="AI288" s="56"/>
      <c r="AJ288" s="56"/>
      <c r="AK288" s="56"/>
    </row>
    <row r="289" spans="1:37" ht="15.75" customHeight="1" x14ac:dyDescent="0.2">
      <c r="A289" s="56"/>
      <c r="C289" s="56"/>
      <c r="AB289" s="56"/>
      <c r="AC289" s="56"/>
      <c r="AD289" s="58"/>
      <c r="AE289" s="56"/>
      <c r="AF289" s="56"/>
      <c r="AG289" s="56"/>
      <c r="AH289" s="56"/>
      <c r="AI289" s="56"/>
      <c r="AJ289" s="56"/>
      <c r="AK289" s="56"/>
    </row>
    <row r="290" spans="1:37" ht="15.75" customHeight="1" x14ac:dyDescent="0.2">
      <c r="A290" s="56"/>
      <c r="C290" s="56"/>
      <c r="AB290" s="56"/>
      <c r="AC290" s="56"/>
      <c r="AD290" s="58"/>
      <c r="AE290" s="56"/>
      <c r="AF290" s="56"/>
      <c r="AG290" s="56"/>
      <c r="AH290" s="56"/>
      <c r="AI290" s="56"/>
      <c r="AJ290" s="56"/>
      <c r="AK290" s="56"/>
    </row>
    <row r="291" spans="1:37" ht="15.75" customHeight="1" x14ac:dyDescent="0.2">
      <c r="A291" s="56"/>
      <c r="C291" s="56"/>
      <c r="AB291" s="56"/>
      <c r="AC291" s="56"/>
      <c r="AD291" s="58"/>
      <c r="AE291" s="56"/>
      <c r="AF291" s="56"/>
      <c r="AG291" s="56"/>
      <c r="AH291" s="56"/>
      <c r="AI291" s="56"/>
      <c r="AJ291" s="56"/>
      <c r="AK291" s="56"/>
    </row>
    <row r="292" spans="1:37" ht="15.75" customHeight="1" x14ac:dyDescent="0.2">
      <c r="A292" s="56"/>
      <c r="C292" s="56"/>
      <c r="AB292" s="56"/>
      <c r="AC292" s="56"/>
      <c r="AD292" s="58"/>
      <c r="AE292" s="56"/>
      <c r="AF292" s="56"/>
      <c r="AG292" s="56"/>
      <c r="AH292" s="56"/>
      <c r="AI292" s="56"/>
      <c r="AJ292" s="56"/>
      <c r="AK292" s="56"/>
    </row>
    <row r="293" spans="1:37" ht="15.75" customHeight="1" x14ac:dyDescent="0.2">
      <c r="A293" s="56"/>
      <c r="C293" s="56"/>
      <c r="AB293" s="56"/>
      <c r="AC293" s="56"/>
      <c r="AD293" s="58"/>
      <c r="AE293" s="56"/>
      <c r="AF293" s="56"/>
      <c r="AG293" s="56"/>
      <c r="AH293" s="56"/>
      <c r="AI293" s="56"/>
      <c r="AJ293" s="56"/>
      <c r="AK293" s="56"/>
    </row>
    <row r="294" spans="1:37" ht="15.75" customHeight="1" x14ac:dyDescent="0.2">
      <c r="A294" s="56"/>
      <c r="C294" s="56"/>
      <c r="AB294" s="56"/>
      <c r="AC294" s="56"/>
      <c r="AD294" s="58"/>
      <c r="AE294" s="56"/>
      <c r="AF294" s="56"/>
      <c r="AG294" s="56"/>
      <c r="AH294" s="56"/>
      <c r="AI294" s="56"/>
      <c r="AJ294" s="56"/>
      <c r="AK294" s="56"/>
    </row>
    <row r="295" spans="1:37" ht="15.75" customHeight="1" x14ac:dyDescent="0.2">
      <c r="A295" s="56"/>
      <c r="C295" s="56"/>
      <c r="AB295" s="56"/>
      <c r="AC295" s="56"/>
      <c r="AD295" s="58"/>
      <c r="AE295" s="56"/>
      <c r="AF295" s="56"/>
      <c r="AG295" s="56"/>
      <c r="AH295" s="56"/>
      <c r="AI295" s="56"/>
      <c r="AJ295" s="56"/>
      <c r="AK295" s="56"/>
    </row>
    <row r="296" spans="1:37" ht="15.75" customHeight="1" x14ac:dyDescent="0.2">
      <c r="A296" s="56"/>
      <c r="C296" s="56"/>
      <c r="AB296" s="56"/>
      <c r="AC296" s="56"/>
      <c r="AD296" s="58"/>
      <c r="AE296" s="56"/>
      <c r="AF296" s="56"/>
      <c r="AG296" s="56"/>
      <c r="AH296" s="56"/>
      <c r="AI296" s="56"/>
      <c r="AJ296" s="56"/>
      <c r="AK296" s="56"/>
    </row>
    <row r="297" spans="1:37" ht="15.75" customHeight="1" x14ac:dyDescent="0.2">
      <c r="A297" s="56"/>
      <c r="C297" s="56"/>
      <c r="AB297" s="56"/>
      <c r="AC297" s="56"/>
      <c r="AD297" s="58"/>
      <c r="AE297" s="56"/>
      <c r="AF297" s="56"/>
      <c r="AG297" s="56"/>
      <c r="AH297" s="56"/>
      <c r="AI297" s="56"/>
      <c r="AJ297" s="56"/>
      <c r="AK297" s="56"/>
    </row>
    <row r="298" spans="1:37" ht="15.75" customHeight="1" x14ac:dyDescent="0.2">
      <c r="A298" s="56"/>
      <c r="C298" s="56"/>
      <c r="AB298" s="56"/>
      <c r="AC298" s="56"/>
      <c r="AD298" s="58"/>
      <c r="AE298" s="56"/>
      <c r="AF298" s="56"/>
      <c r="AG298" s="56"/>
      <c r="AH298" s="56"/>
      <c r="AI298" s="56"/>
      <c r="AJ298" s="56"/>
      <c r="AK298" s="56"/>
    </row>
    <row r="299" spans="1:37" ht="15.75" customHeight="1" x14ac:dyDescent="0.2">
      <c r="A299" s="56"/>
      <c r="C299" s="56"/>
      <c r="AB299" s="56"/>
      <c r="AC299" s="56"/>
      <c r="AD299" s="58"/>
      <c r="AE299" s="56"/>
      <c r="AF299" s="56"/>
      <c r="AG299" s="56"/>
      <c r="AH299" s="56"/>
      <c r="AI299" s="56"/>
      <c r="AJ299" s="56"/>
      <c r="AK299" s="56"/>
    </row>
    <row r="300" spans="1:37" ht="15.75" customHeight="1" x14ac:dyDescent="0.2">
      <c r="A300" s="56"/>
      <c r="C300" s="56"/>
      <c r="AB300" s="56"/>
      <c r="AC300" s="56"/>
      <c r="AD300" s="58"/>
      <c r="AE300" s="56"/>
      <c r="AF300" s="56"/>
      <c r="AG300" s="56"/>
      <c r="AH300" s="56"/>
      <c r="AI300" s="56"/>
      <c r="AJ300" s="56"/>
      <c r="AK300" s="56"/>
    </row>
    <row r="301" spans="1:37" ht="15.75" customHeight="1" x14ac:dyDescent="0.2">
      <c r="A301" s="56"/>
      <c r="C301" s="56"/>
      <c r="AB301" s="56"/>
      <c r="AC301" s="56"/>
      <c r="AD301" s="58"/>
      <c r="AE301" s="56"/>
      <c r="AF301" s="56"/>
      <c r="AG301" s="56"/>
      <c r="AH301" s="56"/>
      <c r="AI301" s="56"/>
      <c r="AJ301" s="56"/>
      <c r="AK301" s="56"/>
    </row>
    <row r="302" spans="1:37" ht="15.75" customHeight="1" x14ac:dyDescent="0.2">
      <c r="A302" s="56"/>
      <c r="C302" s="56"/>
      <c r="AB302" s="56"/>
      <c r="AC302" s="56"/>
      <c r="AD302" s="58"/>
      <c r="AE302" s="56"/>
      <c r="AF302" s="56"/>
      <c r="AG302" s="56"/>
      <c r="AH302" s="56"/>
      <c r="AI302" s="56"/>
      <c r="AJ302" s="56"/>
      <c r="AK302" s="56"/>
    </row>
    <row r="303" spans="1:37" ht="15.75" customHeight="1" x14ac:dyDescent="0.2">
      <c r="A303" s="56"/>
      <c r="C303" s="56"/>
      <c r="AB303" s="56"/>
      <c r="AC303" s="56"/>
      <c r="AD303" s="58"/>
      <c r="AE303" s="56"/>
      <c r="AF303" s="56"/>
      <c r="AG303" s="56"/>
      <c r="AH303" s="56"/>
      <c r="AI303" s="56"/>
      <c r="AJ303" s="56"/>
      <c r="AK303" s="56"/>
    </row>
    <row r="304" spans="1:37" ht="15.75" customHeight="1" x14ac:dyDescent="0.2">
      <c r="A304" s="56"/>
      <c r="C304" s="56"/>
      <c r="AB304" s="56"/>
      <c r="AC304" s="56"/>
      <c r="AD304" s="58"/>
      <c r="AE304" s="56"/>
      <c r="AF304" s="56"/>
      <c r="AG304" s="56"/>
      <c r="AH304" s="56"/>
      <c r="AI304" s="56"/>
      <c r="AJ304" s="56"/>
      <c r="AK304" s="56"/>
    </row>
    <row r="305" spans="1:37" ht="15.75" customHeight="1" x14ac:dyDescent="0.2">
      <c r="A305" s="56"/>
      <c r="C305" s="56"/>
      <c r="AB305" s="56"/>
      <c r="AC305" s="56"/>
      <c r="AD305" s="58"/>
      <c r="AE305" s="56"/>
      <c r="AF305" s="56"/>
      <c r="AG305" s="56"/>
      <c r="AH305" s="56"/>
      <c r="AI305" s="56"/>
      <c r="AJ305" s="56"/>
      <c r="AK305" s="56"/>
    </row>
    <row r="306" spans="1:37" ht="15.75" customHeight="1" x14ac:dyDescent="0.2">
      <c r="A306" s="56"/>
      <c r="C306" s="56"/>
      <c r="AB306" s="56"/>
      <c r="AC306" s="56"/>
      <c r="AD306" s="58"/>
      <c r="AE306" s="56"/>
      <c r="AF306" s="56"/>
      <c r="AG306" s="56"/>
      <c r="AH306" s="56"/>
      <c r="AI306" s="56"/>
      <c r="AJ306" s="56"/>
      <c r="AK306" s="56"/>
    </row>
    <row r="307" spans="1:37" ht="15.75" customHeight="1" x14ac:dyDescent="0.2">
      <c r="A307" s="56"/>
      <c r="C307" s="56"/>
      <c r="AB307" s="56"/>
      <c r="AC307" s="56"/>
      <c r="AD307" s="58"/>
      <c r="AE307" s="56"/>
      <c r="AF307" s="56"/>
      <c r="AG307" s="56"/>
      <c r="AH307" s="56"/>
      <c r="AI307" s="56"/>
      <c r="AJ307" s="56"/>
      <c r="AK307" s="56"/>
    </row>
    <row r="308" spans="1:37" ht="15.75" customHeight="1" x14ac:dyDescent="0.2">
      <c r="A308" s="56"/>
      <c r="C308" s="56"/>
      <c r="AB308" s="56"/>
      <c r="AC308" s="56"/>
      <c r="AD308" s="58"/>
      <c r="AE308" s="56"/>
      <c r="AF308" s="56"/>
      <c r="AG308" s="56"/>
      <c r="AH308" s="56"/>
      <c r="AI308" s="56"/>
      <c r="AJ308" s="56"/>
      <c r="AK308" s="56"/>
    </row>
    <row r="309" spans="1:37" ht="15.75" customHeight="1" x14ac:dyDescent="0.2">
      <c r="A309" s="56"/>
      <c r="C309" s="56"/>
      <c r="AB309" s="56"/>
      <c r="AC309" s="56"/>
      <c r="AD309" s="58"/>
      <c r="AE309" s="56"/>
      <c r="AF309" s="56"/>
      <c r="AG309" s="56"/>
      <c r="AH309" s="56"/>
      <c r="AI309" s="56"/>
      <c r="AJ309" s="56"/>
      <c r="AK309" s="56"/>
    </row>
    <row r="310" spans="1:37" ht="15.75" customHeight="1" x14ac:dyDescent="0.2">
      <c r="A310" s="56"/>
      <c r="C310" s="56"/>
      <c r="AB310" s="56"/>
      <c r="AC310" s="56"/>
      <c r="AD310" s="58"/>
      <c r="AE310" s="56"/>
      <c r="AF310" s="56"/>
      <c r="AG310" s="56"/>
      <c r="AH310" s="56"/>
      <c r="AI310" s="56"/>
      <c r="AJ310" s="56"/>
      <c r="AK310" s="56"/>
    </row>
    <row r="311" spans="1:37" ht="15.75" customHeight="1" x14ac:dyDescent="0.2">
      <c r="A311" s="56"/>
      <c r="C311" s="56"/>
      <c r="AB311" s="56"/>
      <c r="AC311" s="56"/>
      <c r="AD311" s="58"/>
      <c r="AE311" s="56"/>
      <c r="AF311" s="56"/>
      <c r="AG311" s="56"/>
      <c r="AH311" s="56"/>
      <c r="AI311" s="56"/>
      <c r="AJ311" s="56"/>
      <c r="AK311" s="56"/>
    </row>
    <row r="312" spans="1:37" ht="15.75" customHeight="1" x14ac:dyDescent="0.2">
      <c r="A312" s="56"/>
      <c r="C312" s="56"/>
      <c r="AB312" s="56"/>
      <c r="AC312" s="56"/>
      <c r="AD312" s="58"/>
      <c r="AE312" s="56"/>
      <c r="AF312" s="56"/>
      <c r="AG312" s="56"/>
      <c r="AH312" s="56"/>
      <c r="AI312" s="56"/>
      <c r="AJ312" s="56"/>
      <c r="AK312" s="56"/>
    </row>
    <row r="313" spans="1:37" ht="15.75" customHeight="1" x14ac:dyDescent="0.2">
      <c r="A313" s="56"/>
      <c r="C313" s="56"/>
      <c r="AB313" s="56"/>
      <c r="AC313" s="56"/>
      <c r="AD313" s="58"/>
      <c r="AE313" s="56"/>
      <c r="AF313" s="56"/>
      <c r="AG313" s="56"/>
      <c r="AH313" s="56"/>
      <c r="AI313" s="56"/>
      <c r="AJ313" s="56"/>
      <c r="AK313" s="56"/>
    </row>
    <row r="314" spans="1:37" ht="15.75" customHeight="1" x14ac:dyDescent="0.2">
      <c r="A314" s="56"/>
      <c r="C314" s="56"/>
      <c r="AB314" s="56"/>
      <c r="AC314" s="56"/>
      <c r="AD314" s="58"/>
      <c r="AE314" s="56"/>
      <c r="AF314" s="56"/>
      <c r="AG314" s="56"/>
      <c r="AH314" s="56"/>
      <c r="AI314" s="56"/>
      <c r="AJ314" s="56"/>
      <c r="AK314" s="56"/>
    </row>
    <row r="315" spans="1:37" ht="15.75" customHeight="1" x14ac:dyDescent="0.2">
      <c r="A315" s="56"/>
      <c r="C315" s="56"/>
      <c r="AB315" s="56"/>
      <c r="AC315" s="56"/>
      <c r="AD315" s="58"/>
      <c r="AE315" s="56"/>
      <c r="AF315" s="56"/>
      <c r="AG315" s="56"/>
      <c r="AH315" s="56"/>
      <c r="AI315" s="56"/>
      <c r="AJ315" s="56"/>
      <c r="AK315" s="56"/>
    </row>
    <row r="316" spans="1:37" ht="15.75" customHeight="1" x14ac:dyDescent="0.2">
      <c r="A316" s="56"/>
      <c r="C316" s="56"/>
      <c r="AB316" s="56"/>
      <c r="AC316" s="56"/>
      <c r="AD316" s="58"/>
      <c r="AE316" s="56"/>
      <c r="AF316" s="56"/>
      <c r="AG316" s="56"/>
      <c r="AH316" s="56"/>
      <c r="AI316" s="56"/>
      <c r="AJ316" s="56"/>
      <c r="AK316" s="56"/>
    </row>
    <row r="317" spans="1:37" ht="15.75" customHeight="1" x14ac:dyDescent="0.2">
      <c r="A317" s="56"/>
      <c r="C317" s="56"/>
      <c r="AB317" s="56"/>
      <c r="AC317" s="56"/>
      <c r="AD317" s="58"/>
      <c r="AE317" s="56"/>
      <c r="AF317" s="56"/>
      <c r="AG317" s="56"/>
      <c r="AH317" s="56"/>
      <c r="AI317" s="56"/>
      <c r="AJ317" s="56"/>
      <c r="AK317" s="56"/>
    </row>
    <row r="318" spans="1:37" ht="15.75" customHeight="1" x14ac:dyDescent="0.2">
      <c r="A318" s="56"/>
      <c r="C318" s="56"/>
      <c r="AB318" s="56"/>
      <c r="AC318" s="56"/>
      <c r="AD318" s="58"/>
      <c r="AE318" s="56"/>
      <c r="AF318" s="56"/>
      <c r="AG318" s="56"/>
      <c r="AH318" s="56"/>
      <c r="AI318" s="56"/>
      <c r="AJ318" s="56"/>
      <c r="AK318" s="56"/>
    </row>
    <row r="319" spans="1:37" ht="15.75" customHeight="1" x14ac:dyDescent="0.2">
      <c r="A319" s="56"/>
      <c r="C319" s="56"/>
      <c r="AB319" s="56"/>
      <c r="AC319" s="56"/>
      <c r="AD319" s="58"/>
      <c r="AE319" s="56"/>
      <c r="AF319" s="56"/>
      <c r="AG319" s="56"/>
      <c r="AH319" s="56"/>
      <c r="AI319" s="56"/>
      <c r="AJ319" s="56"/>
      <c r="AK319" s="56"/>
    </row>
    <row r="320" spans="1:37" ht="15.75" customHeight="1" x14ac:dyDescent="0.2">
      <c r="A320" s="56"/>
      <c r="C320" s="56"/>
      <c r="AB320" s="56"/>
      <c r="AC320" s="56"/>
      <c r="AD320" s="58"/>
      <c r="AE320" s="56"/>
      <c r="AF320" s="56"/>
      <c r="AG320" s="56"/>
      <c r="AH320" s="56"/>
      <c r="AI320" s="56"/>
      <c r="AJ320" s="56"/>
      <c r="AK320" s="56"/>
    </row>
    <row r="321" spans="1:37" ht="15.75" customHeight="1" x14ac:dyDescent="0.2">
      <c r="A321" s="56"/>
      <c r="C321" s="56"/>
      <c r="AB321" s="56"/>
      <c r="AC321" s="56"/>
      <c r="AD321" s="58"/>
      <c r="AE321" s="56"/>
      <c r="AF321" s="56"/>
      <c r="AG321" s="56"/>
      <c r="AH321" s="56"/>
      <c r="AI321" s="56"/>
      <c r="AJ321" s="56"/>
      <c r="AK321" s="56"/>
    </row>
    <row r="322" spans="1:37" ht="15.75" customHeight="1" x14ac:dyDescent="0.2">
      <c r="A322" s="56"/>
      <c r="C322" s="56"/>
      <c r="AB322" s="56"/>
      <c r="AC322" s="56"/>
      <c r="AD322" s="58"/>
      <c r="AE322" s="56"/>
      <c r="AF322" s="56"/>
      <c r="AG322" s="56"/>
      <c r="AH322" s="56"/>
      <c r="AI322" s="56"/>
      <c r="AJ322" s="56"/>
      <c r="AK322" s="56"/>
    </row>
    <row r="323" spans="1:37" ht="15.75" customHeight="1" x14ac:dyDescent="0.2">
      <c r="A323" s="56"/>
      <c r="C323" s="56"/>
      <c r="AB323" s="56"/>
      <c r="AC323" s="56"/>
      <c r="AD323" s="58"/>
      <c r="AE323" s="56"/>
      <c r="AF323" s="56"/>
      <c r="AG323" s="56"/>
      <c r="AH323" s="56"/>
      <c r="AI323" s="56"/>
      <c r="AJ323" s="56"/>
      <c r="AK323" s="56"/>
    </row>
    <row r="324" spans="1:37" ht="15.75" customHeight="1" x14ac:dyDescent="0.2">
      <c r="A324" s="56"/>
      <c r="C324" s="56"/>
      <c r="AB324" s="56"/>
      <c r="AC324" s="56"/>
      <c r="AD324" s="58"/>
      <c r="AE324" s="56"/>
      <c r="AF324" s="56"/>
      <c r="AG324" s="56"/>
      <c r="AH324" s="56"/>
      <c r="AI324" s="56"/>
      <c r="AJ324" s="56"/>
      <c r="AK324" s="56"/>
    </row>
    <row r="325" spans="1:37" ht="15.75" customHeight="1" x14ac:dyDescent="0.2">
      <c r="A325" s="56"/>
      <c r="C325" s="56"/>
      <c r="AB325" s="56"/>
      <c r="AC325" s="56"/>
      <c r="AD325" s="58"/>
      <c r="AE325" s="56"/>
      <c r="AF325" s="56"/>
      <c r="AG325" s="56"/>
      <c r="AH325" s="56"/>
      <c r="AI325" s="56"/>
      <c r="AJ325" s="56"/>
      <c r="AK325" s="56"/>
    </row>
    <row r="326" spans="1:37" ht="15.75" customHeight="1" x14ac:dyDescent="0.2">
      <c r="A326" s="56"/>
      <c r="C326" s="56"/>
      <c r="AB326" s="56"/>
      <c r="AC326" s="56"/>
      <c r="AD326" s="58"/>
      <c r="AE326" s="56"/>
      <c r="AF326" s="56"/>
      <c r="AG326" s="56"/>
      <c r="AH326" s="56"/>
      <c r="AI326" s="56"/>
      <c r="AJ326" s="56"/>
      <c r="AK326" s="56"/>
    </row>
    <row r="327" spans="1:37" ht="15.75" customHeight="1" x14ac:dyDescent="0.2">
      <c r="A327" s="56"/>
      <c r="C327" s="56"/>
      <c r="AB327" s="56"/>
      <c r="AC327" s="56"/>
      <c r="AD327" s="58"/>
      <c r="AE327" s="56"/>
      <c r="AF327" s="56"/>
      <c r="AG327" s="56"/>
      <c r="AH327" s="56"/>
      <c r="AI327" s="56"/>
      <c r="AJ327" s="56"/>
      <c r="AK327" s="56"/>
    </row>
    <row r="328" spans="1:37" ht="15.75" customHeight="1" x14ac:dyDescent="0.2">
      <c r="A328" s="56"/>
      <c r="C328" s="56"/>
      <c r="AB328" s="56"/>
      <c r="AC328" s="56"/>
      <c r="AD328" s="58"/>
      <c r="AE328" s="56"/>
      <c r="AF328" s="56"/>
      <c r="AG328" s="56"/>
      <c r="AH328" s="56"/>
      <c r="AI328" s="56"/>
      <c r="AJ328" s="56"/>
      <c r="AK328" s="56"/>
    </row>
    <row r="329" spans="1:37" ht="15.75" customHeight="1" x14ac:dyDescent="0.2">
      <c r="A329" s="56"/>
      <c r="C329" s="56"/>
      <c r="AB329" s="56"/>
      <c r="AC329" s="56"/>
      <c r="AD329" s="58"/>
      <c r="AE329" s="56"/>
      <c r="AF329" s="56"/>
      <c r="AG329" s="56"/>
      <c r="AH329" s="56"/>
      <c r="AI329" s="56"/>
      <c r="AJ329" s="56"/>
      <c r="AK329" s="56"/>
    </row>
    <row r="330" spans="1:37" ht="15.75" customHeight="1" x14ac:dyDescent="0.2">
      <c r="A330" s="56"/>
      <c r="C330" s="56"/>
      <c r="AB330" s="56"/>
      <c r="AC330" s="56"/>
      <c r="AD330" s="58"/>
      <c r="AE330" s="56"/>
      <c r="AF330" s="56"/>
      <c r="AG330" s="56"/>
      <c r="AH330" s="56"/>
      <c r="AI330" s="56"/>
      <c r="AJ330" s="56"/>
      <c r="AK330" s="56"/>
    </row>
    <row r="331" spans="1:37" ht="15.75" customHeight="1" x14ac:dyDescent="0.2">
      <c r="A331" s="56"/>
      <c r="C331" s="56"/>
      <c r="AB331" s="56"/>
      <c r="AC331" s="56"/>
      <c r="AD331" s="58"/>
      <c r="AE331" s="56"/>
      <c r="AF331" s="56"/>
      <c r="AG331" s="56"/>
      <c r="AH331" s="56"/>
      <c r="AI331" s="56"/>
      <c r="AJ331" s="56"/>
      <c r="AK331" s="56"/>
    </row>
    <row r="332" spans="1:37" ht="15.75" customHeight="1" x14ac:dyDescent="0.2">
      <c r="A332" s="56"/>
      <c r="C332" s="56"/>
      <c r="AB332" s="56"/>
      <c r="AC332" s="56"/>
      <c r="AD332" s="58"/>
      <c r="AE332" s="56"/>
      <c r="AF332" s="56"/>
      <c r="AG332" s="56"/>
      <c r="AH332" s="56"/>
      <c r="AI332" s="56"/>
      <c r="AJ332" s="56"/>
      <c r="AK332" s="56"/>
    </row>
    <row r="333" spans="1:37" ht="15.75" customHeight="1" x14ac:dyDescent="0.2">
      <c r="A333" s="56"/>
      <c r="C333" s="56"/>
      <c r="AB333" s="56"/>
      <c r="AC333" s="56"/>
      <c r="AD333" s="58"/>
      <c r="AE333" s="56"/>
      <c r="AF333" s="56"/>
      <c r="AG333" s="56"/>
      <c r="AH333" s="56"/>
      <c r="AI333" s="56"/>
      <c r="AJ333" s="56"/>
      <c r="AK333" s="56"/>
    </row>
    <row r="334" spans="1:37" ht="15.75" customHeight="1" x14ac:dyDescent="0.2">
      <c r="A334" s="56"/>
      <c r="C334" s="56"/>
      <c r="AB334" s="56"/>
      <c r="AC334" s="56"/>
      <c r="AD334" s="58"/>
      <c r="AE334" s="56"/>
      <c r="AF334" s="56"/>
      <c r="AG334" s="56"/>
      <c r="AH334" s="56"/>
      <c r="AI334" s="56"/>
      <c r="AJ334" s="56"/>
      <c r="AK334" s="56"/>
    </row>
    <row r="335" spans="1:37" ht="15.75" customHeight="1" x14ac:dyDescent="0.2">
      <c r="A335" s="56"/>
      <c r="C335" s="56"/>
      <c r="AB335" s="56"/>
      <c r="AC335" s="56"/>
      <c r="AD335" s="58"/>
      <c r="AE335" s="56"/>
      <c r="AF335" s="56"/>
      <c r="AG335" s="56"/>
      <c r="AH335" s="56"/>
      <c r="AI335" s="56"/>
      <c r="AJ335" s="56"/>
      <c r="AK335" s="56"/>
    </row>
    <row r="336" spans="1:37" ht="15.75" customHeight="1" x14ac:dyDescent="0.2">
      <c r="A336" s="56"/>
      <c r="C336" s="56"/>
      <c r="AB336" s="56"/>
      <c r="AC336" s="56"/>
      <c r="AD336" s="58"/>
      <c r="AE336" s="56"/>
      <c r="AF336" s="56"/>
      <c r="AG336" s="56"/>
      <c r="AH336" s="56"/>
      <c r="AI336" s="56"/>
      <c r="AJ336" s="56"/>
      <c r="AK336" s="56"/>
    </row>
    <row r="337" spans="1:37" ht="15.75" customHeight="1" x14ac:dyDescent="0.2">
      <c r="A337" s="56"/>
      <c r="C337" s="56"/>
      <c r="AB337" s="56"/>
      <c r="AC337" s="56"/>
      <c r="AD337" s="58"/>
      <c r="AE337" s="56"/>
      <c r="AF337" s="56"/>
      <c r="AG337" s="56"/>
      <c r="AH337" s="56"/>
      <c r="AI337" s="56"/>
      <c r="AJ337" s="56"/>
      <c r="AK337" s="56"/>
    </row>
    <row r="338" spans="1:37" ht="15.75" customHeight="1" x14ac:dyDescent="0.2">
      <c r="A338" s="56"/>
      <c r="C338" s="56"/>
      <c r="AB338" s="56"/>
      <c r="AC338" s="56"/>
      <c r="AD338" s="58"/>
      <c r="AE338" s="56"/>
      <c r="AF338" s="56"/>
      <c r="AG338" s="56"/>
      <c r="AH338" s="56"/>
      <c r="AI338" s="56"/>
      <c r="AJ338" s="56"/>
      <c r="AK338" s="56"/>
    </row>
    <row r="339" spans="1:37" ht="15.75" customHeight="1" x14ac:dyDescent="0.2">
      <c r="A339" s="56"/>
      <c r="C339" s="56"/>
      <c r="AB339" s="56"/>
      <c r="AC339" s="56"/>
      <c r="AD339" s="58"/>
      <c r="AE339" s="56"/>
      <c r="AF339" s="56"/>
      <c r="AG339" s="56"/>
      <c r="AH339" s="56"/>
      <c r="AI339" s="56"/>
      <c r="AJ339" s="56"/>
      <c r="AK339" s="56"/>
    </row>
    <row r="340" spans="1:37" ht="15.75" customHeight="1" x14ac:dyDescent="0.2">
      <c r="A340" s="56"/>
      <c r="C340" s="56"/>
      <c r="AB340" s="56"/>
      <c r="AC340" s="56"/>
      <c r="AD340" s="58"/>
      <c r="AE340" s="56"/>
      <c r="AF340" s="56"/>
      <c r="AG340" s="56"/>
      <c r="AH340" s="56"/>
      <c r="AI340" s="56"/>
      <c r="AJ340" s="56"/>
      <c r="AK340" s="56"/>
    </row>
    <row r="341" spans="1:37" ht="15.75" customHeight="1" x14ac:dyDescent="0.2">
      <c r="A341" s="56"/>
      <c r="C341" s="56"/>
      <c r="AB341" s="56"/>
      <c r="AC341" s="56"/>
      <c r="AD341" s="58"/>
      <c r="AE341" s="56"/>
      <c r="AF341" s="56"/>
      <c r="AG341" s="56"/>
      <c r="AH341" s="56"/>
      <c r="AI341" s="56"/>
      <c r="AJ341" s="56"/>
      <c r="AK341" s="56"/>
    </row>
    <row r="342" spans="1:37" ht="15.75" customHeight="1" x14ac:dyDescent="0.2">
      <c r="A342" s="56"/>
      <c r="C342" s="56"/>
      <c r="AB342" s="56"/>
      <c r="AC342" s="56"/>
      <c r="AD342" s="58"/>
      <c r="AE342" s="56"/>
      <c r="AF342" s="56"/>
      <c r="AG342" s="56"/>
      <c r="AH342" s="56"/>
      <c r="AI342" s="56"/>
      <c r="AJ342" s="56"/>
      <c r="AK342" s="56"/>
    </row>
    <row r="343" spans="1:37" ht="15.75" customHeight="1" x14ac:dyDescent="0.2">
      <c r="A343" s="56"/>
      <c r="C343" s="56"/>
      <c r="AB343" s="56"/>
      <c r="AC343" s="56"/>
      <c r="AD343" s="58"/>
      <c r="AE343" s="56"/>
      <c r="AF343" s="56"/>
      <c r="AG343" s="56"/>
      <c r="AH343" s="56"/>
      <c r="AI343" s="56"/>
      <c r="AJ343" s="56"/>
      <c r="AK343" s="56"/>
    </row>
    <row r="344" spans="1:37" ht="15.75" customHeight="1" x14ac:dyDescent="0.2">
      <c r="A344" s="56"/>
      <c r="C344" s="56"/>
      <c r="AB344" s="56"/>
      <c r="AC344" s="56"/>
      <c r="AD344" s="58"/>
      <c r="AE344" s="56"/>
      <c r="AF344" s="56"/>
      <c r="AG344" s="56"/>
      <c r="AH344" s="56"/>
      <c r="AI344" s="56"/>
      <c r="AJ344" s="56"/>
      <c r="AK344" s="56"/>
    </row>
    <row r="345" spans="1:37" ht="15.75" customHeight="1" x14ac:dyDescent="0.2">
      <c r="A345" s="56"/>
      <c r="C345" s="56"/>
      <c r="AB345" s="56"/>
      <c r="AC345" s="56"/>
      <c r="AD345" s="58"/>
      <c r="AE345" s="56"/>
      <c r="AF345" s="56"/>
      <c r="AG345" s="56"/>
      <c r="AH345" s="56"/>
      <c r="AI345" s="56"/>
      <c r="AJ345" s="56"/>
      <c r="AK345" s="56"/>
    </row>
    <row r="346" spans="1:37" ht="15.75" customHeight="1" x14ac:dyDescent="0.2">
      <c r="A346" s="56"/>
      <c r="C346" s="56"/>
      <c r="AB346" s="56"/>
      <c r="AC346" s="56"/>
      <c r="AD346" s="58"/>
      <c r="AE346" s="56"/>
      <c r="AF346" s="56"/>
      <c r="AG346" s="56"/>
      <c r="AH346" s="56"/>
      <c r="AI346" s="56"/>
      <c r="AJ346" s="56"/>
      <c r="AK346" s="56"/>
    </row>
    <row r="347" spans="1:37" ht="15.75" customHeight="1" x14ac:dyDescent="0.2">
      <c r="A347" s="56"/>
      <c r="C347" s="56"/>
      <c r="AB347" s="56"/>
      <c r="AC347" s="56"/>
      <c r="AD347" s="58"/>
      <c r="AE347" s="56"/>
      <c r="AF347" s="56"/>
      <c r="AG347" s="56"/>
      <c r="AH347" s="56"/>
      <c r="AI347" s="56"/>
      <c r="AJ347" s="56"/>
      <c r="AK347" s="56"/>
    </row>
    <row r="348" spans="1:37" ht="15.75" customHeight="1" x14ac:dyDescent="0.2">
      <c r="A348" s="56"/>
      <c r="C348" s="56"/>
      <c r="AB348" s="56"/>
      <c r="AC348" s="56"/>
      <c r="AD348" s="58"/>
      <c r="AE348" s="56"/>
      <c r="AF348" s="56"/>
      <c r="AG348" s="56"/>
      <c r="AH348" s="56"/>
      <c r="AI348" s="56"/>
      <c r="AJ348" s="56"/>
      <c r="AK348" s="56"/>
    </row>
    <row r="349" spans="1:37" ht="15.75" customHeight="1" x14ac:dyDescent="0.2">
      <c r="A349" s="56"/>
      <c r="C349" s="56"/>
      <c r="AB349" s="56"/>
      <c r="AC349" s="56"/>
      <c r="AD349" s="58"/>
      <c r="AE349" s="56"/>
      <c r="AF349" s="56"/>
      <c r="AG349" s="56"/>
      <c r="AH349" s="56"/>
      <c r="AI349" s="56"/>
      <c r="AJ349" s="56"/>
      <c r="AK349" s="56"/>
    </row>
    <row r="350" spans="1:37" ht="15.75" customHeight="1" x14ac:dyDescent="0.2">
      <c r="A350" s="56"/>
      <c r="C350" s="56"/>
      <c r="AB350" s="56"/>
      <c r="AC350" s="56"/>
      <c r="AD350" s="58"/>
      <c r="AE350" s="56"/>
      <c r="AF350" s="56"/>
      <c r="AG350" s="56"/>
      <c r="AH350" s="56"/>
      <c r="AI350" s="56"/>
      <c r="AJ350" s="56"/>
      <c r="AK350" s="56"/>
    </row>
    <row r="351" spans="1:37" ht="15.75" customHeight="1" x14ac:dyDescent="0.2">
      <c r="A351" s="56"/>
      <c r="C351" s="56"/>
      <c r="AB351" s="56"/>
      <c r="AC351" s="56"/>
      <c r="AD351" s="58"/>
      <c r="AE351" s="56"/>
      <c r="AF351" s="56"/>
      <c r="AG351" s="56"/>
      <c r="AH351" s="56"/>
      <c r="AI351" s="56"/>
      <c r="AJ351" s="56"/>
      <c r="AK351" s="56"/>
    </row>
    <row r="352" spans="1:37" ht="15.75" customHeight="1" x14ac:dyDescent="0.2">
      <c r="A352" s="56"/>
      <c r="C352" s="56"/>
      <c r="AB352" s="56"/>
      <c r="AC352" s="56"/>
      <c r="AD352" s="58"/>
      <c r="AE352" s="56"/>
      <c r="AF352" s="56"/>
      <c r="AG352" s="56"/>
      <c r="AH352" s="56"/>
      <c r="AI352" s="56"/>
      <c r="AJ352" s="56"/>
      <c r="AK352" s="56"/>
    </row>
    <row r="353" spans="1:37" ht="15.75" customHeight="1" x14ac:dyDescent="0.2">
      <c r="A353" s="56"/>
      <c r="C353" s="56"/>
      <c r="AB353" s="56"/>
      <c r="AC353" s="56"/>
      <c r="AD353" s="58"/>
      <c r="AE353" s="56"/>
      <c r="AF353" s="56"/>
      <c r="AG353" s="56"/>
      <c r="AH353" s="56"/>
      <c r="AI353" s="56"/>
      <c r="AJ353" s="56"/>
      <c r="AK353" s="56"/>
    </row>
    <row r="354" spans="1:37" ht="15.75" customHeight="1" x14ac:dyDescent="0.2">
      <c r="A354" s="56"/>
      <c r="C354" s="56"/>
      <c r="AB354" s="56"/>
      <c r="AC354" s="56"/>
      <c r="AD354" s="58"/>
      <c r="AE354" s="56"/>
      <c r="AF354" s="56"/>
      <c r="AG354" s="56"/>
      <c r="AH354" s="56"/>
      <c r="AI354" s="56"/>
      <c r="AJ354" s="56"/>
      <c r="AK354" s="56"/>
    </row>
    <row r="355" spans="1:37" ht="15.75" customHeight="1" x14ac:dyDescent="0.2">
      <c r="A355" s="56"/>
      <c r="C355" s="56"/>
      <c r="AB355" s="56"/>
      <c r="AC355" s="56"/>
      <c r="AD355" s="58"/>
      <c r="AE355" s="56"/>
      <c r="AF355" s="56"/>
      <c r="AG355" s="56"/>
      <c r="AH355" s="56"/>
      <c r="AI355" s="56"/>
      <c r="AJ355" s="56"/>
      <c r="AK355" s="56"/>
    </row>
    <row r="356" spans="1:37" ht="15.75" customHeight="1" x14ac:dyDescent="0.2">
      <c r="A356" s="56"/>
      <c r="C356" s="56"/>
      <c r="AB356" s="56"/>
      <c r="AC356" s="56"/>
      <c r="AD356" s="58"/>
      <c r="AE356" s="56"/>
      <c r="AF356" s="56"/>
      <c r="AG356" s="56"/>
      <c r="AH356" s="56"/>
      <c r="AI356" s="56"/>
      <c r="AJ356" s="56"/>
      <c r="AK356" s="56"/>
    </row>
    <row r="357" spans="1:37" ht="15.75" customHeight="1" x14ac:dyDescent="0.2">
      <c r="A357" s="56"/>
      <c r="C357" s="56"/>
      <c r="AB357" s="56"/>
      <c r="AC357" s="56"/>
      <c r="AD357" s="58"/>
      <c r="AE357" s="56"/>
      <c r="AF357" s="56"/>
      <c r="AG357" s="56"/>
      <c r="AH357" s="56"/>
      <c r="AI357" s="56"/>
      <c r="AJ357" s="56"/>
      <c r="AK357" s="56"/>
    </row>
    <row r="358" spans="1:37" ht="15.75" customHeight="1" x14ac:dyDescent="0.2">
      <c r="A358" s="56"/>
      <c r="C358" s="56"/>
      <c r="AB358" s="56"/>
      <c r="AC358" s="56"/>
      <c r="AD358" s="58"/>
      <c r="AE358" s="56"/>
      <c r="AF358" s="56"/>
      <c r="AG358" s="56"/>
      <c r="AH358" s="56"/>
      <c r="AI358" s="56"/>
      <c r="AJ358" s="56"/>
      <c r="AK358" s="56"/>
    </row>
    <row r="359" spans="1:37" ht="15.75" customHeight="1" x14ac:dyDescent="0.2">
      <c r="A359" s="56"/>
      <c r="C359" s="56"/>
      <c r="AB359" s="56"/>
      <c r="AC359" s="56"/>
      <c r="AD359" s="58"/>
      <c r="AE359" s="56"/>
      <c r="AF359" s="56"/>
      <c r="AG359" s="56"/>
      <c r="AH359" s="56"/>
      <c r="AI359" s="56"/>
      <c r="AJ359" s="56"/>
      <c r="AK359" s="56"/>
    </row>
    <row r="360" spans="1:37" ht="15.75" customHeight="1" x14ac:dyDescent="0.2">
      <c r="A360" s="56"/>
      <c r="C360" s="56"/>
      <c r="AB360" s="56"/>
      <c r="AC360" s="56"/>
      <c r="AD360" s="58"/>
      <c r="AE360" s="56"/>
      <c r="AF360" s="56"/>
      <c r="AG360" s="56"/>
      <c r="AH360" s="56"/>
      <c r="AI360" s="56"/>
      <c r="AJ360" s="56"/>
      <c r="AK360" s="56"/>
    </row>
    <row r="361" spans="1:37" ht="15.75" customHeight="1" x14ac:dyDescent="0.2">
      <c r="A361" s="56"/>
      <c r="C361" s="56"/>
      <c r="AB361" s="56"/>
      <c r="AC361" s="56"/>
      <c r="AD361" s="58"/>
      <c r="AE361" s="56"/>
      <c r="AF361" s="56"/>
      <c r="AG361" s="56"/>
      <c r="AH361" s="56"/>
      <c r="AI361" s="56"/>
      <c r="AJ361" s="56"/>
      <c r="AK361" s="56"/>
    </row>
    <row r="362" spans="1:37" ht="15.75" customHeight="1" x14ac:dyDescent="0.2">
      <c r="A362" s="56"/>
      <c r="C362" s="56"/>
      <c r="AB362" s="56"/>
      <c r="AC362" s="56"/>
      <c r="AD362" s="58"/>
      <c r="AE362" s="56"/>
      <c r="AF362" s="56"/>
      <c r="AG362" s="56"/>
      <c r="AH362" s="56"/>
      <c r="AI362" s="56"/>
      <c r="AJ362" s="56"/>
      <c r="AK362" s="56"/>
    </row>
    <row r="363" spans="1:37" ht="15.75" customHeight="1" x14ac:dyDescent="0.2">
      <c r="A363" s="56"/>
      <c r="C363" s="56"/>
      <c r="AB363" s="56"/>
      <c r="AC363" s="56"/>
      <c r="AD363" s="58"/>
      <c r="AE363" s="56"/>
      <c r="AF363" s="56"/>
      <c r="AG363" s="56"/>
      <c r="AH363" s="56"/>
      <c r="AI363" s="56"/>
      <c r="AJ363" s="56"/>
      <c r="AK363" s="56"/>
    </row>
    <row r="364" spans="1:37" ht="15.75" customHeight="1" x14ac:dyDescent="0.2">
      <c r="A364" s="56"/>
      <c r="C364" s="56"/>
      <c r="AB364" s="56"/>
      <c r="AC364" s="56"/>
      <c r="AD364" s="58"/>
      <c r="AE364" s="56"/>
      <c r="AF364" s="56"/>
      <c r="AG364" s="56"/>
      <c r="AH364" s="56"/>
      <c r="AI364" s="56"/>
      <c r="AJ364" s="56"/>
      <c r="AK364" s="56"/>
    </row>
    <row r="365" spans="1:37" ht="15.75" customHeight="1" x14ac:dyDescent="0.2">
      <c r="A365" s="56"/>
      <c r="C365" s="56"/>
      <c r="AB365" s="56"/>
      <c r="AC365" s="56"/>
      <c r="AD365" s="58"/>
      <c r="AE365" s="56"/>
      <c r="AF365" s="56"/>
      <c r="AG365" s="56"/>
      <c r="AH365" s="56"/>
      <c r="AI365" s="56"/>
      <c r="AJ365" s="56"/>
      <c r="AK365" s="56"/>
    </row>
    <row r="366" spans="1:37" ht="15.75" customHeight="1" x14ac:dyDescent="0.2">
      <c r="A366" s="56"/>
      <c r="C366" s="56"/>
      <c r="AB366" s="56"/>
      <c r="AC366" s="56"/>
      <c r="AD366" s="58"/>
      <c r="AE366" s="56"/>
      <c r="AF366" s="56"/>
      <c r="AG366" s="56"/>
      <c r="AH366" s="56"/>
      <c r="AI366" s="56"/>
      <c r="AJ366" s="56"/>
      <c r="AK366" s="56"/>
    </row>
    <row r="367" spans="1:37" ht="15.75" customHeight="1" x14ac:dyDescent="0.2">
      <c r="A367" s="56"/>
      <c r="C367" s="56"/>
      <c r="AB367" s="56"/>
      <c r="AC367" s="56"/>
      <c r="AD367" s="58"/>
      <c r="AE367" s="56"/>
      <c r="AF367" s="56"/>
      <c r="AG367" s="56"/>
      <c r="AH367" s="56"/>
      <c r="AI367" s="56"/>
      <c r="AJ367" s="56"/>
      <c r="AK367" s="56"/>
    </row>
    <row r="368" spans="1:37" ht="15.75" customHeight="1" x14ac:dyDescent="0.2">
      <c r="A368" s="56"/>
      <c r="C368" s="56"/>
      <c r="AB368" s="56"/>
      <c r="AC368" s="56"/>
      <c r="AD368" s="58"/>
      <c r="AE368" s="56"/>
      <c r="AF368" s="56"/>
      <c r="AG368" s="56"/>
      <c r="AH368" s="56"/>
      <c r="AI368" s="56"/>
      <c r="AJ368" s="56"/>
      <c r="AK368" s="56"/>
    </row>
    <row r="369" spans="1:37" ht="15.75" customHeight="1" x14ac:dyDescent="0.2">
      <c r="A369" s="56"/>
      <c r="C369" s="56"/>
      <c r="AB369" s="56"/>
      <c r="AC369" s="56"/>
      <c r="AD369" s="58"/>
      <c r="AE369" s="56"/>
      <c r="AF369" s="56"/>
      <c r="AG369" s="56"/>
      <c r="AH369" s="56"/>
      <c r="AI369" s="56"/>
      <c r="AJ369" s="56"/>
      <c r="AK369" s="56"/>
    </row>
    <row r="370" spans="1:37" ht="15.75" customHeight="1" x14ac:dyDescent="0.2">
      <c r="A370" s="56"/>
      <c r="C370" s="56"/>
      <c r="AB370" s="56"/>
      <c r="AC370" s="56"/>
      <c r="AD370" s="58"/>
      <c r="AE370" s="56"/>
      <c r="AF370" s="56"/>
      <c r="AG370" s="56"/>
      <c r="AH370" s="56"/>
      <c r="AI370" s="56"/>
      <c r="AJ370" s="56"/>
      <c r="AK370" s="56"/>
    </row>
    <row r="371" spans="1:37" ht="15.75" customHeight="1" x14ac:dyDescent="0.2">
      <c r="A371" s="56"/>
      <c r="C371" s="56"/>
      <c r="AB371" s="56"/>
      <c r="AC371" s="56"/>
      <c r="AD371" s="58"/>
      <c r="AE371" s="56"/>
      <c r="AF371" s="56"/>
      <c r="AG371" s="56"/>
      <c r="AH371" s="56"/>
      <c r="AI371" s="56"/>
      <c r="AJ371" s="56"/>
      <c r="AK371" s="56"/>
    </row>
    <row r="372" spans="1:37" ht="15.75" customHeight="1" x14ac:dyDescent="0.2">
      <c r="A372" s="56"/>
      <c r="C372" s="56"/>
      <c r="AB372" s="56"/>
      <c r="AC372" s="56"/>
      <c r="AD372" s="58"/>
      <c r="AE372" s="56"/>
      <c r="AF372" s="56"/>
      <c r="AG372" s="56"/>
      <c r="AH372" s="56"/>
      <c r="AI372" s="56"/>
      <c r="AJ372" s="56"/>
      <c r="AK372" s="56"/>
    </row>
    <row r="373" spans="1:37" ht="15.75" customHeight="1" x14ac:dyDescent="0.2">
      <c r="A373" s="56"/>
      <c r="C373" s="56"/>
      <c r="AB373" s="56"/>
      <c r="AC373" s="56"/>
      <c r="AD373" s="58"/>
      <c r="AE373" s="56"/>
      <c r="AF373" s="56"/>
      <c r="AG373" s="56"/>
      <c r="AH373" s="56"/>
      <c r="AI373" s="56"/>
      <c r="AJ373" s="56"/>
      <c r="AK373" s="56"/>
    </row>
    <row r="374" spans="1:37" ht="15.75" customHeight="1" x14ac:dyDescent="0.2">
      <c r="A374" s="56"/>
      <c r="C374" s="56"/>
      <c r="AB374" s="56"/>
      <c r="AC374" s="56"/>
      <c r="AD374" s="58"/>
      <c r="AE374" s="56"/>
      <c r="AF374" s="56"/>
      <c r="AG374" s="56"/>
      <c r="AH374" s="56"/>
      <c r="AI374" s="56"/>
      <c r="AJ374" s="56"/>
      <c r="AK374" s="56"/>
    </row>
    <row r="375" spans="1:37" ht="15.75" customHeight="1" x14ac:dyDescent="0.2">
      <c r="A375" s="56"/>
      <c r="C375" s="56"/>
      <c r="AB375" s="56"/>
      <c r="AC375" s="56"/>
      <c r="AD375" s="58"/>
      <c r="AE375" s="56"/>
      <c r="AF375" s="56"/>
      <c r="AG375" s="56"/>
      <c r="AH375" s="56"/>
      <c r="AI375" s="56"/>
      <c r="AJ375" s="56"/>
      <c r="AK375" s="56"/>
    </row>
    <row r="376" spans="1:37" ht="15.75" customHeight="1" x14ac:dyDescent="0.2">
      <c r="A376" s="56"/>
      <c r="C376" s="56"/>
      <c r="AB376" s="56"/>
      <c r="AC376" s="56"/>
      <c r="AD376" s="58"/>
      <c r="AE376" s="56"/>
      <c r="AF376" s="56"/>
      <c r="AG376" s="56"/>
      <c r="AH376" s="56"/>
      <c r="AI376" s="56"/>
      <c r="AJ376" s="56"/>
      <c r="AK376" s="56"/>
    </row>
    <row r="377" spans="1:37" ht="15.75" customHeight="1" x14ac:dyDescent="0.2">
      <c r="A377" s="56"/>
      <c r="C377" s="56"/>
      <c r="AB377" s="56"/>
      <c r="AC377" s="56"/>
      <c r="AD377" s="58"/>
      <c r="AE377" s="56"/>
      <c r="AF377" s="56"/>
      <c r="AG377" s="56"/>
      <c r="AH377" s="56"/>
      <c r="AI377" s="56"/>
      <c r="AJ377" s="56"/>
      <c r="AK377" s="56"/>
    </row>
    <row r="378" spans="1:37" ht="15.75" customHeight="1" x14ac:dyDescent="0.2">
      <c r="A378" s="56"/>
      <c r="C378" s="56"/>
      <c r="AB378" s="56"/>
      <c r="AC378" s="56"/>
      <c r="AD378" s="58"/>
      <c r="AE378" s="56"/>
      <c r="AF378" s="56"/>
      <c r="AG378" s="56"/>
      <c r="AH378" s="56"/>
      <c r="AI378" s="56"/>
      <c r="AJ378" s="56"/>
      <c r="AK378" s="56"/>
    </row>
    <row r="379" spans="1:37" ht="15.75" customHeight="1" x14ac:dyDescent="0.2">
      <c r="A379" s="56"/>
      <c r="C379" s="56"/>
      <c r="AB379" s="56"/>
      <c r="AC379" s="56"/>
      <c r="AD379" s="58"/>
      <c r="AE379" s="56"/>
      <c r="AF379" s="56"/>
      <c r="AG379" s="56"/>
      <c r="AH379" s="56"/>
      <c r="AI379" s="56"/>
      <c r="AJ379" s="56"/>
      <c r="AK379" s="56"/>
    </row>
    <row r="380" spans="1:37" ht="15.75" customHeight="1" x14ac:dyDescent="0.2">
      <c r="A380" s="56"/>
      <c r="C380" s="56"/>
      <c r="AB380" s="56"/>
      <c r="AC380" s="56"/>
      <c r="AD380" s="58"/>
      <c r="AE380" s="56"/>
      <c r="AF380" s="56"/>
      <c r="AG380" s="56"/>
      <c r="AH380" s="56"/>
      <c r="AI380" s="56"/>
      <c r="AJ380" s="56"/>
      <c r="AK380" s="56"/>
    </row>
    <row r="381" spans="1:37" ht="15.75" customHeight="1" x14ac:dyDescent="0.2">
      <c r="A381" s="56"/>
      <c r="C381" s="56"/>
      <c r="AB381" s="56"/>
      <c r="AC381" s="56"/>
      <c r="AD381" s="58"/>
      <c r="AE381" s="56"/>
      <c r="AF381" s="56"/>
      <c r="AG381" s="56"/>
      <c r="AH381" s="56"/>
      <c r="AI381" s="56"/>
      <c r="AJ381" s="56"/>
      <c r="AK381" s="56"/>
    </row>
    <row r="382" spans="1:37" ht="15.75" customHeight="1" x14ac:dyDescent="0.2">
      <c r="A382" s="56"/>
      <c r="C382" s="56"/>
      <c r="AB382" s="56"/>
      <c r="AC382" s="56"/>
      <c r="AD382" s="58"/>
      <c r="AE382" s="56"/>
      <c r="AF382" s="56"/>
      <c r="AG382" s="56"/>
      <c r="AH382" s="56"/>
      <c r="AI382" s="56"/>
      <c r="AJ382" s="56"/>
      <c r="AK382" s="56"/>
    </row>
    <row r="383" spans="1:37" ht="15.75" customHeight="1" x14ac:dyDescent="0.2">
      <c r="A383" s="56"/>
      <c r="C383" s="56"/>
      <c r="AB383" s="56"/>
      <c r="AC383" s="56"/>
      <c r="AD383" s="58"/>
      <c r="AE383" s="56"/>
      <c r="AF383" s="56"/>
      <c r="AG383" s="56"/>
      <c r="AH383" s="56"/>
      <c r="AI383" s="56"/>
      <c r="AJ383" s="56"/>
      <c r="AK383" s="56"/>
    </row>
    <row r="384" spans="1:37" ht="15.75" customHeight="1" x14ac:dyDescent="0.2">
      <c r="A384" s="56"/>
      <c r="C384" s="56"/>
      <c r="AB384" s="56"/>
      <c r="AC384" s="56"/>
      <c r="AD384" s="58"/>
      <c r="AE384" s="56"/>
      <c r="AF384" s="56"/>
      <c r="AG384" s="56"/>
      <c r="AH384" s="56"/>
      <c r="AI384" s="56"/>
      <c r="AJ384" s="56"/>
      <c r="AK384" s="56"/>
    </row>
    <row r="385" spans="1:37" ht="15.75" customHeight="1" x14ac:dyDescent="0.2">
      <c r="A385" s="56"/>
      <c r="C385" s="56"/>
      <c r="AB385" s="56"/>
      <c r="AC385" s="56"/>
      <c r="AD385" s="58"/>
      <c r="AE385" s="56"/>
      <c r="AF385" s="56"/>
      <c r="AG385" s="56"/>
      <c r="AH385" s="56"/>
      <c r="AI385" s="56"/>
      <c r="AJ385" s="56"/>
      <c r="AK385" s="56"/>
    </row>
    <row r="386" spans="1:37" ht="15.75" customHeight="1" x14ac:dyDescent="0.2">
      <c r="A386" s="56"/>
      <c r="C386" s="56"/>
      <c r="AB386" s="56"/>
      <c r="AC386" s="56"/>
      <c r="AD386" s="58"/>
      <c r="AE386" s="56"/>
      <c r="AF386" s="56"/>
      <c r="AG386" s="56"/>
      <c r="AH386" s="56"/>
      <c r="AI386" s="56"/>
      <c r="AJ386" s="56"/>
      <c r="AK386" s="56"/>
    </row>
    <row r="387" spans="1:37" ht="15.75" customHeight="1" x14ac:dyDescent="0.2">
      <c r="A387" s="56"/>
      <c r="C387" s="56"/>
      <c r="AB387" s="56"/>
      <c r="AC387" s="56"/>
      <c r="AD387" s="58"/>
      <c r="AE387" s="56"/>
      <c r="AF387" s="56"/>
      <c r="AG387" s="56"/>
      <c r="AH387" s="56"/>
      <c r="AI387" s="56"/>
      <c r="AJ387" s="56"/>
      <c r="AK387" s="56"/>
    </row>
    <row r="388" spans="1:37" ht="15.75" customHeight="1" x14ac:dyDescent="0.2">
      <c r="A388" s="56"/>
      <c r="C388" s="56"/>
      <c r="AB388" s="56"/>
      <c r="AC388" s="56"/>
      <c r="AD388" s="58"/>
      <c r="AE388" s="56"/>
      <c r="AF388" s="56"/>
      <c r="AG388" s="56"/>
      <c r="AH388" s="56"/>
      <c r="AI388" s="56"/>
      <c r="AJ388" s="56"/>
      <c r="AK388" s="56"/>
    </row>
    <row r="389" spans="1:37" ht="15.75" customHeight="1" x14ac:dyDescent="0.2">
      <c r="A389" s="56"/>
      <c r="C389" s="56"/>
      <c r="AB389" s="56"/>
      <c r="AC389" s="56"/>
      <c r="AD389" s="58"/>
      <c r="AE389" s="56"/>
      <c r="AF389" s="56"/>
      <c r="AG389" s="56"/>
      <c r="AH389" s="56"/>
      <c r="AI389" s="56"/>
      <c r="AJ389" s="56"/>
      <c r="AK389" s="56"/>
    </row>
    <row r="390" spans="1:37" ht="15.75" customHeight="1" x14ac:dyDescent="0.2">
      <c r="A390" s="56"/>
      <c r="C390" s="56"/>
      <c r="AB390" s="56"/>
      <c r="AC390" s="56"/>
      <c r="AD390" s="58"/>
      <c r="AE390" s="56"/>
      <c r="AF390" s="56"/>
      <c r="AG390" s="56"/>
      <c r="AH390" s="56"/>
      <c r="AI390" s="56"/>
      <c r="AJ390" s="56"/>
      <c r="AK390" s="56"/>
    </row>
    <row r="391" spans="1:37" ht="15.75" customHeight="1" x14ac:dyDescent="0.2">
      <c r="A391" s="56"/>
      <c r="C391" s="56"/>
      <c r="AB391" s="56"/>
      <c r="AC391" s="56"/>
      <c r="AD391" s="58"/>
      <c r="AE391" s="56"/>
      <c r="AF391" s="56"/>
      <c r="AG391" s="56"/>
      <c r="AH391" s="56"/>
      <c r="AI391" s="56"/>
      <c r="AJ391" s="56"/>
      <c r="AK391" s="56"/>
    </row>
    <row r="392" spans="1:37" ht="15.75" customHeight="1" x14ac:dyDescent="0.2">
      <c r="A392" s="56"/>
      <c r="C392" s="56"/>
      <c r="AB392" s="56"/>
      <c r="AC392" s="56"/>
      <c r="AD392" s="58"/>
      <c r="AE392" s="56"/>
      <c r="AF392" s="56"/>
      <c r="AG392" s="56"/>
      <c r="AH392" s="56"/>
      <c r="AI392" s="56"/>
      <c r="AJ392" s="56"/>
      <c r="AK392" s="56"/>
    </row>
    <row r="393" spans="1:37" ht="15.75" customHeight="1" x14ac:dyDescent="0.2">
      <c r="A393" s="56"/>
      <c r="C393" s="56"/>
      <c r="AB393" s="56"/>
      <c r="AC393" s="56"/>
      <c r="AD393" s="58"/>
      <c r="AE393" s="56"/>
      <c r="AF393" s="56"/>
      <c r="AG393" s="56"/>
      <c r="AH393" s="56"/>
      <c r="AI393" s="56"/>
      <c r="AJ393" s="56"/>
      <c r="AK393" s="56"/>
    </row>
    <row r="394" spans="1:37" ht="15.75" customHeight="1" x14ac:dyDescent="0.2">
      <c r="A394" s="56"/>
      <c r="C394" s="56"/>
      <c r="AB394" s="56"/>
      <c r="AC394" s="56"/>
      <c r="AD394" s="58"/>
      <c r="AE394" s="56"/>
      <c r="AF394" s="56"/>
      <c r="AG394" s="56"/>
      <c r="AH394" s="56"/>
      <c r="AI394" s="56"/>
      <c r="AJ394" s="56"/>
      <c r="AK394" s="56"/>
    </row>
    <row r="395" spans="1:37" ht="15.75" customHeight="1" x14ac:dyDescent="0.2">
      <c r="A395" s="56"/>
      <c r="C395" s="56"/>
      <c r="AB395" s="56"/>
      <c r="AC395" s="56"/>
      <c r="AD395" s="58"/>
      <c r="AE395" s="56"/>
      <c r="AF395" s="56"/>
      <c r="AG395" s="56"/>
      <c r="AH395" s="56"/>
      <c r="AI395" s="56"/>
      <c r="AJ395" s="56"/>
      <c r="AK395" s="56"/>
    </row>
    <row r="396" spans="1:37" ht="15.75" customHeight="1" x14ac:dyDescent="0.2">
      <c r="A396" s="56"/>
      <c r="C396" s="56"/>
      <c r="AB396" s="56"/>
      <c r="AC396" s="56"/>
      <c r="AD396" s="58"/>
      <c r="AE396" s="56"/>
      <c r="AF396" s="56"/>
      <c r="AG396" s="56"/>
      <c r="AH396" s="56"/>
      <c r="AI396" s="56"/>
      <c r="AJ396" s="56"/>
      <c r="AK396" s="56"/>
    </row>
    <row r="397" spans="1:37" ht="15.75" customHeight="1" x14ac:dyDescent="0.2">
      <c r="A397" s="56"/>
      <c r="C397" s="56"/>
      <c r="AB397" s="56"/>
      <c r="AC397" s="56"/>
      <c r="AD397" s="58"/>
      <c r="AE397" s="56"/>
      <c r="AF397" s="56"/>
      <c r="AG397" s="56"/>
      <c r="AH397" s="56"/>
      <c r="AI397" s="56"/>
      <c r="AJ397" s="56"/>
      <c r="AK397" s="56"/>
    </row>
    <row r="398" spans="1:37" ht="15.75" customHeight="1" x14ac:dyDescent="0.2">
      <c r="A398" s="56"/>
      <c r="C398" s="56"/>
      <c r="AB398" s="56"/>
      <c r="AC398" s="56"/>
      <c r="AD398" s="58"/>
      <c r="AE398" s="56"/>
      <c r="AF398" s="56"/>
      <c r="AG398" s="56"/>
      <c r="AH398" s="56"/>
      <c r="AI398" s="56"/>
      <c r="AJ398" s="56"/>
      <c r="AK398" s="56"/>
    </row>
    <row r="399" spans="1:37" ht="15.75" customHeight="1" x14ac:dyDescent="0.2">
      <c r="A399" s="56"/>
      <c r="C399" s="56"/>
      <c r="AB399" s="56"/>
      <c r="AC399" s="56"/>
      <c r="AD399" s="58"/>
      <c r="AE399" s="56"/>
      <c r="AF399" s="56"/>
      <c r="AG399" s="56"/>
      <c r="AH399" s="56"/>
      <c r="AI399" s="56"/>
      <c r="AJ399" s="56"/>
      <c r="AK399" s="56"/>
    </row>
    <row r="400" spans="1:37" ht="15.75" customHeight="1" x14ac:dyDescent="0.2">
      <c r="A400" s="56"/>
      <c r="C400" s="56"/>
      <c r="AB400" s="56"/>
      <c r="AC400" s="56"/>
      <c r="AD400" s="58"/>
      <c r="AE400" s="56"/>
      <c r="AF400" s="56"/>
      <c r="AG400" s="56"/>
      <c r="AH400" s="56"/>
      <c r="AI400" s="56"/>
      <c r="AJ400" s="56"/>
      <c r="AK400" s="56"/>
    </row>
    <row r="401" spans="1:37" ht="15.75" customHeight="1" x14ac:dyDescent="0.2">
      <c r="A401" s="56"/>
      <c r="C401" s="56"/>
      <c r="AB401" s="56"/>
      <c r="AC401" s="56"/>
      <c r="AD401" s="58"/>
      <c r="AE401" s="56"/>
      <c r="AF401" s="56"/>
      <c r="AG401" s="56"/>
      <c r="AH401" s="56"/>
      <c r="AI401" s="56"/>
      <c r="AJ401" s="56"/>
      <c r="AK401" s="56"/>
    </row>
    <row r="402" spans="1:37" ht="15.75" customHeight="1" x14ac:dyDescent="0.2">
      <c r="A402" s="56"/>
      <c r="C402" s="56"/>
      <c r="AB402" s="56"/>
      <c r="AC402" s="56"/>
      <c r="AD402" s="58"/>
      <c r="AE402" s="56"/>
      <c r="AF402" s="56"/>
      <c r="AG402" s="56"/>
      <c r="AH402" s="56"/>
      <c r="AI402" s="56"/>
      <c r="AJ402" s="56"/>
      <c r="AK402" s="56"/>
    </row>
    <row r="403" spans="1:37" ht="15.75" customHeight="1" x14ac:dyDescent="0.2">
      <c r="A403" s="56"/>
      <c r="C403" s="56"/>
      <c r="AB403" s="56"/>
      <c r="AC403" s="56"/>
      <c r="AD403" s="58"/>
      <c r="AE403" s="56"/>
      <c r="AF403" s="56"/>
      <c r="AG403" s="56"/>
      <c r="AH403" s="56"/>
      <c r="AI403" s="56"/>
      <c r="AJ403" s="56"/>
      <c r="AK403" s="56"/>
    </row>
    <row r="404" spans="1:37" ht="15.75" customHeight="1" x14ac:dyDescent="0.2">
      <c r="A404" s="56"/>
      <c r="C404" s="56"/>
      <c r="AB404" s="56"/>
      <c r="AC404" s="56"/>
      <c r="AD404" s="58"/>
      <c r="AE404" s="56"/>
      <c r="AF404" s="56"/>
      <c r="AG404" s="56"/>
      <c r="AH404" s="56"/>
      <c r="AI404" s="56"/>
      <c r="AJ404" s="56"/>
      <c r="AK404" s="56"/>
    </row>
    <row r="405" spans="1:37" ht="15.75" customHeight="1" x14ac:dyDescent="0.2">
      <c r="A405" s="56"/>
      <c r="C405" s="56"/>
      <c r="AB405" s="56"/>
      <c r="AC405" s="56"/>
      <c r="AD405" s="58"/>
      <c r="AE405" s="56"/>
      <c r="AF405" s="56"/>
      <c r="AG405" s="56"/>
      <c r="AH405" s="56"/>
      <c r="AI405" s="56"/>
      <c r="AJ405" s="56"/>
      <c r="AK405" s="56"/>
    </row>
    <row r="406" spans="1:37" ht="15.75" customHeight="1" x14ac:dyDescent="0.2">
      <c r="A406" s="56"/>
      <c r="C406" s="56"/>
      <c r="AB406" s="56"/>
      <c r="AC406" s="56"/>
      <c r="AD406" s="58"/>
      <c r="AE406" s="56"/>
      <c r="AF406" s="56"/>
      <c r="AG406" s="56"/>
      <c r="AH406" s="56"/>
      <c r="AI406" s="56"/>
      <c r="AJ406" s="56"/>
      <c r="AK406" s="56"/>
    </row>
    <row r="407" spans="1:37" ht="15.75" customHeight="1" x14ac:dyDescent="0.2">
      <c r="A407" s="56"/>
      <c r="C407" s="56"/>
      <c r="AB407" s="56"/>
      <c r="AC407" s="56"/>
      <c r="AD407" s="58"/>
      <c r="AE407" s="56"/>
      <c r="AF407" s="56"/>
      <c r="AG407" s="56"/>
      <c r="AH407" s="56"/>
      <c r="AI407" s="56"/>
      <c r="AJ407" s="56"/>
      <c r="AK407" s="56"/>
    </row>
    <row r="408" spans="1:37" ht="15.75" customHeight="1" x14ac:dyDescent="0.2">
      <c r="A408" s="56"/>
      <c r="C408" s="56"/>
      <c r="AB408" s="56"/>
      <c r="AC408" s="56"/>
      <c r="AD408" s="58"/>
      <c r="AE408" s="56"/>
      <c r="AF408" s="56"/>
      <c r="AG408" s="56"/>
      <c r="AH408" s="56"/>
      <c r="AI408" s="56"/>
      <c r="AJ408" s="56"/>
      <c r="AK408" s="56"/>
    </row>
    <row r="409" spans="1:37" ht="15.75" customHeight="1" x14ac:dyDescent="0.2">
      <c r="A409" s="56"/>
      <c r="C409" s="56"/>
      <c r="AB409" s="56"/>
      <c r="AC409" s="56"/>
      <c r="AD409" s="58"/>
      <c r="AE409" s="56"/>
      <c r="AF409" s="56"/>
      <c r="AG409" s="56"/>
      <c r="AH409" s="56"/>
      <c r="AI409" s="56"/>
      <c r="AJ409" s="56"/>
      <c r="AK409" s="56"/>
    </row>
    <row r="410" spans="1:37" ht="15.75" customHeight="1" x14ac:dyDescent="0.2">
      <c r="A410" s="56"/>
      <c r="C410" s="56"/>
      <c r="AB410" s="56"/>
      <c r="AC410" s="56"/>
      <c r="AD410" s="58"/>
      <c r="AE410" s="56"/>
      <c r="AF410" s="56"/>
      <c r="AG410" s="56"/>
      <c r="AH410" s="56"/>
      <c r="AI410" s="56"/>
      <c r="AJ410" s="56"/>
      <c r="AK410" s="56"/>
    </row>
    <row r="411" spans="1:37" ht="15.75" customHeight="1" x14ac:dyDescent="0.2">
      <c r="A411" s="56"/>
      <c r="C411" s="56"/>
      <c r="AB411" s="56"/>
      <c r="AC411" s="56"/>
      <c r="AD411" s="58"/>
      <c r="AE411" s="56"/>
      <c r="AF411" s="56"/>
      <c r="AG411" s="56"/>
      <c r="AH411" s="56"/>
      <c r="AI411" s="56"/>
      <c r="AJ411" s="56"/>
      <c r="AK411" s="56"/>
    </row>
    <row r="412" spans="1:37" ht="15.75" customHeight="1" x14ac:dyDescent="0.2">
      <c r="A412" s="56"/>
      <c r="C412" s="56"/>
      <c r="AB412" s="56"/>
      <c r="AC412" s="56"/>
      <c r="AD412" s="58"/>
      <c r="AE412" s="56"/>
      <c r="AF412" s="56"/>
      <c r="AG412" s="56"/>
      <c r="AH412" s="56"/>
      <c r="AI412" s="56"/>
      <c r="AJ412" s="56"/>
      <c r="AK412" s="56"/>
    </row>
    <row r="413" spans="1:37" ht="15.75" customHeight="1" x14ac:dyDescent="0.2">
      <c r="A413" s="56"/>
      <c r="C413" s="56"/>
      <c r="AB413" s="56"/>
      <c r="AC413" s="56"/>
      <c r="AD413" s="58"/>
      <c r="AE413" s="56"/>
      <c r="AF413" s="56"/>
      <c r="AG413" s="56"/>
      <c r="AH413" s="56"/>
      <c r="AI413" s="56"/>
      <c r="AJ413" s="56"/>
      <c r="AK413" s="56"/>
    </row>
    <row r="414" spans="1:37" ht="15.75" customHeight="1" x14ac:dyDescent="0.2">
      <c r="A414" s="56"/>
      <c r="C414" s="56"/>
      <c r="AB414" s="56"/>
      <c r="AC414" s="56"/>
      <c r="AD414" s="58"/>
      <c r="AE414" s="56"/>
      <c r="AF414" s="56"/>
      <c r="AG414" s="56"/>
      <c r="AH414" s="56"/>
      <c r="AI414" s="56"/>
      <c r="AJ414" s="56"/>
      <c r="AK414" s="56"/>
    </row>
    <row r="415" spans="1:37" ht="15.75" customHeight="1" x14ac:dyDescent="0.2">
      <c r="A415" s="56"/>
      <c r="C415" s="56"/>
      <c r="AB415" s="56"/>
      <c r="AC415" s="56"/>
      <c r="AD415" s="58"/>
      <c r="AE415" s="56"/>
      <c r="AF415" s="56"/>
      <c r="AG415" s="56"/>
      <c r="AH415" s="56"/>
      <c r="AI415" s="56"/>
      <c r="AJ415" s="56"/>
      <c r="AK415" s="56"/>
    </row>
    <row r="416" spans="1:37" ht="15.75" customHeight="1" x14ac:dyDescent="0.2">
      <c r="A416" s="56"/>
      <c r="C416" s="56"/>
      <c r="AB416" s="56"/>
      <c r="AC416" s="56"/>
      <c r="AD416" s="58"/>
      <c r="AE416" s="56"/>
      <c r="AF416" s="56"/>
      <c r="AG416" s="56"/>
      <c r="AH416" s="56"/>
      <c r="AI416" s="56"/>
      <c r="AJ416" s="56"/>
      <c r="AK416" s="56"/>
    </row>
    <row r="417" spans="1:37" ht="15.75" customHeight="1" x14ac:dyDescent="0.2">
      <c r="A417" s="56"/>
      <c r="C417" s="56"/>
      <c r="AB417" s="56"/>
      <c r="AC417" s="56"/>
      <c r="AD417" s="58"/>
      <c r="AE417" s="56"/>
      <c r="AF417" s="56"/>
      <c r="AG417" s="56"/>
      <c r="AH417" s="56"/>
      <c r="AI417" s="56"/>
      <c r="AJ417" s="56"/>
      <c r="AK417" s="56"/>
    </row>
    <row r="418" spans="1:37" ht="15.75" customHeight="1" x14ac:dyDescent="0.2">
      <c r="A418" s="56"/>
      <c r="C418" s="56"/>
      <c r="AB418" s="56"/>
      <c r="AC418" s="56"/>
      <c r="AD418" s="58"/>
      <c r="AE418" s="56"/>
      <c r="AF418" s="56"/>
      <c r="AG418" s="56"/>
      <c r="AH418" s="56"/>
      <c r="AI418" s="56"/>
      <c r="AJ418" s="56"/>
      <c r="AK418" s="56"/>
    </row>
    <row r="419" spans="1:37" ht="15.75" customHeight="1" x14ac:dyDescent="0.2">
      <c r="A419" s="56"/>
      <c r="C419" s="56"/>
      <c r="AB419" s="56"/>
      <c r="AC419" s="56"/>
      <c r="AD419" s="58"/>
      <c r="AE419" s="56"/>
      <c r="AF419" s="56"/>
      <c r="AG419" s="56"/>
      <c r="AH419" s="56"/>
      <c r="AI419" s="56"/>
      <c r="AJ419" s="56"/>
      <c r="AK419" s="56"/>
    </row>
    <row r="420" spans="1:37" ht="15.75" customHeight="1" x14ac:dyDescent="0.2">
      <c r="A420" s="56"/>
      <c r="C420" s="56"/>
      <c r="AB420" s="56"/>
      <c r="AC420" s="56"/>
      <c r="AD420" s="58"/>
      <c r="AE420" s="56"/>
      <c r="AF420" s="56"/>
      <c r="AG420" s="56"/>
      <c r="AH420" s="56"/>
      <c r="AI420" s="56"/>
      <c r="AJ420" s="56"/>
      <c r="AK420" s="56"/>
    </row>
    <row r="421" spans="1:37" ht="15.75" customHeight="1" x14ac:dyDescent="0.2">
      <c r="A421" s="56"/>
      <c r="C421" s="56"/>
      <c r="AB421" s="56"/>
      <c r="AC421" s="56"/>
      <c r="AD421" s="58"/>
      <c r="AE421" s="56"/>
      <c r="AF421" s="56"/>
      <c r="AG421" s="56"/>
      <c r="AH421" s="56"/>
      <c r="AI421" s="56"/>
      <c r="AJ421" s="56"/>
      <c r="AK421" s="56"/>
    </row>
    <row r="422" spans="1:37" ht="15.75" customHeight="1" x14ac:dyDescent="0.2">
      <c r="A422" s="56"/>
      <c r="C422" s="56"/>
      <c r="AB422" s="56"/>
      <c r="AC422" s="56"/>
      <c r="AD422" s="58"/>
      <c r="AE422" s="56"/>
      <c r="AF422" s="56"/>
      <c r="AG422" s="56"/>
      <c r="AH422" s="56"/>
      <c r="AI422" s="56"/>
      <c r="AJ422" s="56"/>
      <c r="AK422" s="56"/>
    </row>
    <row r="423" spans="1:37" ht="15.75" customHeight="1" x14ac:dyDescent="0.2">
      <c r="A423" s="56"/>
      <c r="C423" s="56"/>
      <c r="AB423" s="56"/>
      <c r="AC423" s="56"/>
      <c r="AD423" s="58"/>
      <c r="AE423" s="56"/>
      <c r="AF423" s="56"/>
      <c r="AG423" s="56"/>
      <c r="AH423" s="56"/>
      <c r="AI423" s="56"/>
      <c r="AJ423" s="56"/>
      <c r="AK423" s="56"/>
    </row>
    <row r="424" spans="1:37" ht="15.75" customHeight="1" x14ac:dyDescent="0.2">
      <c r="A424" s="56"/>
      <c r="C424" s="56"/>
      <c r="AB424" s="56"/>
      <c r="AC424" s="56"/>
      <c r="AD424" s="58"/>
      <c r="AE424" s="56"/>
      <c r="AF424" s="56"/>
      <c r="AG424" s="56"/>
      <c r="AH424" s="56"/>
      <c r="AI424" s="56"/>
      <c r="AJ424" s="56"/>
      <c r="AK424" s="56"/>
    </row>
    <row r="425" spans="1:37" ht="15.75" customHeight="1" x14ac:dyDescent="0.2">
      <c r="A425" s="56"/>
      <c r="C425" s="56"/>
      <c r="AB425" s="56"/>
      <c r="AC425" s="56"/>
      <c r="AD425" s="58"/>
      <c r="AE425" s="56"/>
      <c r="AF425" s="56"/>
      <c r="AG425" s="56"/>
      <c r="AH425" s="56"/>
      <c r="AI425" s="56"/>
      <c r="AJ425" s="56"/>
      <c r="AK425" s="56"/>
    </row>
    <row r="426" spans="1:37" ht="15.75" customHeight="1" x14ac:dyDescent="0.2">
      <c r="A426" s="56"/>
      <c r="C426" s="56"/>
      <c r="AB426" s="56"/>
      <c r="AC426" s="56"/>
      <c r="AD426" s="58"/>
      <c r="AE426" s="56"/>
      <c r="AF426" s="56"/>
      <c r="AG426" s="56"/>
      <c r="AH426" s="56"/>
      <c r="AI426" s="56"/>
      <c r="AJ426" s="56"/>
      <c r="AK426" s="56"/>
    </row>
    <row r="427" spans="1:37" ht="15.75" customHeight="1" x14ac:dyDescent="0.2">
      <c r="A427" s="56"/>
      <c r="C427" s="56"/>
      <c r="AB427" s="56"/>
      <c r="AC427" s="56"/>
      <c r="AD427" s="58"/>
      <c r="AE427" s="56"/>
      <c r="AF427" s="56"/>
      <c r="AG427" s="56"/>
      <c r="AH427" s="56"/>
      <c r="AI427" s="56"/>
      <c r="AJ427" s="56"/>
      <c r="AK427" s="56"/>
    </row>
    <row r="428" spans="1:37" ht="15.75" customHeight="1" x14ac:dyDescent="0.2">
      <c r="A428" s="56"/>
      <c r="C428" s="56"/>
      <c r="AB428" s="56"/>
      <c r="AC428" s="56"/>
      <c r="AD428" s="58"/>
      <c r="AE428" s="56"/>
      <c r="AF428" s="56"/>
      <c r="AG428" s="56"/>
      <c r="AH428" s="56"/>
      <c r="AI428" s="56"/>
      <c r="AJ428" s="56"/>
      <c r="AK428" s="56"/>
    </row>
    <row r="429" spans="1:37" ht="15.75" customHeight="1" x14ac:dyDescent="0.2">
      <c r="A429" s="56"/>
      <c r="C429" s="56"/>
      <c r="AB429" s="56"/>
      <c r="AC429" s="56"/>
      <c r="AD429" s="58"/>
      <c r="AE429" s="56"/>
      <c r="AF429" s="56"/>
      <c r="AG429" s="56"/>
      <c r="AH429" s="56"/>
      <c r="AI429" s="56"/>
      <c r="AJ429" s="56"/>
      <c r="AK429" s="56"/>
    </row>
    <row r="430" spans="1:37" ht="15.75" customHeight="1" x14ac:dyDescent="0.2">
      <c r="A430" s="56"/>
      <c r="C430" s="56"/>
      <c r="AB430" s="56"/>
      <c r="AC430" s="56"/>
      <c r="AD430" s="58"/>
      <c r="AE430" s="56"/>
      <c r="AF430" s="56"/>
      <c r="AG430" s="56"/>
      <c r="AH430" s="56"/>
      <c r="AI430" s="56"/>
      <c r="AJ430" s="56"/>
      <c r="AK430" s="56"/>
    </row>
    <row r="431" spans="1:37" ht="15.75" customHeight="1" x14ac:dyDescent="0.2">
      <c r="A431" s="56"/>
      <c r="C431" s="56"/>
      <c r="AB431" s="56"/>
      <c r="AC431" s="56"/>
      <c r="AD431" s="58"/>
      <c r="AE431" s="56"/>
      <c r="AF431" s="56"/>
      <c r="AG431" s="56"/>
      <c r="AH431" s="56"/>
      <c r="AI431" s="56"/>
      <c r="AJ431" s="56"/>
      <c r="AK431" s="56"/>
    </row>
    <row r="432" spans="1:37" ht="15.75" customHeight="1" x14ac:dyDescent="0.2">
      <c r="A432" s="56"/>
      <c r="C432" s="56"/>
      <c r="AB432" s="56"/>
      <c r="AC432" s="56"/>
      <c r="AD432" s="58"/>
      <c r="AE432" s="56"/>
      <c r="AF432" s="56"/>
      <c r="AG432" s="56"/>
      <c r="AH432" s="56"/>
      <c r="AI432" s="56"/>
      <c r="AJ432" s="56"/>
      <c r="AK432" s="56"/>
    </row>
    <row r="433" spans="1:37" ht="15.75" customHeight="1" x14ac:dyDescent="0.2">
      <c r="A433" s="56"/>
      <c r="C433" s="56"/>
      <c r="AB433" s="56"/>
      <c r="AC433" s="56"/>
      <c r="AD433" s="58"/>
      <c r="AE433" s="56"/>
      <c r="AF433" s="56"/>
      <c r="AG433" s="56"/>
      <c r="AH433" s="56"/>
      <c r="AI433" s="56"/>
      <c r="AJ433" s="56"/>
      <c r="AK433" s="56"/>
    </row>
    <row r="434" spans="1:37" ht="15.75" customHeight="1" x14ac:dyDescent="0.2">
      <c r="A434" s="56"/>
      <c r="C434" s="56"/>
      <c r="AB434" s="56"/>
      <c r="AC434" s="56"/>
      <c r="AD434" s="58"/>
      <c r="AE434" s="56"/>
      <c r="AF434" s="56"/>
      <c r="AG434" s="56"/>
      <c r="AH434" s="56"/>
      <c r="AI434" s="56"/>
      <c r="AJ434" s="56"/>
      <c r="AK434" s="56"/>
    </row>
    <row r="435" spans="1:37" ht="15.75" customHeight="1" x14ac:dyDescent="0.2">
      <c r="A435" s="56"/>
      <c r="C435" s="56"/>
      <c r="AB435" s="56"/>
      <c r="AC435" s="56"/>
      <c r="AD435" s="58"/>
      <c r="AE435" s="56"/>
      <c r="AF435" s="56"/>
      <c r="AG435" s="56"/>
      <c r="AH435" s="56"/>
      <c r="AI435" s="56"/>
      <c r="AJ435" s="56"/>
      <c r="AK435" s="56"/>
    </row>
    <row r="436" spans="1:37" ht="15.75" customHeight="1" x14ac:dyDescent="0.2">
      <c r="A436" s="56"/>
      <c r="C436" s="56"/>
      <c r="AB436" s="56"/>
      <c r="AC436" s="56"/>
      <c r="AD436" s="58"/>
      <c r="AE436" s="56"/>
      <c r="AF436" s="56"/>
      <c r="AG436" s="56"/>
      <c r="AH436" s="56"/>
      <c r="AI436" s="56"/>
      <c r="AJ436" s="56"/>
      <c r="AK436" s="56"/>
    </row>
    <row r="437" spans="1:37" ht="15.75" customHeight="1" x14ac:dyDescent="0.2">
      <c r="A437" s="56"/>
      <c r="C437" s="56"/>
      <c r="AB437" s="56"/>
      <c r="AC437" s="56"/>
      <c r="AD437" s="58"/>
      <c r="AE437" s="56"/>
      <c r="AF437" s="56"/>
      <c r="AG437" s="56"/>
      <c r="AH437" s="56"/>
      <c r="AI437" s="56"/>
      <c r="AJ437" s="56"/>
      <c r="AK437" s="56"/>
    </row>
    <row r="438" spans="1:37" ht="15.75" customHeight="1" x14ac:dyDescent="0.2">
      <c r="A438" s="56"/>
      <c r="C438" s="56"/>
      <c r="AB438" s="56"/>
      <c r="AC438" s="56"/>
      <c r="AD438" s="58"/>
      <c r="AE438" s="56"/>
      <c r="AF438" s="56"/>
      <c r="AG438" s="56"/>
      <c r="AH438" s="56"/>
      <c r="AI438" s="56"/>
      <c r="AJ438" s="56"/>
      <c r="AK438" s="56"/>
    </row>
    <row r="439" spans="1:37" ht="15.75" customHeight="1" x14ac:dyDescent="0.2">
      <c r="A439" s="56"/>
      <c r="C439" s="56"/>
      <c r="AB439" s="56"/>
      <c r="AC439" s="56"/>
      <c r="AD439" s="58"/>
      <c r="AE439" s="56"/>
      <c r="AF439" s="56"/>
      <c r="AG439" s="56"/>
      <c r="AH439" s="56"/>
      <c r="AI439" s="56"/>
      <c r="AJ439" s="56"/>
      <c r="AK439" s="56"/>
    </row>
    <row r="440" spans="1:37" ht="15.75" customHeight="1" x14ac:dyDescent="0.2">
      <c r="A440" s="56"/>
      <c r="C440" s="56"/>
      <c r="AB440" s="56"/>
      <c r="AC440" s="56"/>
      <c r="AD440" s="58"/>
      <c r="AE440" s="56"/>
      <c r="AF440" s="56"/>
      <c r="AG440" s="56"/>
      <c r="AH440" s="56"/>
      <c r="AI440" s="56"/>
      <c r="AJ440" s="56"/>
      <c r="AK440" s="56"/>
    </row>
    <row r="441" spans="1:37" ht="15.75" customHeight="1" x14ac:dyDescent="0.2">
      <c r="A441" s="56"/>
      <c r="C441" s="56"/>
      <c r="AB441" s="56"/>
      <c r="AC441" s="56"/>
      <c r="AD441" s="58"/>
      <c r="AE441" s="56"/>
      <c r="AF441" s="56"/>
      <c r="AG441" s="56"/>
      <c r="AH441" s="56"/>
      <c r="AI441" s="56"/>
      <c r="AJ441" s="56"/>
      <c r="AK441" s="56"/>
    </row>
    <row r="442" spans="1:37" ht="15.75" customHeight="1" x14ac:dyDescent="0.2">
      <c r="A442" s="56"/>
      <c r="C442" s="56"/>
      <c r="AB442" s="56"/>
      <c r="AC442" s="56"/>
      <c r="AD442" s="58"/>
      <c r="AE442" s="56"/>
      <c r="AF442" s="56"/>
      <c r="AG442" s="56"/>
      <c r="AH442" s="56"/>
      <c r="AI442" s="56"/>
      <c r="AJ442" s="56"/>
      <c r="AK442" s="56"/>
    </row>
    <row r="443" spans="1:37" ht="15.75" customHeight="1" x14ac:dyDescent="0.2">
      <c r="A443" s="56"/>
      <c r="C443" s="56"/>
      <c r="AB443" s="56"/>
      <c r="AC443" s="56"/>
      <c r="AD443" s="58"/>
      <c r="AE443" s="56"/>
      <c r="AF443" s="56"/>
      <c r="AG443" s="56"/>
      <c r="AH443" s="56"/>
      <c r="AI443" s="56"/>
      <c r="AJ443" s="56"/>
      <c r="AK443" s="56"/>
    </row>
    <row r="444" spans="1:37" ht="15.75" customHeight="1" x14ac:dyDescent="0.2">
      <c r="A444" s="56"/>
      <c r="C444" s="56"/>
      <c r="AB444" s="56"/>
      <c r="AC444" s="56"/>
      <c r="AD444" s="58"/>
      <c r="AE444" s="56"/>
      <c r="AF444" s="56"/>
      <c r="AG444" s="56"/>
      <c r="AH444" s="56"/>
      <c r="AI444" s="56"/>
      <c r="AJ444" s="56"/>
      <c r="AK444" s="56"/>
    </row>
    <row r="445" spans="1:37" ht="15.75" customHeight="1" x14ac:dyDescent="0.2">
      <c r="A445" s="56"/>
      <c r="C445" s="56"/>
      <c r="AB445" s="56"/>
      <c r="AC445" s="56"/>
      <c r="AD445" s="58"/>
      <c r="AE445" s="56"/>
      <c r="AF445" s="56"/>
      <c r="AG445" s="56"/>
      <c r="AH445" s="56"/>
      <c r="AI445" s="56"/>
      <c r="AJ445" s="56"/>
      <c r="AK445" s="56"/>
    </row>
    <row r="446" spans="1:37" ht="15.75" customHeight="1" x14ac:dyDescent="0.2">
      <c r="A446" s="56"/>
      <c r="C446" s="56"/>
      <c r="AB446" s="56"/>
      <c r="AC446" s="56"/>
      <c r="AD446" s="58"/>
      <c r="AE446" s="56"/>
      <c r="AF446" s="56"/>
      <c r="AG446" s="56"/>
      <c r="AH446" s="56"/>
      <c r="AI446" s="56"/>
      <c r="AJ446" s="56"/>
      <c r="AK446" s="56"/>
    </row>
    <row r="447" spans="1:37" ht="15.75" customHeight="1" x14ac:dyDescent="0.2">
      <c r="A447" s="56"/>
      <c r="C447" s="56"/>
      <c r="AB447" s="56"/>
      <c r="AC447" s="56"/>
      <c r="AD447" s="58"/>
      <c r="AE447" s="56"/>
      <c r="AF447" s="56"/>
      <c r="AG447" s="56"/>
      <c r="AH447" s="56"/>
      <c r="AI447" s="56"/>
      <c r="AJ447" s="56"/>
      <c r="AK447" s="56"/>
    </row>
    <row r="448" spans="1:37" ht="15.75" customHeight="1" x14ac:dyDescent="0.2">
      <c r="A448" s="56"/>
      <c r="C448" s="56"/>
      <c r="AB448" s="56"/>
      <c r="AC448" s="56"/>
      <c r="AD448" s="58"/>
      <c r="AE448" s="56"/>
      <c r="AF448" s="56"/>
      <c r="AG448" s="56"/>
      <c r="AH448" s="56"/>
      <c r="AI448" s="56"/>
      <c r="AJ448" s="56"/>
      <c r="AK448" s="56"/>
    </row>
    <row r="449" spans="1:37" ht="15.75" customHeight="1" x14ac:dyDescent="0.2">
      <c r="A449" s="56"/>
      <c r="C449" s="56"/>
      <c r="AB449" s="56"/>
      <c r="AC449" s="56"/>
      <c r="AD449" s="58"/>
      <c r="AE449" s="56"/>
      <c r="AF449" s="56"/>
      <c r="AG449" s="56"/>
      <c r="AH449" s="56"/>
      <c r="AI449" s="56"/>
      <c r="AJ449" s="56"/>
      <c r="AK449" s="56"/>
    </row>
    <row r="450" spans="1:37" ht="15.75" customHeight="1" x14ac:dyDescent="0.2">
      <c r="A450" s="56"/>
      <c r="C450" s="56"/>
      <c r="AB450" s="56"/>
      <c r="AC450" s="56"/>
      <c r="AD450" s="58"/>
      <c r="AE450" s="56"/>
      <c r="AF450" s="56"/>
      <c r="AG450" s="56"/>
      <c r="AH450" s="56"/>
      <c r="AI450" s="56"/>
      <c r="AJ450" s="56"/>
      <c r="AK450" s="56"/>
    </row>
    <row r="451" spans="1:37" ht="15.75" customHeight="1" x14ac:dyDescent="0.2">
      <c r="A451" s="56"/>
      <c r="C451" s="56"/>
      <c r="AB451" s="56"/>
      <c r="AC451" s="56"/>
      <c r="AD451" s="58"/>
      <c r="AE451" s="56"/>
      <c r="AF451" s="56"/>
      <c r="AG451" s="56"/>
      <c r="AH451" s="56"/>
      <c r="AI451" s="56"/>
      <c r="AJ451" s="56"/>
      <c r="AK451" s="56"/>
    </row>
    <row r="452" spans="1:37" ht="15.75" customHeight="1" x14ac:dyDescent="0.2">
      <c r="A452" s="56"/>
      <c r="C452" s="56"/>
      <c r="AB452" s="56"/>
      <c r="AC452" s="56"/>
      <c r="AD452" s="58"/>
      <c r="AE452" s="56"/>
      <c r="AF452" s="56"/>
      <c r="AG452" s="56"/>
      <c r="AH452" s="56"/>
      <c r="AI452" s="56"/>
      <c r="AJ452" s="56"/>
      <c r="AK452" s="56"/>
    </row>
    <row r="453" spans="1:37" ht="15.75" customHeight="1" x14ac:dyDescent="0.2">
      <c r="A453" s="56"/>
      <c r="C453" s="56"/>
      <c r="AB453" s="56"/>
      <c r="AC453" s="56"/>
      <c r="AD453" s="58"/>
      <c r="AE453" s="56"/>
      <c r="AF453" s="56"/>
      <c r="AG453" s="56"/>
      <c r="AH453" s="56"/>
      <c r="AI453" s="56"/>
      <c r="AJ453" s="56"/>
      <c r="AK453" s="56"/>
    </row>
    <row r="454" spans="1:37" ht="15.75" customHeight="1" x14ac:dyDescent="0.2">
      <c r="A454" s="56"/>
      <c r="C454" s="56"/>
      <c r="AB454" s="56"/>
      <c r="AC454" s="56"/>
      <c r="AD454" s="58"/>
      <c r="AE454" s="56"/>
      <c r="AF454" s="56"/>
      <c r="AG454" s="56"/>
      <c r="AH454" s="56"/>
      <c r="AI454" s="56"/>
      <c r="AJ454" s="56"/>
      <c r="AK454" s="56"/>
    </row>
    <row r="455" spans="1:37" ht="15.75" customHeight="1" x14ac:dyDescent="0.2">
      <c r="A455" s="56"/>
      <c r="C455" s="56"/>
      <c r="AB455" s="56"/>
      <c r="AC455" s="56"/>
      <c r="AD455" s="58"/>
      <c r="AE455" s="56"/>
      <c r="AF455" s="56"/>
      <c r="AG455" s="56"/>
      <c r="AH455" s="56"/>
      <c r="AI455" s="56"/>
      <c r="AJ455" s="56"/>
      <c r="AK455" s="56"/>
    </row>
    <row r="456" spans="1:37" ht="15.75" customHeight="1" x14ac:dyDescent="0.2">
      <c r="A456" s="56"/>
      <c r="C456" s="56"/>
      <c r="AB456" s="56"/>
      <c r="AC456" s="56"/>
      <c r="AD456" s="58"/>
      <c r="AE456" s="56"/>
      <c r="AF456" s="56"/>
      <c r="AG456" s="56"/>
      <c r="AH456" s="56"/>
      <c r="AI456" s="56"/>
      <c r="AJ456" s="56"/>
      <c r="AK456" s="56"/>
    </row>
    <row r="457" spans="1:37" ht="15.75" customHeight="1" x14ac:dyDescent="0.2">
      <c r="A457" s="56"/>
      <c r="C457" s="56"/>
      <c r="AB457" s="56"/>
      <c r="AC457" s="56"/>
      <c r="AD457" s="58"/>
      <c r="AE457" s="56"/>
      <c r="AF457" s="56"/>
      <c r="AG457" s="56"/>
      <c r="AH457" s="56"/>
      <c r="AI457" s="56"/>
      <c r="AJ457" s="56"/>
      <c r="AK457" s="56"/>
    </row>
    <row r="458" spans="1:37" ht="15.75" customHeight="1" x14ac:dyDescent="0.2">
      <c r="A458" s="56"/>
      <c r="C458" s="56"/>
      <c r="AB458" s="56"/>
      <c r="AC458" s="56"/>
      <c r="AD458" s="58"/>
      <c r="AE458" s="56"/>
      <c r="AF458" s="56"/>
      <c r="AG458" s="56"/>
      <c r="AH458" s="56"/>
      <c r="AI458" s="56"/>
      <c r="AJ458" s="56"/>
      <c r="AK458" s="56"/>
    </row>
    <row r="459" spans="1:37" ht="15.75" customHeight="1" x14ac:dyDescent="0.2">
      <c r="A459" s="56"/>
      <c r="C459" s="56"/>
      <c r="AB459" s="56"/>
      <c r="AC459" s="56"/>
      <c r="AD459" s="58"/>
      <c r="AE459" s="56"/>
      <c r="AF459" s="56"/>
      <c r="AG459" s="56"/>
      <c r="AH459" s="56"/>
      <c r="AI459" s="56"/>
      <c r="AJ459" s="56"/>
      <c r="AK459" s="56"/>
    </row>
    <row r="460" spans="1:37" ht="15.75" customHeight="1" x14ac:dyDescent="0.2">
      <c r="A460" s="56"/>
      <c r="C460" s="56"/>
      <c r="AB460" s="56"/>
      <c r="AC460" s="56"/>
      <c r="AD460" s="58"/>
      <c r="AE460" s="56"/>
      <c r="AF460" s="56"/>
      <c r="AG460" s="56"/>
      <c r="AH460" s="56"/>
      <c r="AI460" s="56"/>
      <c r="AJ460" s="56"/>
      <c r="AK460" s="56"/>
    </row>
    <row r="461" spans="1:37" ht="15.75" customHeight="1" x14ac:dyDescent="0.2">
      <c r="A461" s="56"/>
      <c r="C461" s="56"/>
      <c r="AB461" s="56"/>
      <c r="AC461" s="56"/>
      <c r="AD461" s="58"/>
      <c r="AE461" s="56"/>
      <c r="AF461" s="56"/>
      <c r="AG461" s="56"/>
      <c r="AH461" s="56"/>
      <c r="AI461" s="56"/>
      <c r="AJ461" s="56"/>
      <c r="AK461" s="56"/>
    </row>
    <row r="462" spans="1:37" ht="15.75" customHeight="1" x14ac:dyDescent="0.2">
      <c r="A462" s="56"/>
      <c r="C462" s="56"/>
      <c r="AB462" s="56"/>
      <c r="AC462" s="56"/>
      <c r="AD462" s="58"/>
      <c r="AE462" s="56"/>
      <c r="AF462" s="56"/>
      <c r="AG462" s="56"/>
      <c r="AH462" s="56"/>
      <c r="AI462" s="56"/>
      <c r="AJ462" s="56"/>
      <c r="AK462" s="56"/>
    </row>
    <row r="463" spans="1:37" ht="15.75" customHeight="1" x14ac:dyDescent="0.2">
      <c r="A463" s="56"/>
      <c r="C463" s="56"/>
      <c r="AB463" s="56"/>
      <c r="AC463" s="56"/>
      <c r="AD463" s="58"/>
      <c r="AE463" s="56"/>
      <c r="AF463" s="56"/>
      <c r="AG463" s="56"/>
      <c r="AH463" s="56"/>
      <c r="AI463" s="56"/>
      <c r="AJ463" s="56"/>
      <c r="AK463" s="56"/>
    </row>
    <row r="464" spans="1:37" ht="15.75" customHeight="1" x14ac:dyDescent="0.2">
      <c r="A464" s="56"/>
      <c r="C464" s="56"/>
      <c r="AB464" s="56"/>
      <c r="AC464" s="56"/>
      <c r="AD464" s="58"/>
      <c r="AE464" s="56"/>
      <c r="AF464" s="56"/>
      <c r="AG464" s="56"/>
      <c r="AH464" s="56"/>
      <c r="AI464" s="56"/>
      <c r="AJ464" s="56"/>
      <c r="AK464" s="56"/>
    </row>
    <row r="465" spans="1:37" ht="15.75" customHeight="1" x14ac:dyDescent="0.2">
      <c r="A465" s="56"/>
      <c r="C465" s="56"/>
      <c r="AB465" s="56"/>
      <c r="AC465" s="56"/>
      <c r="AD465" s="58"/>
      <c r="AE465" s="56"/>
      <c r="AF465" s="56"/>
      <c r="AG465" s="56"/>
      <c r="AH465" s="56"/>
      <c r="AI465" s="56"/>
      <c r="AJ465" s="56"/>
      <c r="AK465" s="56"/>
    </row>
    <row r="466" spans="1:37" ht="15.75" customHeight="1" x14ac:dyDescent="0.2">
      <c r="A466" s="56"/>
      <c r="C466" s="56"/>
      <c r="AB466" s="56"/>
      <c r="AC466" s="56"/>
      <c r="AD466" s="58"/>
      <c r="AE466" s="56"/>
      <c r="AF466" s="56"/>
      <c r="AG466" s="56"/>
      <c r="AH466" s="56"/>
      <c r="AI466" s="56"/>
      <c r="AJ466" s="56"/>
      <c r="AK466" s="56"/>
    </row>
    <row r="467" spans="1:37" ht="15.75" customHeight="1" x14ac:dyDescent="0.2">
      <c r="A467" s="56"/>
      <c r="C467" s="56"/>
      <c r="AB467" s="56"/>
      <c r="AC467" s="56"/>
      <c r="AD467" s="58"/>
      <c r="AE467" s="56"/>
      <c r="AF467" s="56"/>
      <c r="AG467" s="56"/>
      <c r="AH467" s="56"/>
      <c r="AI467" s="56"/>
      <c r="AJ467" s="56"/>
      <c r="AK467" s="56"/>
    </row>
    <row r="468" spans="1:37" ht="15.75" customHeight="1" x14ac:dyDescent="0.2">
      <c r="A468" s="56"/>
      <c r="C468" s="56"/>
      <c r="AB468" s="56"/>
      <c r="AC468" s="56"/>
      <c r="AD468" s="58"/>
      <c r="AE468" s="56"/>
      <c r="AF468" s="56"/>
      <c r="AG468" s="56"/>
      <c r="AH468" s="56"/>
      <c r="AI468" s="56"/>
      <c r="AJ468" s="56"/>
      <c r="AK468" s="56"/>
    </row>
    <row r="469" spans="1:37" ht="15.75" customHeight="1" x14ac:dyDescent="0.2">
      <c r="A469" s="56"/>
      <c r="C469" s="56"/>
      <c r="AB469" s="56"/>
      <c r="AC469" s="56"/>
      <c r="AD469" s="58"/>
      <c r="AE469" s="56"/>
      <c r="AF469" s="56"/>
      <c r="AG469" s="56"/>
      <c r="AH469" s="56"/>
      <c r="AI469" s="56"/>
      <c r="AJ469" s="56"/>
      <c r="AK469" s="56"/>
    </row>
    <row r="470" spans="1:37" ht="15.75" customHeight="1" x14ac:dyDescent="0.2">
      <c r="A470" s="56"/>
      <c r="C470" s="56"/>
      <c r="AB470" s="56"/>
      <c r="AC470" s="56"/>
      <c r="AD470" s="58"/>
      <c r="AE470" s="56"/>
      <c r="AF470" s="56"/>
      <c r="AG470" s="56"/>
      <c r="AH470" s="56"/>
      <c r="AI470" s="56"/>
      <c r="AJ470" s="56"/>
      <c r="AK470" s="56"/>
    </row>
    <row r="471" spans="1:37" ht="15.75" customHeight="1" x14ac:dyDescent="0.2">
      <c r="A471" s="56"/>
      <c r="C471" s="56"/>
      <c r="AB471" s="56"/>
      <c r="AC471" s="56"/>
      <c r="AD471" s="58"/>
      <c r="AE471" s="56"/>
      <c r="AF471" s="56"/>
      <c r="AG471" s="56"/>
      <c r="AH471" s="56"/>
      <c r="AI471" s="56"/>
      <c r="AJ471" s="56"/>
      <c r="AK471" s="56"/>
    </row>
    <row r="472" spans="1:37" ht="15.75" customHeight="1" x14ac:dyDescent="0.2">
      <c r="A472" s="56"/>
      <c r="C472" s="56"/>
      <c r="AB472" s="56"/>
      <c r="AC472" s="56"/>
      <c r="AD472" s="58"/>
      <c r="AE472" s="56"/>
      <c r="AF472" s="56"/>
      <c r="AG472" s="56"/>
      <c r="AH472" s="56"/>
      <c r="AI472" s="56"/>
      <c r="AJ472" s="56"/>
      <c r="AK472" s="56"/>
    </row>
    <row r="473" spans="1:37" ht="15.75" customHeight="1" x14ac:dyDescent="0.2">
      <c r="A473" s="56"/>
      <c r="C473" s="56"/>
      <c r="AB473" s="56"/>
      <c r="AC473" s="56"/>
      <c r="AD473" s="58"/>
      <c r="AE473" s="56"/>
      <c r="AF473" s="56"/>
      <c r="AG473" s="56"/>
      <c r="AH473" s="56"/>
      <c r="AI473" s="56"/>
      <c r="AJ473" s="56"/>
      <c r="AK473" s="56"/>
    </row>
    <row r="474" spans="1:37" ht="15.75" customHeight="1" x14ac:dyDescent="0.2">
      <c r="A474" s="56"/>
      <c r="C474" s="56"/>
      <c r="AB474" s="56"/>
      <c r="AC474" s="56"/>
      <c r="AD474" s="58"/>
      <c r="AE474" s="56"/>
      <c r="AF474" s="56"/>
      <c r="AG474" s="56"/>
      <c r="AH474" s="56"/>
      <c r="AI474" s="56"/>
      <c r="AJ474" s="56"/>
      <c r="AK474" s="56"/>
    </row>
    <row r="475" spans="1:37" ht="15.75" customHeight="1" x14ac:dyDescent="0.2">
      <c r="A475" s="56"/>
      <c r="C475" s="56"/>
      <c r="AB475" s="56"/>
      <c r="AC475" s="56"/>
      <c r="AD475" s="58"/>
      <c r="AE475" s="56"/>
      <c r="AF475" s="56"/>
      <c r="AG475" s="56"/>
      <c r="AH475" s="56"/>
      <c r="AI475" s="56"/>
      <c r="AJ475" s="56"/>
      <c r="AK475" s="56"/>
    </row>
    <row r="476" spans="1:37" ht="15.75" customHeight="1" x14ac:dyDescent="0.2">
      <c r="A476" s="56"/>
      <c r="C476" s="56"/>
      <c r="AB476" s="56"/>
      <c r="AC476" s="56"/>
      <c r="AD476" s="58"/>
      <c r="AE476" s="56"/>
      <c r="AF476" s="56"/>
      <c r="AG476" s="56"/>
      <c r="AH476" s="56"/>
      <c r="AI476" s="56"/>
      <c r="AJ476" s="56"/>
      <c r="AK476" s="56"/>
    </row>
    <row r="477" spans="1:37" ht="15.75" customHeight="1" x14ac:dyDescent="0.2">
      <c r="A477" s="56"/>
      <c r="C477" s="56"/>
      <c r="AB477" s="56"/>
      <c r="AC477" s="56"/>
      <c r="AD477" s="58"/>
      <c r="AE477" s="56"/>
      <c r="AF477" s="56"/>
      <c r="AG477" s="56"/>
      <c r="AH477" s="56"/>
      <c r="AI477" s="56"/>
      <c r="AJ477" s="56"/>
      <c r="AK477" s="56"/>
    </row>
    <row r="478" spans="1:37" ht="15.75" customHeight="1" x14ac:dyDescent="0.2">
      <c r="A478" s="56"/>
      <c r="C478" s="56"/>
      <c r="AB478" s="56"/>
      <c r="AC478" s="56"/>
      <c r="AD478" s="58"/>
      <c r="AE478" s="56"/>
      <c r="AF478" s="56"/>
      <c r="AG478" s="56"/>
      <c r="AH478" s="56"/>
      <c r="AI478" s="56"/>
      <c r="AJ478" s="56"/>
      <c r="AK478" s="56"/>
    </row>
    <row r="479" spans="1:37" ht="15.75" customHeight="1" x14ac:dyDescent="0.2">
      <c r="A479" s="56"/>
      <c r="C479" s="56"/>
      <c r="AB479" s="56"/>
      <c r="AC479" s="56"/>
      <c r="AD479" s="58"/>
      <c r="AE479" s="56"/>
      <c r="AF479" s="56"/>
      <c r="AG479" s="56"/>
      <c r="AH479" s="56"/>
      <c r="AI479" s="56"/>
      <c r="AJ479" s="56"/>
      <c r="AK479" s="56"/>
    </row>
    <row r="480" spans="1:37" ht="15.75" customHeight="1" x14ac:dyDescent="0.2">
      <c r="A480" s="56"/>
      <c r="C480" s="56"/>
      <c r="AB480" s="56"/>
      <c r="AC480" s="56"/>
      <c r="AD480" s="58"/>
      <c r="AE480" s="56"/>
      <c r="AF480" s="56"/>
      <c r="AG480" s="56"/>
      <c r="AH480" s="56"/>
      <c r="AI480" s="56"/>
      <c r="AJ480" s="56"/>
      <c r="AK480" s="56"/>
    </row>
    <row r="481" spans="1:37" ht="15.75" customHeight="1" x14ac:dyDescent="0.2">
      <c r="A481" s="56"/>
      <c r="C481" s="56"/>
      <c r="AB481" s="56"/>
      <c r="AC481" s="56"/>
      <c r="AD481" s="58"/>
      <c r="AE481" s="56"/>
      <c r="AF481" s="56"/>
      <c r="AG481" s="56"/>
      <c r="AH481" s="56"/>
      <c r="AI481" s="56"/>
      <c r="AJ481" s="56"/>
      <c r="AK481" s="56"/>
    </row>
    <row r="482" spans="1:37" ht="15.75" customHeight="1" x14ac:dyDescent="0.2">
      <c r="A482" s="56"/>
      <c r="C482" s="56"/>
      <c r="AB482" s="56"/>
      <c r="AC482" s="56"/>
      <c r="AD482" s="58"/>
      <c r="AE482" s="56"/>
      <c r="AF482" s="56"/>
      <c r="AG482" s="56"/>
      <c r="AH482" s="56"/>
      <c r="AI482" s="56"/>
      <c r="AJ482" s="56"/>
      <c r="AK482" s="56"/>
    </row>
    <row r="483" spans="1:37" ht="15.75" customHeight="1" x14ac:dyDescent="0.2">
      <c r="A483" s="56"/>
      <c r="C483" s="56"/>
      <c r="AB483" s="56"/>
      <c r="AC483" s="56"/>
      <c r="AD483" s="58"/>
      <c r="AE483" s="56"/>
      <c r="AF483" s="56"/>
      <c r="AG483" s="56"/>
      <c r="AH483" s="56"/>
      <c r="AI483" s="56"/>
      <c r="AJ483" s="56"/>
      <c r="AK483" s="56"/>
    </row>
    <row r="484" spans="1:37" ht="15.75" customHeight="1" x14ac:dyDescent="0.2">
      <c r="A484" s="56"/>
      <c r="C484" s="56"/>
      <c r="AB484" s="56"/>
      <c r="AC484" s="56"/>
      <c r="AD484" s="58"/>
      <c r="AE484" s="56"/>
      <c r="AF484" s="56"/>
      <c r="AG484" s="56"/>
      <c r="AH484" s="56"/>
      <c r="AI484" s="56"/>
      <c r="AJ484" s="56"/>
      <c r="AK484" s="56"/>
    </row>
    <row r="485" spans="1:37" ht="15.75" customHeight="1" x14ac:dyDescent="0.2">
      <c r="A485" s="56"/>
      <c r="C485" s="56"/>
      <c r="AB485" s="56"/>
      <c r="AC485" s="56"/>
      <c r="AD485" s="58"/>
      <c r="AE485" s="56"/>
      <c r="AF485" s="56"/>
      <c r="AG485" s="56"/>
      <c r="AH485" s="56"/>
      <c r="AI485" s="56"/>
      <c r="AJ485" s="56"/>
      <c r="AK485" s="56"/>
    </row>
    <row r="486" spans="1:37" ht="15.75" customHeight="1" x14ac:dyDescent="0.2">
      <c r="A486" s="56"/>
      <c r="C486" s="56"/>
      <c r="AB486" s="56"/>
      <c r="AC486" s="56"/>
      <c r="AD486" s="58"/>
      <c r="AE486" s="56"/>
      <c r="AF486" s="56"/>
      <c r="AG486" s="56"/>
      <c r="AH486" s="56"/>
      <c r="AI486" s="56"/>
      <c r="AJ486" s="56"/>
      <c r="AK486" s="56"/>
    </row>
    <row r="487" spans="1:37" ht="15.75" customHeight="1" x14ac:dyDescent="0.2">
      <c r="A487" s="56"/>
      <c r="C487" s="56"/>
      <c r="AB487" s="56"/>
      <c r="AC487" s="56"/>
      <c r="AD487" s="58"/>
      <c r="AE487" s="56"/>
      <c r="AF487" s="56"/>
      <c r="AG487" s="56"/>
      <c r="AH487" s="56"/>
      <c r="AI487" s="56"/>
      <c r="AJ487" s="56"/>
      <c r="AK487" s="56"/>
    </row>
    <row r="488" spans="1:37" ht="15.75" customHeight="1" x14ac:dyDescent="0.2">
      <c r="A488" s="56"/>
      <c r="C488" s="56"/>
      <c r="AB488" s="56"/>
      <c r="AC488" s="56"/>
      <c r="AD488" s="58"/>
      <c r="AE488" s="56"/>
      <c r="AF488" s="56"/>
      <c r="AG488" s="56"/>
      <c r="AH488" s="56"/>
      <c r="AI488" s="56"/>
      <c r="AJ488" s="56"/>
      <c r="AK488" s="56"/>
    </row>
    <row r="489" spans="1:37" ht="15.75" customHeight="1" x14ac:dyDescent="0.2">
      <c r="A489" s="56"/>
      <c r="C489" s="56"/>
      <c r="AB489" s="56"/>
      <c r="AC489" s="56"/>
      <c r="AD489" s="58"/>
      <c r="AE489" s="56"/>
      <c r="AF489" s="56"/>
      <c r="AG489" s="56"/>
      <c r="AH489" s="56"/>
      <c r="AI489" s="56"/>
      <c r="AJ489" s="56"/>
      <c r="AK489" s="56"/>
    </row>
    <row r="490" spans="1:37" ht="15.75" customHeight="1" x14ac:dyDescent="0.2">
      <c r="A490" s="56"/>
      <c r="C490" s="56"/>
      <c r="AB490" s="56"/>
      <c r="AC490" s="56"/>
      <c r="AD490" s="58"/>
      <c r="AE490" s="56"/>
      <c r="AF490" s="56"/>
      <c r="AG490" s="56"/>
      <c r="AH490" s="56"/>
      <c r="AI490" s="56"/>
      <c r="AJ490" s="56"/>
      <c r="AK490" s="56"/>
    </row>
    <row r="491" spans="1:37" ht="15.75" customHeight="1" x14ac:dyDescent="0.2">
      <c r="A491" s="56"/>
      <c r="C491" s="56"/>
      <c r="AB491" s="56"/>
      <c r="AC491" s="56"/>
      <c r="AD491" s="58"/>
      <c r="AE491" s="56"/>
      <c r="AF491" s="56"/>
      <c r="AG491" s="56"/>
      <c r="AH491" s="56"/>
      <c r="AI491" s="56"/>
      <c r="AJ491" s="56"/>
      <c r="AK491" s="56"/>
    </row>
    <row r="492" spans="1:37" ht="15.75" customHeight="1" x14ac:dyDescent="0.2">
      <c r="A492" s="56"/>
      <c r="C492" s="56"/>
      <c r="AB492" s="56"/>
      <c r="AC492" s="56"/>
      <c r="AD492" s="58"/>
      <c r="AE492" s="56"/>
      <c r="AF492" s="56"/>
      <c r="AG492" s="56"/>
      <c r="AH492" s="56"/>
      <c r="AI492" s="56"/>
      <c r="AJ492" s="56"/>
      <c r="AK492" s="56"/>
    </row>
    <row r="493" spans="1:37" ht="15.75" customHeight="1" x14ac:dyDescent="0.2">
      <c r="A493" s="56"/>
      <c r="C493" s="56"/>
      <c r="AB493" s="56"/>
      <c r="AC493" s="56"/>
      <c r="AD493" s="58"/>
      <c r="AE493" s="56"/>
      <c r="AF493" s="56"/>
      <c r="AG493" s="56"/>
      <c r="AH493" s="56"/>
      <c r="AI493" s="56"/>
      <c r="AJ493" s="56"/>
      <c r="AK493" s="56"/>
    </row>
    <row r="494" spans="1:37" ht="15.75" customHeight="1" x14ac:dyDescent="0.2">
      <c r="A494" s="56"/>
      <c r="C494" s="56"/>
      <c r="AB494" s="56"/>
      <c r="AC494" s="56"/>
      <c r="AD494" s="58"/>
      <c r="AE494" s="56"/>
      <c r="AF494" s="56"/>
      <c r="AG494" s="56"/>
      <c r="AH494" s="56"/>
      <c r="AI494" s="56"/>
      <c r="AJ494" s="56"/>
      <c r="AK494" s="56"/>
    </row>
    <row r="495" spans="1:37" ht="15.75" customHeight="1" x14ac:dyDescent="0.2">
      <c r="A495" s="56"/>
      <c r="C495" s="56"/>
      <c r="AB495" s="56"/>
      <c r="AC495" s="56"/>
      <c r="AD495" s="58"/>
      <c r="AE495" s="56"/>
      <c r="AF495" s="56"/>
      <c r="AG495" s="56"/>
      <c r="AH495" s="56"/>
      <c r="AI495" s="56"/>
      <c r="AJ495" s="56"/>
      <c r="AK495" s="56"/>
    </row>
    <row r="496" spans="1:37" ht="15.75" customHeight="1" x14ac:dyDescent="0.2">
      <c r="A496" s="56"/>
      <c r="C496" s="56"/>
      <c r="AB496" s="56"/>
      <c r="AC496" s="56"/>
      <c r="AD496" s="58"/>
      <c r="AE496" s="56"/>
      <c r="AF496" s="56"/>
      <c r="AG496" s="56"/>
      <c r="AH496" s="56"/>
      <c r="AI496" s="56"/>
      <c r="AJ496" s="56"/>
      <c r="AK496" s="56"/>
    </row>
    <row r="497" spans="1:37" ht="15.75" customHeight="1" x14ac:dyDescent="0.2">
      <c r="A497" s="56"/>
      <c r="C497" s="56"/>
      <c r="AB497" s="56"/>
      <c r="AC497" s="56"/>
      <c r="AD497" s="58"/>
      <c r="AE497" s="56"/>
      <c r="AF497" s="56"/>
      <c r="AG497" s="56"/>
      <c r="AH497" s="56"/>
      <c r="AI497" s="56"/>
      <c r="AJ497" s="56"/>
      <c r="AK497" s="56"/>
    </row>
    <row r="498" spans="1:37" ht="15.75" customHeight="1" x14ac:dyDescent="0.2">
      <c r="A498" s="56"/>
      <c r="C498" s="56"/>
      <c r="AB498" s="56"/>
      <c r="AC498" s="56"/>
      <c r="AD498" s="58"/>
      <c r="AE498" s="56"/>
      <c r="AF498" s="56"/>
      <c r="AG498" s="56"/>
      <c r="AH498" s="56"/>
      <c r="AI498" s="56"/>
      <c r="AJ498" s="56"/>
      <c r="AK498" s="56"/>
    </row>
    <row r="499" spans="1:37" ht="15.75" customHeight="1" x14ac:dyDescent="0.2">
      <c r="A499" s="56"/>
      <c r="C499" s="56"/>
      <c r="AB499" s="56"/>
      <c r="AC499" s="56"/>
      <c r="AD499" s="58"/>
      <c r="AE499" s="56"/>
      <c r="AF499" s="56"/>
      <c r="AG499" s="56"/>
      <c r="AH499" s="56"/>
      <c r="AI499" s="56"/>
      <c r="AJ499" s="56"/>
      <c r="AK499" s="56"/>
    </row>
    <row r="500" spans="1:37" ht="15.75" customHeight="1" x14ac:dyDescent="0.2">
      <c r="A500" s="56"/>
      <c r="C500" s="56"/>
      <c r="AB500" s="56"/>
      <c r="AC500" s="56"/>
      <c r="AD500" s="58"/>
      <c r="AE500" s="56"/>
      <c r="AF500" s="56"/>
      <c r="AG500" s="56"/>
      <c r="AH500" s="56"/>
      <c r="AI500" s="56"/>
      <c r="AJ500" s="56"/>
      <c r="AK500" s="56"/>
    </row>
    <row r="501" spans="1:37" ht="15.75" customHeight="1" x14ac:dyDescent="0.2">
      <c r="A501" s="56"/>
      <c r="C501" s="56"/>
      <c r="AB501" s="56"/>
      <c r="AC501" s="56"/>
      <c r="AD501" s="58"/>
      <c r="AE501" s="56"/>
      <c r="AF501" s="56"/>
      <c r="AG501" s="56"/>
      <c r="AH501" s="56"/>
      <c r="AI501" s="56"/>
      <c r="AJ501" s="56"/>
      <c r="AK501" s="56"/>
    </row>
    <row r="502" spans="1:37" ht="15.75" customHeight="1" x14ac:dyDescent="0.2">
      <c r="A502" s="56"/>
      <c r="C502" s="56"/>
      <c r="AB502" s="56"/>
      <c r="AC502" s="56"/>
      <c r="AD502" s="58"/>
      <c r="AE502" s="56"/>
      <c r="AF502" s="56"/>
      <c r="AG502" s="56"/>
      <c r="AH502" s="56"/>
      <c r="AI502" s="56"/>
      <c r="AJ502" s="56"/>
      <c r="AK502" s="56"/>
    </row>
    <row r="503" spans="1:37" ht="15.75" customHeight="1" x14ac:dyDescent="0.2">
      <c r="A503" s="56"/>
      <c r="C503" s="56"/>
      <c r="AB503" s="56"/>
      <c r="AC503" s="56"/>
      <c r="AD503" s="58"/>
      <c r="AE503" s="56"/>
      <c r="AF503" s="56"/>
      <c r="AG503" s="56"/>
      <c r="AH503" s="56"/>
      <c r="AI503" s="56"/>
      <c r="AJ503" s="56"/>
      <c r="AK503" s="56"/>
    </row>
    <row r="504" spans="1:37" ht="15.75" customHeight="1" x14ac:dyDescent="0.2">
      <c r="A504" s="56"/>
      <c r="C504" s="56"/>
      <c r="AB504" s="56"/>
      <c r="AC504" s="56"/>
      <c r="AD504" s="58"/>
      <c r="AE504" s="56"/>
      <c r="AF504" s="56"/>
      <c r="AG504" s="56"/>
      <c r="AH504" s="56"/>
      <c r="AI504" s="56"/>
      <c r="AJ504" s="56"/>
      <c r="AK504" s="56"/>
    </row>
    <row r="505" spans="1:37" ht="15.75" customHeight="1" x14ac:dyDescent="0.2">
      <c r="A505" s="56"/>
      <c r="C505" s="56"/>
      <c r="AB505" s="56"/>
      <c r="AC505" s="56"/>
      <c r="AD505" s="58"/>
      <c r="AE505" s="56"/>
      <c r="AF505" s="56"/>
      <c r="AG505" s="56"/>
      <c r="AH505" s="56"/>
      <c r="AI505" s="56"/>
      <c r="AJ505" s="56"/>
      <c r="AK505" s="56"/>
    </row>
    <row r="506" spans="1:37" ht="15.75" customHeight="1" x14ac:dyDescent="0.2">
      <c r="A506" s="56"/>
      <c r="C506" s="56"/>
      <c r="AB506" s="56"/>
      <c r="AC506" s="56"/>
      <c r="AD506" s="58"/>
      <c r="AE506" s="56"/>
      <c r="AF506" s="56"/>
      <c r="AG506" s="56"/>
      <c r="AH506" s="56"/>
      <c r="AI506" s="56"/>
      <c r="AJ506" s="56"/>
      <c r="AK506" s="56"/>
    </row>
    <row r="507" spans="1:37" ht="15.75" customHeight="1" x14ac:dyDescent="0.2">
      <c r="A507" s="56"/>
      <c r="C507" s="56"/>
      <c r="AB507" s="56"/>
      <c r="AC507" s="56"/>
      <c r="AD507" s="58"/>
      <c r="AE507" s="56"/>
      <c r="AF507" s="56"/>
      <c r="AG507" s="56"/>
      <c r="AH507" s="56"/>
      <c r="AI507" s="56"/>
      <c r="AJ507" s="56"/>
      <c r="AK507" s="56"/>
    </row>
    <row r="508" spans="1:37" ht="15.75" customHeight="1" x14ac:dyDescent="0.2">
      <c r="A508" s="56"/>
      <c r="C508" s="56"/>
      <c r="AB508" s="56"/>
      <c r="AC508" s="56"/>
      <c r="AD508" s="58"/>
      <c r="AE508" s="56"/>
      <c r="AF508" s="56"/>
      <c r="AG508" s="56"/>
      <c r="AH508" s="56"/>
      <c r="AI508" s="56"/>
      <c r="AJ508" s="56"/>
      <c r="AK508" s="56"/>
    </row>
    <row r="509" spans="1:37" ht="15.75" customHeight="1" x14ac:dyDescent="0.2">
      <c r="A509" s="56"/>
      <c r="C509" s="56"/>
      <c r="AB509" s="56"/>
      <c r="AC509" s="56"/>
      <c r="AD509" s="58"/>
      <c r="AE509" s="56"/>
      <c r="AF509" s="56"/>
      <c r="AG509" s="56"/>
      <c r="AH509" s="56"/>
      <c r="AI509" s="56"/>
      <c r="AJ509" s="56"/>
      <c r="AK509" s="56"/>
    </row>
    <row r="510" spans="1:37" ht="15.75" customHeight="1" x14ac:dyDescent="0.2">
      <c r="A510" s="56"/>
      <c r="C510" s="56"/>
      <c r="AB510" s="56"/>
      <c r="AC510" s="56"/>
      <c r="AD510" s="58"/>
      <c r="AE510" s="56"/>
      <c r="AF510" s="56"/>
      <c r="AG510" s="56"/>
      <c r="AH510" s="56"/>
      <c r="AI510" s="56"/>
      <c r="AJ510" s="56"/>
      <c r="AK510" s="56"/>
    </row>
    <row r="511" spans="1:37" ht="15.75" customHeight="1" x14ac:dyDescent="0.2">
      <c r="A511" s="56"/>
      <c r="C511" s="56"/>
      <c r="AB511" s="56"/>
      <c r="AC511" s="56"/>
      <c r="AD511" s="58"/>
      <c r="AE511" s="56"/>
      <c r="AF511" s="56"/>
      <c r="AG511" s="56"/>
      <c r="AH511" s="56"/>
      <c r="AI511" s="56"/>
      <c r="AJ511" s="56"/>
      <c r="AK511" s="56"/>
    </row>
    <row r="512" spans="1:37" ht="15.75" customHeight="1" x14ac:dyDescent="0.2">
      <c r="A512" s="56"/>
      <c r="C512" s="56"/>
      <c r="AB512" s="56"/>
      <c r="AC512" s="56"/>
      <c r="AD512" s="58"/>
      <c r="AE512" s="56"/>
      <c r="AF512" s="56"/>
      <c r="AG512" s="56"/>
      <c r="AH512" s="56"/>
      <c r="AI512" s="56"/>
      <c r="AJ512" s="56"/>
      <c r="AK512" s="56"/>
    </row>
    <row r="513" spans="1:37" ht="15.75" customHeight="1" x14ac:dyDescent="0.2">
      <c r="A513" s="56"/>
      <c r="C513" s="56"/>
      <c r="AB513" s="56"/>
      <c r="AC513" s="56"/>
      <c r="AD513" s="58"/>
      <c r="AE513" s="56"/>
      <c r="AF513" s="56"/>
      <c r="AG513" s="56"/>
      <c r="AH513" s="56"/>
      <c r="AI513" s="56"/>
      <c r="AJ513" s="56"/>
      <c r="AK513" s="56"/>
    </row>
    <row r="514" spans="1:37" ht="15.75" customHeight="1" x14ac:dyDescent="0.2">
      <c r="A514" s="56"/>
      <c r="C514" s="56"/>
      <c r="AB514" s="56"/>
      <c r="AC514" s="56"/>
      <c r="AD514" s="58"/>
      <c r="AE514" s="56"/>
      <c r="AF514" s="56"/>
      <c r="AG514" s="56"/>
      <c r="AH514" s="56"/>
      <c r="AI514" s="56"/>
      <c r="AJ514" s="56"/>
      <c r="AK514" s="56"/>
    </row>
    <row r="515" spans="1:37" ht="15.75" customHeight="1" x14ac:dyDescent="0.2">
      <c r="A515" s="56"/>
      <c r="C515" s="56"/>
      <c r="AB515" s="56"/>
      <c r="AC515" s="56"/>
      <c r="AD515" s="58"/>
      <c r="AE515" s="56"/>
      <c r="AF515" s="56"/>
      <c r="AG515" s="56"/>
      <c r="AH515" s="56"/>
      <c r="AI515" s="56"/>
      <c r="AJ515" s="56"/>
      <c r="AK515" s="56"/>
    </row>
    <row r="516" spans="1:37" ht="15.75" customHeight="1" x14ac:dyDescent="0.2">
      <c r="A516" s="56"/>
      <c r="C516" s="56"/>
      <c r="AB516" s="56"/>
      <c r="AC516" s="56"/>
      <c r="AD516" s="58"/>
      <c r="AE516" s="56"/>
      <c r="AF516" s="56"/>
      <c r="AG516" s="56"/>
      <c r="AH516" s="56"/>
      <c r="AI516" s="56"/>
      <c r="AJ516" s="56"/>
      <c r="AK516" s="56"/>
    </row>
    <row r="517" spans="1:37" ht="15.75" customHeight="1" x14ac:dyDescent="0.2">
      <c r="A517" s="56"/>
      <c r="C517" s="56"/>
      <c r="AB517" s="56"/>
      <c r="AC517" s="56"/>
      <c r="AD517" s="58"/>
      <c r="AE517" s="56"/>
      <c r="AF517" s="56"/>
      <c r="AG517" s="56"/>
      <c r="AH517" s="56"/>
      <c r="AI517" s="56"/>
      <c r="AJ517" s="56"/>
      <c r="AK517" s="56"/>
    </row>
    <row r="518" spans="1:37" ht="15.75" customHeight="1" x14ac:dyDescent="0.2">
      <c r="A518" s="56"/>
      <c r="C518" s="56"/>
      <c r="AB518" s="56"/>
      <c r="AC518" s="56"/>
      <c r="AD518" s="58"/>
      <c r="AE518" s="56"/>
      <c r="AF518" s="56"/>
      <c r="AG518" s="56"/>
      <c r="AH518" s="56"/>
      <c r="AI518" s="56"/>
      <c r="AJ518" s="56"/>
      <c r="AK518" s="56"/>
    </row>
    <row r="519" spans="1:37" ht="15.75" customHeight="1" x14ac:dyDescent="0.2">
      <c r="A519" s="56"/>
      <c r="C519" s="56"/>
      <c r="AB519" s="56"/>
      <c r="AC519" s="56"/>
      <c r="AD519" s="58"/>
      <c r="AE519" s="56"/>
      <c r="AF519" s="56"/>
      <c r="AG519" s="56"/>
      <c r="AH519" s="56"/>
      <c r="AI519" s="56"/>
      <c r="AJ519" s="56"/>
      <c r="AK519" s="56"/>
    </row>
    <row r="520" spans="1:37" ht="15.75" customHeight="1" x14ac:dyDescent="0.2">
      <c r="A520" s="56"/>
      <c r="C520" s="56"/>
      <c r="AB520" s="56"/>
      <c r="AC520" s="56"/>
      <c r="AD520" s="58"/>
      <c r="AE520" s="56"/>
      <c r="AF520" s="56"/>
      <c r="AG520" s="56"/>
      <c r="AH520" s="56"/>
      <c r="AI520" s="56"/>
      <c r="AJ520" s="56"/>
      <c r="AK520" s="56"/>
    </row>
    <row r="521" spans="1:37" ht="15.75" customHeight="1" x14ac:dyDescent="0.2">
      <c r="A521" s="56"/>
      <c r="C521" s="56"/>
      <c r="AB521" s="56"/>
      <c r="AC521" s="56"/>
      <c r="AD521" s="58"/>
      <c r="AE521" s="56"/>
      <c r="AF521" s="56"/>
      <c r="AG521" s="56"/>
      <c r="AH521" s="56"/>
      <c r="AI521" s="56"/>
      <c r="AJ521" s="56"/>
      <c r="AK521" s="56"/>
    </row>
    <row r="522" spans="1:37" ht="15.75" customHeight="1" x14ac:dyDescent="0.2">
      <c r="A522" s="56"/>
      <c r="C522" s="56"/>
      <c r="AB522" s="56"/>
      <c r="AC522" s="56"/>
      <c r="AD522" s="58"/>
      <c r="AE522" s="56"/>
      <c r="AF522" s="56"/>
      <c r="AG522" s="56"/>
      <c r="AH522" s="56"/>
      <c r="AI522" s="56"/>
      <c r="AJ522" s="56"/>
      <c r="AK522" s="56"/>
    </row>
    <row r="523" spans="1:37" ht="15.75" customHeight="1" x14ac:dyDescent="0.2">
      <c r="A523" s="56"/>
      <c r="C523" s="56"/>
      <c r="AB523" s="56"/>
      <c r="AC523" s="56"/>
      <c r="AD523" s="58"/>
      <c r="AE523" s="56"/>
      <c r="AF523" s="56"/>
      <c r="AG523" s="56"/>
      <c r="AH523" s="56"/>
      <c r="AI523" s="56"/>
      <c r="AJ523" s="56"/>
      <c r="AK523" s="56"/>
    </row>
    <row r="524" spans="1:37" ht="15.75" customHeight="1" x14ac:dyDescent="0.2">
      <c r="A524" s="56"/>
      <c r="C524" s="56"/>
      <c r="AB524" s="56"/>
      <c r="AC524" s="56"/>
      <c r="AD524" s="58"/>
      <c r="AE524" s="56"/>
      <c r="AF524" s="56"/>
      <c r="AG524" s="56"/>
      <c r="AH524" s="56"/>
      <c r="AI524" s="56"/>
      <c r="AJ524" s="56"/>
      <c r="AK524" s="56"/>
    </row>
    <row r="525" spans="1:37" ht="15.75" customHeight="1" x14ac:dyDescent="0.2">
      <c r="A525" s="56"/>
      <c r="C525" s="56"/>
      <c r="AB525" s="56"/>
      <c r="AC525" s="56"/>
      <c r="AD525" s="58"/>
      <c r="AE525" s="56"/>
      <c r="AF525" s="56"/>
      <c r="AG525" s="56"/>
      <c r="AH525" s="56"/>
      <c r="AI525" s="56"/>
      <c r="AJ525" s="56"/>
      <c r="AK525" s="56"/>
    </row>
    <row r="526" spans="1:37" ht="15.75" customHeight="1" x14ac:dyDescent="0.2">
      <c r="A526" s="56"/>
      <c r="C526" s="56"/>
      <c r="AB526" s="56"/>
      <c r="AC526" s="56"/>
      <c r="AD526" s="58"/>
      <c r="AE526" s="56"/>
      <c r="AF526" s="56"/>
      <c r="AG526" s="56"/>
      <c r="AH526" s="56"/>
      <c r="AI526" s="56"/>
      <c r="AJ526" s="56"/>
      <c r="AK526" s="56"/>
    </row>
    <row r="527" spans="1:37" ht="15.75" customHeight="1" x14ac:dyDescent="0.2">
      <c r="A527" s="56"/>
      <c r="C527" s="56"/>
      <c r="AB527" s="56"/>
      <c r="AC527" s="56"/>
      <c r="AD527" s="58"/>
      <c r="AE527" s="56"/>
      <c r="AF527" s="56"/>
      <c r="AG527" s="56"/>
      <c r="AH527" s="56"/>
      <c r="AI527" s="56"/>
      <c r="AJ527" s="56"/>
      <c r="AK527" s="56"/>
    </row>
    <row r="528" spans="1:37" ht="15.75" customHeight="1" x14ac:dyDescent="0.2">
      <c r="A528" s="56"/>
      <c r="C528" s="56"/>
      <c r="AB528" s="56"/>
      <c r="AC528" s="56"/>
      <c r="AD528" s="58"/>
      <c r="AE528" s="56"/>
      <c r="AF528" s="56"/>
      <c r="AG528" s="56"/>
      <c r="AH528" s="56"/>
      <c r="AI528" s="56"/>
      <c r="AJ528" s="56"/>
      <c r="AK528" s="56"/>
    </row>
    <row r="529" spans="1:37" ht="15.75" customHeight="1" x14ac:dyDescent="0.2">
      <c r="A529" s="56"/>
      <c r="C529" s="56"/>
      <c r="AB529" s="56"/>
      <c r="AC529" s="56"/>
      <c r="AD529" s="58"/>
      <c r="AE529" s="56"/>
      <c r="AF529" s="56"/>
      <c r="AG529" s="56"/>
      <c r="AH529" s="56"/>
      <c r="AI529" s="56"/>
      <c r="AJ529" s="56"/>
      <c r="AK529" s="56"/>
    </row>
    <row r="530" spans="1:37" ht="15.75" customHeight="1" x14ac:dyDescent="0.2">
      <c r="A530" s="56"/>
      <c r="C530" s="56"/>
      <c r="AB530" s="56"/>
      <c r="AC530" s="56"/>
      <c r="AD530" s="58"/>
      <c r="AE530" s="56"/>
      <c r="AF530" s="56"/>
      <c r="AG530" s="56"/>
      <c r="AH530" s="56"/>
      <c r="AI530" s="56"/>
      <c r="AJ530" s="56"/>
      <c r="AK530" s="56"/>
    </row>
    <row r="531" spans="1:37" ht="15.75" customHeight="1" x14ac:dyDescent="0.2">
      <c r="A531" s="56"/>
      <c r="C531" s="56"/>
      <c r="AB531" s="56"/>
      <c r="AC531" s="56"/>
      <c r="AD531" s="58"/>
      <c r="AE531" s="56"/>
      <c r="AF531" s="56"/>
      <c r="AG531" s="56"/>
      <c r="AH531" s="56"/>
      <c r="AI531" s="56"/>
      <c r="AJ531" s="56"/>
      <c r="AK531" s="56"/>
    </row>
    <row r="532" spans="1:37" ht="15.75" customHeight="1" x14ac:dyDescent="0.2">
      <c r="A532" s="56"/>
      <c r="C532" s="56"/>
      <c r="AB532" s="56"/>
      <c r="AC532" s="56"/>
      <c r="AD532" s="58"/>
      <c r="AE532" s="56"/>
      <c r="AF532" s="56"/>
      <c r="AG532" s="56"/>
      <c r="AH532" s="56"/>
      <c r="AI532" s="56"/>
      <c r="AJ532" s="56"/>
      <c r="AK532" s="56"/>
    </row>
    <row r="533" spans="1:37" ht="15.75" customHeight="1" x14ac:dyDescent="0.2">
      <c r="A533" s="56"/>
      <c r="C533" s="56"/>
      <c r="AB533" s="56"/>
      <c r="AC533" s="56"/>
      <c r="AD533" s="58"/>
      <c r="AE533" s="56"/>
      <c r="AF533" s="56"/>
      <c r="AG533" s="56"/>
      <c r="AH533" s="56"/>
      <c r="AI533" s="56"/>
      <c r="AJ533" s="56"/>
      <c r="AK533" s="56"/>
    </row>
    <row r="534" spans="1:37" ht="15.75" customHeight="1" x14ac:dyDescent="0.2">
      <c r="A534" s="56"/>
      <c r="C534" s="56"/>
      <c r="AB534" s="56"/>
      <c r="AC534" s="56"/>
      <c r="AD534" s="58"/>
      <c r="AE534" s="56"/>
      <c r="AF534" s="56"/>
      <c r="AG534" s="56"/>
      <c r="AH534" s="56"/>
      <c r="AI534" s="56"/>
      <c r="AJ534" s="56"/>
      <c r="AK534" s="56"/>
    </row>
    <row r="535" spans="1:37" ht="15.75" customHeight="1" x14ac:dyDescent="0.2">
      <c r="A535" s="56"/>
      <c r="C535" s="56"/>
      <c r="AB535" s="56"/>
      <c r="AC535" s="56"/>
      <c r="AD535" s="58"/>
      <c r="AE535" s="56"/>
      <c r="AF535" s="56"/>
      <c r="AG535" s="56"/>
      <c r="AH535" s="56"/>
      <c r="AI535" s="56"/>
      <c r="AJ535" s="56"/>
      <c r="AK535" s="56"/>
    </row>
    <row r="536" spans="1:37" ht="15.75" customHeight="1" x14ac:dyDescent="0.2">
      <c r="A536" s="56"/>
      <c r="C536" s="56"/>
      <c r="AB536" s="56"/>
      <c r="AC536" s="56"/>
      <c r="AD536" s="58"/>
      <c r="AE536" s="56"/>
      <c r="AF536" s="56"/>
      <c r="AG536" s="56"/>
      <c r="AH536" s="56"/>
      <c r="AI536" s="56"/>
      <c r="AJ536" s="56"/>
      <c r="AK536" s="56"/>
    </row>
    <row r="537" spans="1:37" ht="15.75" customHeight="1" x14ac:dyDescent="0.2">
      <c r="A537" s="56"/>
      <c r="C537" s="56"/>
      <c r="AB537" s="56"/>
      <c r="AC537" s="56"/>
      <c r="AD537" s="58"/>
      <c r="AE537" s="56"/>
      <c r="AF537" s="56"/>
      <c r="AG537" s="56"/>
      <c r="AH537" s="56"/>
      <c r="AI537" s="56"/>
      <c r="AJ537" s="56"/>
      <c r="AK537" s="56"/>
    </row>
    <row r="538" spans="1:37" ht="15.75" customHeight="1" x14ac:dyDescent="0.2">
      <c r="A538" s="56"/>
      <c r="C538" s="56"/>
      <c r="AB538" s="56"/>
      <c r="AC538" s="56"/>
      <c r="AD538" s="58"/>
      <c r="AE538" s="56"/>
      <c r="AF538" s="56"/>
      <c r="AG538" s="56"/>
      <c r="AH538" s="56"/>
      <c r="AI538" s="56"/>
      <c r="AJ538" s="56"/>
      <c r="AK538" s="56"/>
    </row>
    <row r="539" spans="1:37" ht="15.75" customHeight="1" x14ac:dyDescent="0.2">
      <c r="A539" s="56"/>
      <c r="C539" s="56"/>
      <c r="AB539" s="56"/>
      <c r="AC539" s="56"/>
      <c r="AD539" s="58"/>
      <c r="AE539" s="56"/>
      <c r="AF539" s="56"/>
      <c r="AG539" s="56"/>
      <c r="AH539" s="56"/>
      <c r="AI539" s="56"/>
      <c r="AJ539" s="56"/>
      <c r="AK539" s="56"/>
    </row>
    <row r="540" spans="1:37" ht="15.75" customHeight="1" x14ac:dyDescent="0.2">
      <c r="A540" s="56"/>
      <c r="C540" s="56"/>
      <c r="AB540" s="56"/>
      <c r="AC540" s="56"/>
      <c r="AD540" s="58"/>
      <c r="AE540" s="56"/>
      <c r="AF540" s="56"/>
      <c r="AG540" s="56"/>
      <c r="AH540" s="56"/>
      <c r="AI540" s="56"/>
      <c r="AJ540" s="56"/>
      <c r="AK540" s="56"/>
    </row>
    <row r="541" spans="1:37" ht="15.75" customHeight="1" x14ac:dyDescent="0.2">
      <c r="A541" s="56"/>
      <c r="C541" s="56"/>
      <c r="AB541" s="56"/>
      <c r="AC541" s="56"/>
      <c r="AD541" s="58"/>
      <c r="AE541" s="56"/>
      <c r="AF541" s="56"/>
      <c r="AG541" s="56"/>
      <c r="AH541" s="56"/>
      <c r="AI541" s="56"/>
      <c r="AJ541" s="56"/>
      <c r="AK541" s="56"/>
    </row>
    <row r="542" spans="1:37" ht="15.75" customHeight="1" x14ac:dyDescent="0.2">
      <c r="A542" s="56"/>
      <c r="C542" s="56"/>
      <c r="AB542" s="56"/>
      <c r="AC542" s="56"/>
      <c r="AD542" s="58"/>
      <c r="AE542" s="56"/>
      <c r="AF542" s="56"/>
      <c r="AG542" s="56"/>
      <c r="AH542" s="56"/>
      <c r="AI542" s="56"/>
      <c r="AJ542" s="56"/>
      <c r="AK542" s="56"/>
    </row>
    <row r="543" spans="1:37" ht="15.75" customHeight="1" x14ac:dyDescent="0.2">
      <c r="A543" s="56"/>
      <c r="C543" s="56"/>
      <c r="AB543" s="56"/>
      <c r="AC543" s="56"/>
      <c r="AD543" s="58"/>
      <c r="AE543" s="56"/>
      <c r="AF543" s="56"/>
      <c r="AG543" s="56"/>
      <c r="AH543" s="56"/>
      <c r="AI543" s="56"/>
      <c r="AJ543" s="56"/>
      <c r="AK543" s="56"/>
    </row>
    <row r="544" spans="1:37" ht="15.75" customHeight="1" x14ac:dyDescent="0.2">
      <c r="A544" s="56"/>
      <c r="C544" s="56"/>
      <c r="AB544" s="56"/>
      <c r="AC544" s="56"/>
      <c r="AD544" s="58"/>
      <c r="AE544" s="56"/>
      <c r="AF544" s="56"/>
      <c r="AG544" s="56"/>
      <c r="AH544" s="56"/>
      <c r="AI544" s="56"/>
      <c r="AJ544" s="56"/>
      <c r="AK544" s="56"/>
    </row>
    <row r="545" spans="1:37" ht="15.75" customHeight="1" x14ac:dyDescent="0.2">
      <c r="A545" s="56"/>
      <c r="C545" s="56"/>
      <c r="AB545" s="56"/>
      <c r="AC545" s="56"/>
      <c r="AD545" s="58"/>
      <c r="AE545" s="56"/>
      <c r="AF545" s="56"/>
      <c r="AG545" s="56"/>
      <c r="AH545" s="56"/>
      <c r="AI545" s="56"/>
      <c r="AJ545" s="56"/>
      <c r="AK545" s="56"/>
    </row>
    <row r="546" spans="1:37" ht="15.75" customHeight="1" x14ac:dyDescent="0.2">
      <c r="A546" s="56"/>
      <c r="C546" s="56"/>
      <c r="AB546" s="56"/>
      <c r="AC546" s="56"/>
      <c r="AD546" s="58"/>
      <c r="AE546" s="56"/>
      <c r="AF546" s="56"/>
      <c r="AG546" s="56"/>
      <c r="AH546" s="56"/>
      <c r="AI546" s="56"/>
      <c r="AJ546" s="56"/>
      <c r="AK546" s="56"/>
    </row>
    <row r="547" spans="1:37" ht="15.75" customHeight="1" x14ac:dyDescent="0.2">
      <c r="A547" s="56"/>
      <c r="C547" s="56"/>
      <c r="AB547" s="56"/>
      <c r="AC547" s="56"/>
      <c r="AD547" s="58"/>
      <c r="AE547" s="56"/>
      <c r="AF547" s="56"/>
      <c r="AG547" s="56"/>
      <c r="AH547" s="56"/>
      <c r="AI547" s="56"/>
      <c r="AJ547" s="56"/>
      <c r="AK547" s="56"/>
    </row>
    <row r="548" spans="1:37" ht="15.75" customHeight="1" x14ac:dyDescent="0.2">
      <c r="A548" s="56"/>
      <c r="C548" s="56"/>
      <c r="AB548" s="56"/>
      <c r="AC548" s="56"/>
      <c r="AD548" s="58"/>
      <c r="AE548" s="56"/>
      <c r="AF548" s="56"/>
      <c r="AG548" s="56"/>
      <c r="AH548" s="56"/>
      <c r="AI548" s="56"/>
      <c r="AJ548" s="56"/>
      <c r="AK548" s="56"/>
    </row>
    <row r="549" spans="1:37" ht="15.75" customHeight="1" x14ac:dyDescent="0.2">
      <c r="A549" s="56"/>
      <c r="C549" s="56"/>
      <c r="AB549" s="56"/>
      <c r="AC549" s="56"/>
      <c r="AD549" s="58"/>
      <c r="AE549" s="56"/>
      <c r="AF549" s="56"/>
      <c r="AG549" s="56"/>
      <c r="AH549" s="56"/>
      <c r="AI549" s="56"/>
      <c r="AJ549" s="56"/>
      <c r="AK549" s="56"/>
    </row>
    <row r="550" spans="1:37" ht="15.75" customHeight="1" x14ac:dyDescent="0.2">
      <c r="A550" s="56"/>
      <c r="C550" s="56"/>
      <c r="AB550" s="56"/>
      <c r="AC550" s="56"/>
      <c r="AD550" s="58"/>
      <c r="AE550" s="56"/>
      <c r="AF550" s="56"/>
      <c r="AG550" s="56"/>
      <c r="AH550" s="56"/>
      <c r="AI550" s="56"/>
      <c r="AJ550" s="56"/>
      <c r="AK550" s="56"/>
    </row>
    <row r="551" spans="1:37" ht="15.75" customHeight="1" x14ac:dyDescent="0.2">
      <c r="A551" s="56"/>
      <c r="C551" s="56"/>
      <c r="AB551" s="56"/>
      <c r="AC551" s="56"/>
      <c r="AD551" s="58"/>
      <c r="AE551" s="56"/>
      <c r="AF551" s="56"/>
      <c r="AG551" s="56"/>
      <c r="AH551" s="56"/>
      <c r="AI551" s="56"/>
      <c r="AJ551" s="56"/>
      <c r="AK551" s="56"/>
    </row>
    <row r="552" spans="1:37" ht="15.75" customHeight="1" x14ac:dyDescent="0.2">
      <c r="A552" s="56"/>
      <c r="C552" s="56"/>
      <c r="AB552" s="56"/>
      <c r="AC552" s="56"/>
      <c r="AD552" s="58"/>
      <c r="AE552" s="56"/>
      <c r="AF552" s="56"/>
      <c r="AG552" s="56"/>
      <c r="AH552" s="56"/>
      <c r="AI552" s="56"/>
      <c r="AJ552" s="56"/>
      <c r="AK552" s="56"/>
    </row>
    <row r="553" spans="1:37" ht="15.75" customHeight="1" x14ac:dyDescent="0.2">
      <c r="A553" s="56"/>
      <c r="C553" s="56"/>
      <c r="AB553" s="56"/>
      <c r="AC553" s="56"/>
      <c r="AD553" s="58"/>
      <c r="AE553" s="56"/>
      <c r="AF553" s="56"/>
      <c r="AG553" s="56"/>
      <c r="AH553" s="56"/>
      <c r="AI553" s="56"/>
      <c r="AJ553" s="56"/>
      <c r="AK553" s="56"/>
    </row>
    <row r="554" spans="1:37" ht="15.75" customHeight="1" x14ac:dyDescent="0.2">
      <c r="A554" s="56"/>
      <c r="C554" s="56"/>
      <c r="AB554" s="56"/>
      <c r="AC554" s="56"/>
      <c r="AD554" s="58"/>
      <c r="AE554" s="56"/>
      <c r="AF554" s="56"/>
      <c r="AG554" s="56"/>
      <c r="AH554" s="56"/>
      <c r="AI554" s="56"/>
      <c r="AJ554" s="56"/>
      <c r="AK554" s="56"/>
    </row>
    <row r="555" spans="1:37" ht="15.75" customHeight="1" x14ac:dyDescent="0.2">
      <c r="A555" s="56"/>
      <c r="C555" s="56"/>
      <c r="AB555" s="56"/>
      <c r="AC555" s="56"/>
      <c r="AD555" s="58"/>
      <c r="AE555" s="56"/>
      <c r="AF555" s="56"/>
      <c r="AG555" s="56"/>
      <c r="AH555" s="56"/>
      <c r="AI555" s="56"/>
      <c r="AJ555" s="56"/>
      <c r="AK555" s="56"/>
    </row>
    <row r="556" spans="1:37" ht="15.75" customHeight="1" x14ac:dyDescent="0.2">
      <c r="A556" s="56"/>
      <c r="C556" s="56"/>
      <c r="AB556" s="56"/>
      <c r="AC556" s="56"/>
      <c r="AD556" s="58"/>
      <c r="AE556" s="56"/>
      <c r="AF556" s="56"/>
      <c r="AG556" s="56"/>
      <c r="AH556" s="56"/>
      <c r="AI556" s="56"/>
      <c r="AJ556" s="56"/>
      <c r="AK556" s="56"/>
    </row>
    <row r="557" spans="1:37" ht="15.75" customHeight="1" x14ac:dyDescent="0.2">
      <c r="A557" s="56"/>
      <c r="C557" s="56"/>
      <c r="AB557" s="56"/>
      <c r="AC557" s="56"/>
      <c r="AD557" s="58"/>
      <c r="AE557" s="56"/>
      <c r="AF557" s="56"/>
      <c r="AG557" s="56"/>
      <c r="AH557" s="56"/>
      <c r="AI557" s="56"/>
      <c r="AJ557" s="56"/>
      <c r="AK557" s="56"/>
    </row>
    <row r="558" spans="1:37" ht="15.75" customHeight="1" x14ac:dyDescent="0.2">
      <c r="A558" s="56"/>
      <c r="C558" s="56"/>
      <c r="AB558" s="56"/>
      <c r="AC558" s="56"/>
      <c r="AD558" s="58"/>
      <c r="AE558" s="56"/>
      <c r="AF558" s="56"/>
      <c r="AG558" s="56"/>
      <c r="AH558" s="56"/>
      <c r="AI558" s="56"/>
      <c r="AJ558" s="56"/>
      <c r="AK558" s="56"/>
    </row>
    <row r="559" spans="1:37" ht="15.75" customHeight="1" x14ac:dyDescent="0.2">
      <c r="A559" s="56"/>
      <c r="C559" s="56"/>
      <c r="AB559" s="56"/>
      <c r="AC559" s="56"/>
      <c r="AD559" s="58"/>
      <c r="AE559" s="56"/>
      <c r="AF559" s="56"/>
      <c r="AG559" s="56"/>
      <c r="AH559" s="56"/>
      <c r="AI559" s="56"/>
      <c r="AJ559" s="56"/>
      <c r="AK559" s="56"/>
    </row>
    <row r="560" spans="1:37" ht="15.75" customHeight="1" x14ac:dyDescent="0.2">
      <c r="A560" s="56"/>
      <c r="C560" s="56"/>
      <c r="AB560" s="56"/>
      <c r="AC560" s="56"/>
      <c r="AD560" s="58"/>
      <c r="AE560" s="56"/>
      <c r="AF560" s="56"/>
      <c r="AG560" s="56"/>
      <c r="AH560" s="56"/>
      <c r="AI560" s="56"/>
      <c r="AJ560" s="56"/>
      <c r="AK560" s="56"/>
    </row>
    <row r="561" spans="1:37" ht="15.75" customHeight="1" x14ac:dyDescent="0.2">
      <c r="A561" s="56"/>
      <c r="C561" s="56"/>
      <c r="AB561" s="56"/>
      <c r="AC561" s="56"/>
      <c r="AD561" s="58"/>
      <c r="AE561" s="56"/>
      <c r="AF561" s="56"/>
      <c r="AG561" s="56"/>
      <c r="AH561" s="56"/>
      <c r="AI561" s="56"/>
      <c r="AJ561" s="56"/>
      <c r="AK561" s="56"/>
    </row>
    <row r="562" spans="1:37" ht="15.75" customHeight="1" x14ac:dyDescent="0.2">
      <c r="A562" s="56"/>
      <c r="C562" s="56"/>
      <c r="AB562" s="56"/>
      <c r="AC562" s="56"/>
      <c r="AD562" s="58"/>
      <c r="AE562" s="56"/>
      <c r="AF562" s="56"/>
      <c r="AG562" s="56"/>
      <c r="AH562" s="56"/>
      <c r="AI562" s="56"/>
      <c r="AJ562" s="56"/>
      <c r="AK562" s="56"/>
    </row>
    <row r="563" spans="1:37" ht="15.75" customHeight="1" x14ac:dyDescent="0.2">
      <c r="A563" s="56"/>
      <c r="C563" s="56"/>
      <c r="AB563" s="56"/>
      <c r="AC563" s="56"/>
      <c r="AD563" s="58"/>
      <c r="AE563" s="56"/>
      <c r="AF563" s="56"/>
      <c r="AG563" s="56"/>
      <c r="AH563" s="56"/>
      <c r="AI563" s="56"/>
      <c r="AJ563" s="56"/>
      <c r="AK563" s="56"/>
    </row>
    <row r="564" spans="1:37" ht="15.75" customHeight="1" x14ac:dyDescent="0.2">
      <c r="A564" s="56"/>
      <c r="C564" s="56"/>
      <c r="AB564" s="56"/>
      <c r="AC564" s="56"/>
      <c r="AD564" s="58"/>
      <c r="AE564" s="56"/>
      <c r="AF564" s="56"/>
      <c r="AG564" s="56"/>
      <c r="AH564" s="56"/>
      <c r="AI564" s="56"/>
      <c r="AJ564" s="56"/>
      <c r="AK564" s="56"/>
    </row>
    <row r="565" spans="1:37" ht="15.75" customHeight="1" x14ac:dyDescent="0.2">
      <c r="A565" s="56"/>
      <c r="C565" s="56"/>
      <c r="AB565" s="56"/>
      <c r="AC565" s="56"/>
      <c r="AD565" s="58"/>
      <c r="AE565" s="56"/>
      <c r="AF565" s="56"/>
      <c r="AG565" s="56"/>
      <c r="AH565" s="56"/>
      <c r="AI565" s="56"/>
      <c r="AJ565" s="56"/>
      <c r="AK565" s="56"/>
    </row>
    <row r="566" spans="1:37" ht="15.75" customHeight="1" x14ac:dyDescent="0.2">
      <c r="A566" s="56"/>
      <c r="C566" s="56"/>
      <c r="AB566" s="56"/>
      <c r="AC566" s="56"/>
      <c r="AD566" s="58"/>
      <c r="AE566" s="56"/>
      <c r="AF566" s="56"/>
      <c r="AG566" s="56"/>
      <c r="AH566" s="56"/>
      <c r="AI566" s="56"/>
      <c r="AJ566" s="56"/>
      <c r="AK566" s="56"/>
    </row>
    <row r="567" spans="1:37" ht="15.75" customHeight="1" x14ac:dyDescent="0.2">
      <c r="A567" s="56"/>
      <c r="C567" s="56"/>
      <c r="AB567" s="56"/>
      <c r="AC567" s="56"/>
      <c r="AD567" s="58"/>
      <c r="AE567" s="56"/>
      <c r="AF567" s="56"/>
      <c r="AG567" s="56"/>
      <c r="AH567" s="56"/>
      <c r="AI567" s="56"/>
      <c r="AJ567" s="56"/>
      <c r="AK567" s="56"/>
    </row>
    <row r="568" spans="1:37" ht="15.75" customHeight="1" x14ac:dyDescent="0.2">
      <c r="A568" s="56"/>
      <c r="C568" s="56"/>
      <c r="AB568" s="56"/>
      <c r="AC568" s="56"/>
      <c r="AD568" s="58"/>
      <c r="AE568" s="56"/>
      <c r="AF568" s="56"/>
      <c r="AG568" s="56"/>
      <c r="AH568" s="56"/>
      <c r="AI568" s="56"/>
      <c r="AJ568" s="56"/>
      <c r="AK568" s="56"/>
    </row>
    <row r="569" spans="1:37" ht="15.75" customHeight="1" x14ac:dyDescent="0.2">
      <c r="A569" s="56"/>
      <c r="C569" s="56"/>
      <c r="AB569" s="56"/>
      <c r="AC569" s="56"/>
      <c r="AD569" s="58"/>
      <c r="AE569" s="56"/>
      <c r="AF569" s="56"/>
      <c r="AG569" s="56"/>
      <c r="AH569" s="56"/>
      <c r="AI569" s="56"/>
      <c r="AJ569" s="56"/>
      <c r="AK569" s="56"/>
    </row>
    <row r="570" spans="1:37" ht="15.75" customHeight="1" x14ac:dyDescent="0.2">
      <c r="A570" s="56"/>
      <c r="C570" s="56"/>
      <c r="AB570" s="56"/>
      <c r="AC570" s="56"/>
      <c r="AD570" s="58"/>
      <c r="AE570" s="56"/>
      <c r="AF570" s="56"/>
      <c r="AG570" s="56"/>
      <c r="AH570" s="56"/>
      <c r="AI570" s="56"/>
      <c r="AJ570" s="56"/>
      <c r="AK570" s="56"/>
    </row>
    <row r="571" spans="1:37" ht="15.75" customHeight="1" x14ac:dyDescent="0.2">
      <c r="A571" s="56"/>
      <c r="C571" s="56"/>
      <c r="AB571" s="56"/>
      <c r="AC571" s="56"/>
      <c r="AD571" s="58"/>
      <c r="AE571" s="56"/>
      <c r="AF571" s="56"/>
      <c r="AG571" s="56"/>
      <c r="AH571" s="56"/>
      <c r="AI571" s="56"/>
      <c r="AJ571" s="56"/>
      <c r="AK571" s="56"/>
    </row>
    <row r="572" spans="1:37" ht="15.75" customHeight="1" x14ac:dyDescent="0.2">
      <c r="A572" s="56"/>
      <c r="C572" s="56"/>
      <c r="AB572" s="56"/>
      <c r="AC572" s="56"/>
      <c r="AD572" s="58"/>
      <c r="AE572" s="56"/>
      <c r="AF572" s="56"/>
      <c r="AG572" s="56"/>
      <c r="AH572" s="56"/>
      <c r="AI572" s="56"/>
      <c r="AJ572" s="56"/>
      <c r="AK572" s="56"/>
    </row>
    <row r="573" spans="1:37" ht="15.75" customHeight="1" x14ac:dyDescent="0.2">
      <c r="A573" s="56"/>
      <c r="C573" s="56"/>
      <c r="AB573" s="56"/>
      <c r="AC573" s="56"/>
      <c r="AD573" s="58"/>
      <c r="AE573" s="56"/>
      <c r="AF573" s="56"/>
      <c r="AG573" s="56"/>
      <c r="AH573" s="56"/>
      <c r="AI573" s="56"/>
      <c r="AJ573" s="56"/>
      <c r="AK573" s="56"/>
    </row>
    <row r="574" spans="1:37" ht="15.75" customHeight="1" x14ac:dyDescent="0.2">
      <c r="A574" s="56"/>
      <c r="C574" s="56"/>
      <c r="AB574" s="56"/>
      <c r="AC574" s="56"/>
      <c r="AD574" s="58"/>
      <c r="AE574" s="56"/>
      <c r="AF574" s="56"/>
      <c r="AG574" s="56"/>
      <c r="AH574" s="56"/>
      <c r="AI574" s="56"/>
      <c r="AJ574" s="56"/>
      <c r="AK574" s="56"/>
    </row>
    <row r="575" spans="1:37" ht="15.75" customHeight="1" x14ac:dyDescent="0.2">
      <c r="A575" s="56"/>
      <c r="C575" s="56"/>
      <c r="AB575" s="56"/>
      <c r="AC575" s="56"/>
      <c r="AD575" s="58"/>
      <c r="AE575" s="56"/>
      <c r="AF575" s="56"/>
      <c r="AG575" s="56"/>
      <c r="AH575" s="56"/>
      <c r="AI575" s="56"/>
      <c r="AJ575" s="56"/>
      <c r="AK575" s="56"/>
    </row>
    <row r="576" spans="1:37" ht="15.75" customHeight="1" x14ac:dyDescent="0.2">
      <c r="A576" s="56"/>
      <c r="C576" s="56"/>
      <c r="AB576" s="56"/>
      <c r="AC576" s="56"/>
      <c r="AD576" s="58"/>
      <c r="AE576" s="56"/>
      <c r="AF576" s="56"/>
      <c r="AG576" s="56"/>
      <c r="AH576" s="56"/>
      <c r="AI576" s="56"/>
      <c r="AJ576" s="56"/>
      <c r="AK576" s="56"/>
    </row>
    <row r="577" spans="1:37" ht="15.75" customHeight="1" x14ac:dyDescent="0.2">
      <c r="A577" s="56"/>
      <c r="C577" s="56"/>
      <c r="AB577" s="56"/>
      <c r="AC577" s="56"/>
      <c r="AD577" s="58"/>
      <c r="AE577" s="56"/>
      <c r="AF577" s="56"/>
      <c r="AG577" s="56"/>
      <c r="AH577" s="56"/>
      <c r="AI577" s="56"/>
      <c r="AJ577" s="56"/>
      <c r="AK577" s="56"/>
    </row>
    <row r="578" spans="1:37" ht="15.75" customHeight="1" x14ac:dyDescent="0.2">
      <c r="A578" s="56"/>
      <c r="C578" s="56"/>
      <c r="AB578" s="56"/>
      <c r="AC578" s="56"/>
      <c r="AD578" s="58"/>
      <c r="AE578" s="56"/>
      <c r="AF578" s="56"/>
      <c r="AG578" s="56"/>
      <c r="AH578" s="56"/>
      <c r="AI578" s="56"/>
      <c r="AJ578" s="56"/>
      <c r="AK578" s="56"/>
    </row>
    <row r="579" spans="1:37" ht="15.75" customHeight="1" x14ac:dyDescent="0.2">
      <c r="A579" s="56"/>
      <c r="C579" s="56"/>
      <c r="AB579" s="56"/>
      <c r="AC579" s="56"/>
      <c r="AD579" s="58"/>
      <c r="AE579" s="56"/>
      <c r="AF579" s="56"/>
      <c r="AG579" s="56"/>
      <c r="AH579" s="56"/>
      <c r="AI579" s="56"/>
      <c r="AJ579" s="56"/>
      <c r="AK579" s="56"/>
    </row>
    <row r="580" spans="1:37" ht="15.75" customHeight="1" x14ac:dyDescent="0.2">
      <c r="A580" s="56"/>
      <c r="C580" s="56"/>
      <c r="AB580" s="56"/>
      <c r="AC580" s="56"/>
      <c r="AD580" s="58"/>
      <c r="AE580" s="56"/>
      <c r="AF580" s="56"/>
      <c r="AG580" s="56"/>
      <c r="AH580" s="56"/>
      <c r="AI580" s="56"/>
      <c r="AJ580" s="56"/>
      <c r="AK580" s="56"/>
    </row>
    <row r="581" spans="1:37" ht="15.75" customHeight="1" x14ac:dyDescent="0.2">
      <c r="A581" s="56"/>
      <c r="C581" s="56"/>
      <c r="AB581" s="56"/>
      <c r="AC581" s="56"/>
      <c r="AD581" s="58"/>
      <c r="AE581" s="56"/>
      <c r="AF581" s="56"/>
      <c r="AG581" s="56"/>
      <c r="AH581" s="56"/>
      <c r="AI581" s="56"/>
      <c r="AJ581" s="56"/>
      <c r="AK581" s="56"/>
    </row>
    <row r="582" spans="1:37" ht="15.75" customHeight="1" x14ac:dyDescent="0.2">
      <c r="A582" s="56"/>
      <c r="C582" s="56"/>
      <c r="AB582" s="56"/>
      <c r="AC582" s="56"/>
      <c r="AD582" s="58"/>
      <c r="AE582" s="56"/>
      <c r="AF582" s="56"/>
      <c r="AG582" s="56"/>
      <c r="AH582" s="56"/>
      <c r="AI582" s="56"/>
      <c r="AJ582" s="56"/>
      <c r="AK582" s="56"/>
    </row>
    <row r="583" spans="1:37" ht="15.75" customHeight="1" x14ac:dyDescent="0.2">
      <c r="A583" s="56"/>
      <c r="C583" s="56"/>
      <c r="AB583" s="56"/>
      <c r="AC583" s="56"/>
      <c r="AD583" s="58"/>
      <c r="AE583" s="56"/>
      <c r="AF583" s="56"/>
      <c r="AG583" s="56"/>
      <c r="AH583" s="56"/>
      <c r="AI583" s="56"/>
      <c r="AJ583" s="56"/>
      <c r="AK583" s="56"/>
    </row>
    <row r="584" spans="1:37" ht="15.75" customHeight="1" x14ac:dyDescent="0.2">
      <c r="A584" s="56"/>
      <c r="C584" s="56"/>
      <c r="AB584" s="56"/>
      <c r="AC584" s="56"/>
      <c r="AD584" s="58"/>
      <c r="AE584" s="56"/>
      <c r="AF584" s="56"/>
      <c r="AG584" s="56"/>
      <c r="AH584" s="56"/>
      <c r="AI584" s="56"/>
      <c r="AJ584" s="56"/>
      <c r="AK584" s="56"/>
    </row>
    <row r="585" spans="1:37" ht="15.75" customHeight="1" x14ac:dyDescent="0.2">
      <c r="A585" s="56"/>
      <c r="C585" s="56"/>
      <c r="AB585" s="56"/>
      <c r="AC585" s="56"/>
      <c r="AD585" s="58"/>
      <c r="AE585" s="56"/>
      <c r="AF585" s="56"/>
      <c r="AG585" s="56"/>
      <c r="AH585" s="56"/>
      <c r="AI585" s="56"/>
      <c r="AJ585" s="56"/>
      <c r="AK585" s="56"/>
    </row>
    <row r="586" spans="1:37" ht="15.75" customHeight="1" x14ac:dyDescent="0.2">
      <c r="A586" s="56"/>
      <c r="C586" s="56"/>
      <c r="AB586" s="56"/>
      <c r="AC586" s="56"/>
      <c r="AD586" s="58"/>
      <c r="AE586" s="56"/>
      <c r="AF586" s="56"/>
      <c r="AG586" s="56"/>
      <c r="AH586" s="56"/>
      <c r="AI586" s="56"/>
      <c r="AJ586" s="56"/>
      <c r="AK586" s="56"/>
    </row>
    <row r="587" spans="1:37" ht="15.75" customHeight="1" x14ac:dyDescent="0.2">
      <c r="A587" s="56"/>
      <c r="C587" s="56"/>
      <c r="AB587" s="56"/>
      <c r="AC587" s="56"/>
      <c r="AD587" s="58"/>
      <c r="AE587" s="56"/>
      <c r="AF587" s="56"/>
      <c r="AG587" s="56"/>
      <c r="AH587" s="56"/>
      <c r="AI587" s="56"/>
      <c r="AJ587" s="56"/>
      <c r="AK587" s="56"/>
    </row>
    <row r="588" spans="1:37" ht="15.75" customHeight="1" x14ac:dyDescent="0.2">
      <c r="A588" s="56"/>
      <c r="C588" s="56"/>
      <c r="AB588" s="56"/>
      <c r="AC588" s="56"/>
      <c r="AD588" s="58"/>
      <c r="AE588" s="56"/>
      <c r="AF588" s="56"/>
      <c r="AG588" s="56"/>
      <c r="AH588" s="56"/>
      <c r="AI588" s="56"/>
      <c r="AJ588" s="56"/>
      <c r="AK588" s="56"/>
    </row>
    <row r="589" spans="1:37" ht="15.75" customHeight="1" x14ac:dyDescent="0.2">
      <c r="A589" s="56"/>
      <c r="C589" s="56"/>
      <c r="AB589" s="56"/>
      <c r="AC589" s="56"/>
      <c r="AD589" s="58"/>
      <c r="AE589" s="56"/>
      <c r="AF589" s="56"/>
      <c r="AG589" s="56"/>
      <c r="AH589" s="56"/>
      <c r="AI589" s="56"/>
      <c r="AJ589" s="56"/>
      <c r="AK589" s="56"/>
    </row>
    <row r="590" spans="1:37" ht="15.75" customHeight="1" x14ac:dyDescent="0.2">
      <c r="A590" s="56"/>
      <c r="C590" s="56"/>
      <c r="AB590" s="56"/>
      <c r="AC590" s="56"/>
      <c r="AD590" s="58"/>
      <c r="AE590" s="56"/>
      <c r="AF590" s="56"/>
      <c r="AG590" s="56"/>
      <c r="AH590" s="56"/>
      <c r="AI590" s="56"/>
      <c r="AJ590" s="56"/>
      <c r="AK590" s="56"/>
    </row>
    <row r="591" spans="1:37" ht="15.75" customHeight="1" x14ac:dyDescent="0.2">
      <c r="A591" s="56"/>
      <c r="C591" s="56"/>
      <c r="AB591" s="56"/>
      <c r="AC591" s="56"/>
      <c r="AD591" s="58"/>
      <c r="AE591" s="56"/>
      <c r="AF591" s="56"/>
      <c r="AG591" s="56"/>
      <c r="AH591" s="56"/>
      <c r="AI591" s="56"/>
      <c r="AJ591" s="56"/>
      <c r="AK591" s="56"/>
    </row>
    <row r="592" spans="1:37" ht="15.75" customHeight="1" x14ac:dyDescent="0.2">
      <c r="A592" s="56"/>
      <c r="C592" s="56"/>
      <c r="AB592" s="56"/>
      <c r="AC592" s="56"/>
      <c r="AD592" s="58"/>
      <c r="AE592" s="56"/>
      <c r="AF592" s="56"/>
      <c r="AG592" s="56"/>
      <c r="AH592" s="56"/>
      <c r="AI592" s="56"/>
      <c r="AJ592" s="56"/>
      <c r="AK592" s="56"/>
    </row>
    <row r="593" spans="1:37" ht="15.75" customHeight="1" x14ac:dyDescent="0.2">
      <c r="A593" s="56"/>
      <c r="C593" s="56"/>
      <c r="AB593" s="56"/>
      <c r="AC593" s="56"/>
      <c r="AD593" s="58"/>
      <c r="AE593" s="56"/>
      <c r="AF593" s="56"/>
      <c r="AG593" s="56"/>
      <c r="AH593" s="56"/>
      <c r="AI593" s="56"/>
      <c r="AJ593" s="56"/>
      <c r="AK593" s="56"/>
    </row>
    <row r="594" spans="1:37" ht="15.75" customHeight="1" x14ac:dyDescent="0.2">
      <c r="A594" s="56"/>
      <c r="C594" s="56"/>
      <c r="AB594" s="56"/>
      <c r="AC594" s="56"/>
      <c r="AD594" s="58"/>
      <c r="AE594" s="56"/>
      <c r="AF594" s="56"/>
      <c r="AG594" s="56"/>
      <c r="AH594" s="56"/>
      <c r="AI594" s="56"/>
      <c r="AJ594" s="56"/>
      <c r="AK594" s="56"/>
    </row>
    <row r="595" spans="1:37" ht="15.75" customHeight="1" x14ac:dyDescent="0.2">
      <c r="A595" s="56"/>
      <c r="C595" s="56"/>
      <c r="AB595" s="56"/>
      <c r="AC595" s="56"/>
      <c r="AD595" s="58"/>
      <c r="AE595" s="56"/>
      <c r="AF595" s="56"/>
      <c r="AG595" s="56"/>
      <c r="AH595" s="56"/>
      <c r="AI595" s="56"/>
      <c r="AJ595" s="56"/>
      <c r="AK595" s="56"/>
    </row>
    <row r="596" spans="1:37" ht="15.75" customHeight="1" x14ac:dyDescent="0.2">
      <c r="A596" s="56"/>
      <c r="C596" s="56"/>
      <c r="AB596" s="56"/>
      <c r="AC596" s="56"/>
      <c r="AD596" s="58"/>
      <c r="AE596" s="56"/>
      <c r="AF596" s="56"/>
      <c r="AG596" s="56"/>
      <c r="AH596" s="56"/>
      <c r="AI596" s="56"/>
      <c r="AJ596" s="56"/>
      <c r="AK596" s="56"/>
    </row>
    <row r="597" spans="1:37" ht="15.75" customHeight="1" x14ac:dyDescent="0.2">
      <c r="A597" s="56"/>
      <c r="C597" s="56"/>
      <c r="AB597" s="56"/>
      <c r="AC597" s="56"/>
      <c r="AD597" s="58"/>
      <c r="AE597" s="56"/>
      <c r="AF597" s="56"/>
      <c r="AG597" s="56"/>
      <c r="AH597" s="56"/>
      <c r="AI597" s="56"/>
      <c r="AJ597" s="56"/>
      <c r="AK597" s="56"/>
    </row>
    <row r="598" spans="1:37" ht="15.75" customHeight="1" x14ac:dyDescent="0.2">
      <c r="A598" s="56"/>
      <c r="C598" s="56"/>
      <c r="AB598" s="56"/>
      <c r="AC598" s="56"/>
      <c r="AD598" s="58"/>
      <c r="AE598" s="56"/>
      <c r="AF598" s="56"/>
      <c r="AG598" s="56"/>
      <c r="AH598" s="56"/>
      <c r="AI598" s="56"/>
      <c r="AJ598" s="56"/>
      <c r="AK598" s="56"/>
    </row>
    <row r="599" spans="1:37" ht="15.75" customHeight="1" x14ac:dyDescent="0.2">
      <c r="A599" s="56"/>
      <c r="C599" s="56"/>
      <c r="AB599" s="56"/>
      <c r="AC599" s="56"/>
      <c r="AD599" s="58"/>
      <c r="AE599" s="56"/>
      <c r="AF599" s="56"/>
      <c r="AG599" s="56"/>
      <c r="AH599" s="56"/>
      <c r="AI599" s="56"/>
      <c r="AJ599" s="56"/>
      <c r="AK599" s="56"/>
    </row>
    <row r="600" spans="1:37" ht="15.75" customHeight="1" x14ac:dyDescent="0.2">
      <c r="A600" s="56"/>
      <c r="C600" s="56"/>
      <c r="AB600" s="56"/>
      <c r="AC600" s="56"/>
      <c r="AD600" s="58"/>
      <c r="AE600" s="56"/>
      <c r="AF600" s="56"/>
      <c r="AG600" s="56"/>
      <c r="AH600" s="56"/>
      <c r="AI600" s="56"/>
      <c r="AJ600" s="56"/>
      <c r="AK600" s="56"/>
    </row>
    <row r="601" spans="1:37" ht="15.75" customHeight="1" x14ac:dyDescent="0.2">
      <c r="A601" s="56"/>
      <c r="C601" s="56"/>
      <c r="AB601" s="56"/>
      <c r="AC601" s="56"/>
      <c r="AD601" s="58"/>
      <c r="AE601" s="56"/>
      <c r="AF601" s="56"/>
      <c r="AG601" s="56"/>
      <c r="AH601" s="56"/>
      <c r="AI601" s="56"/>
      <c r="AJ601" s="56"/>
      <c r="AK601" s="56"/>
    </row>
    <row r="602" spans="1:37" ht="15.75" customHeight="1" x14ac:dyDescent="0.2">
      <c r="A602" s="56"/>
      <c r="C602" s="56"/>
      <c r="AB602" s="56"/>
      <c r="AC602" s="56"/>
      <c r="AD602" s="58"/>
      <c r="AE602" s="56"/>
      <c r="AF602" s="56"/>
      <c r="AG602" s="56"/>
      <c r="AH602" s="56"/>
      <c r="AI602" s="56"/>
      <c r="AJ602" s="56"/>
      <c r="AK602" s="56"/>
    </row>
    <row r="603" spans="1:37" ht="15.75" customHeight="1" x14ac:dyDescent="0.2">
      <c r="A603" s="56"/>
      <c r="C603" s="56"/>
      <c r="AB603" s="56"/>
      <c r="AC603" s="56"/>
      <c r="AD603" s="58"/>
      <c r="AE603" s="56"/>
      <c r="AF603" s="56"/>
      <c r="AG603" s="56"/>
      <c r="AH603" s="56"/>
      <c r="AI603" s="56"/>
      <c r="AJ603" s="56"/>
      <c r="AK603" s="56"/>
    </row>
    <row r="604" spans="1:37" ht="15.75" customHeight="1" x14ac:dyDescent="0.2">
      <c r="A604" s="56"/>
      <c r="C604" s="56"/>
      <c r="AB604" s="56"/>
      <c r="AC604" s="56"/>
      <c r="AD604" s="58"/>
      <c r="AE604" s="56"/>
      <c r="AF604" s="56"/>
      <c r="AG604" s="56"/>
      <c r="AH604" s="56"/>
      <c r="AI604" s="56"/>
      <c r="AJ604" s="56"/>
      <c r="AK604" s="56"/>
    </row>
    <row r="605" spans="1:37" ht="15.75" customHeight="1" x14ac:dyDescent="0.2">
      <c r="A605" s="56"/>
      <c r="C605" s="56"/>
      <c r="AB605" s="56"/>
      <c r="AC605" s="56"/>
      <c r="AD605" s="58"/>
      <c r="AE605" s="56"/>
      <c r="AF605" s="56"/>
      <c r="AG605" s="56"/>
      <c r="AH605" s="56"/>
      <c r="AI605" s="56"/>
      <c r="AJ605" s="56"/>
      <c r="AK605" s="56"/>
    </row>
    <row r="606" spans="1:37" ht="15.75" customHeight="1" x14ac:dyDescent="0.2">
      <c r="A606" s="56"/>
      <c r="C606" s="56"/>
      <c r="AB606" s="56"/>
      <c r="AC606" s="56"/>
      <c r="AD606" s="58"/>
      <c r="AE606" s="56"/>
      <c r="AF606" s="56"/>
      <c r="AG606" s="56"/>
      <c r="AH606" s="56"/>
      <c r="AI606" s="56"/>
      <c r="AJ606" s="56"/>
      <c r="AK606" s="56"/>
    </row>
    <row r="607" spans="1:37" ht="15.75" customHeight="1" x14ac:dyDescent="0.2">
      <c r="A607" s="56"/>
      <c r="C607" s="56"/>
      <c r="AB607" s="56"/>
      <c r="AC607" s="56"/>
      <c r="AD607" s="58"/>
      <c r="AE607" s="56"/>
      <c r="AF607" s="56"/>
      <c r="AG607" s="56"/>
      <c r="AH607" s="56"/>
      <c r="AI607" s="56"/>
      <c r="AJ607" s="56"/>
      <c r="AK607" s="56"/>
    </row>
    <row r="608" spans="1:37" ht="15.75" customHeight="1" x14ac:dyDescent="0.2">
      <c r="A608" s="56"/>
      <c r="C608" s="56"/>
      <c r="AB608" s="56"/>
      <c r="AC608" s="56"/>
      <c r="AD608" s="58"/>
      <c r="AE608" s="56"/>
      <c r="AF608" s="56"/>
      <c r="AG608" s="56"/>
      <c r="AH608" s="56"/>
      <c r="AI608" s="56"/>
      <c r="AJ608" s="56"/>
      <c r="AK608" s="56"/>
    </row>
    <row r="609" spans="1:37" ht="15.75" customHeight="1" x14ac:dyDescent="0.2">
      <c r="A609" s="56"/>
      <c r="C609" s="56"/>
      <c r="AB609" s="56"/>
      <c r="AC609" s="56"/>
      <c r="AD609" s="58"/>
      <c r="AE609" s="56"/>
      <c r="AF609" s="56"/>
      <c r="AG609" s="56"/>
      <c r="AH609" s="56"/>
      <c r="AI609" s="56"/>
      <c r="AJ609" s="56"/>
      <c r="AK609" s="56"/>
    </row>
    <row r="610" spans="1:37" ht="15.75" customHeight="1" x14ac:dyDescent="0.2">
      <c r="A610" s="56"/>
      <c r="C610" s="56"/>
      <c r="AB610" s="56"/>
      <c r="AC610" s="56"/>
      <c r="AD610" s="58"/>
      <c r="AE610" s="56"/>
      <c r="AF610" s="56"/>
      <c r="AG610" s="56"/>
      <c r="AH610" s="56"/>
      <c r="AI610" s="56"/>
      <c r="AJ610" s="56"/>
      <c r="AK610" s="56"/>
    </row>
    <row r="611" spans="1:37" ht="15.75" customHeight="1" x14ac:dyDescent="0.2">
      <c r="A611" s="56"/>
      <c r="C611" s="56"/>
      <c r="AB611" s="56"/>
      <c r="AC611" s="56"/>
      <c r="AD611" s="58"/>
      <c r="AE611" s="56"/>
      <c r="AF611" s="56"/>
      <c r="AG611" s="56"/>
      <c r="AH611" s="56"/>
      <c r="AI611" s="56"/>
      <c r="AJ611" s="56"/>
      <c r="AK611" s="56"/>
    </row>
    <row r="612" spans="1:37" ht="15.75" customHeight="1" x14ac:dyDescent="0.2">
      <c r="A612" s="56"/>
      <c r="C612" s="56"/>
      <c r="AB612" s="56"/>
      <c r="AC612" s="56"/>
      <c r="AD612" s="58"/>
      <c r="AE612" s="56"/>
      <c r="AF612" s="56"/>
      <c r="AG612" s="56"/>
      <c r="AH612" s="56"/>
      <c r="AI612" s="56"/>
      <c r="AJ612" s="56"/>
      <c r="AK612" s="56"/>
    </row>
    <row r="613" spans="1:37" ht="15.75" customHeight="1" x14ac:dyDescent="0.2">
      <c r="A613" s="56"/>
      <c r="C613" s="56"/>
      <c r="AB613" s="56"/>
      <c r="AC613" s="56"/>
      <c r="AD613" s="58"/>
      <c r="AE613" s="56"/>
      <c r="AF613" s="56"/>
      <c r="AG613" s="56"/>
      <c r="AH613" s="56"/>
      <c r="AI613" s="56"/>
      <c r="AJ613" s="56"/>
      <c r="AK613" s="56"/>
    </row>
    <row r="614" spans="1:37" ht="15.75" customHeight="1" x14ac:dyDescent="0.2">
      <c r="A614" s="56"/>
      <c r="C614" s="56"/>
      <c r="AB614" s="56"/>
      <c r="AC614" s="56"/>
      <c r="AD614" s="58"/>
      <c r="AE614" s="56"/>
      <c r="AF614" s="56"/>
      <c r="AG614" s="56"/>
      <c r="AH614" s="56"/>
      <c r="AI614" s="56"/>
      <c r="AJ614" s="56"/>
      <c r="AK614" s="56"/>
    </row>
    <row r="615" spans="1:37" ht="15.75" customHeight="1" x14ac:dyDescent="0.2">
      <c r="A615" s="56"/>
      <c r="C615" s="56"/>
      <c r="AB615" s="56"/>
      <c r="AC615" s="56"/>
      <c r="AD615" s="58"/>
      <c r="AE615" s="56"/>
      <c r="AF615" s="56"/>
      <c r="AG615" s="56"/>
      <c r="AH615" s="56"/>
      <c r="AI615" s="56"/>
      <c r="AJ615" s="56"/>
      <c r="AK615" s="56"/>
    </row>
    <row r="616" spans="1:37" ht="15.75" customHeight="1" x14ac:dyDescent="0.2">
      <c r="A616" s="56"/>
      <c r="C616" s="56"/>
      <c r="AB616" s="56"/>
      <c r="AC616" s="56"/>
      <c r="AD616" s="58"/>
      <c r="AE616" s="56"/>
      <c r="AF616" s="56"/>
      <c r="AG616" s="56"/>
      <c r="AH616" s="56"/>
      <c r="AI616" s="56"/>
      <c r="AJ616" s="56"/>
      <c r="AK616" s="56"/>
    </row>
    <row r="617" spans="1:37" ht="15.75" customHeight="1" x14ac:dyDescent="0.2">
      <c r="A617" s="56"/>
      <c r="C617" s="56"/>
      <c r="AB617" s="56"/>
      <c r="AC617" s="56"/>
      <c r="AD617" s="58"/>
      <c r="AE617" s="56"/>
      <c r="AF617" s="56"/>
      <c r="AG617" s="56"/>
      <c r="AH617" s="56"/>
      <c r="AI617" s="56"/>
      <c r="AJ617" s="56"/>
      <c r="AK617" s="56"/>
    </row>
    <row r="618" spans="1:37" ht="15.75" customHeight="1" x14ac:dyDescent="0.2">
      <c r="A618" s="56"/>
      <c r="C618" s="56"/>
      <c r="AB618" s="56"/>
      <c r="AC618" s="56"/>
      <c r="AD618" s="58"/>
      <c r="AE618" s="56"/>
      <c r="AF618" s="56"/>
      <c r="AG618" s="56"/>
      <c r="AH618" s="56"/>
      <c r="AI618" s="56"/>
      <c r="AJ618" s="56"/>
      <c r="AK618" s="56"/>
    </row>
    <row r="619" spans="1:37" ht="15.75" customHeight="1" x14ac:dyDescent="0.2">
      <c r="A619" s="56"/>
      <c r="C619" s="56"/>
      <c r="AB619" s="56"/>
      <c r="AC619" s="56"/>
      <c r="AD619" s="58"/>
      <c r="AE619" s="56"/>
      <c r="AF619" s="56"/>
      <c r="AG619" s="56"/>
      <c r="AH619" s="56"/>
      <c r="AI619" s="56"/>
      <c r="AJ619" s="56"/>
      <c r="AK619" s="56"/>
    </row>
    <row r="620" spans="1:37" ht="15.75" customHeight="1" x14ac:dyDescent="0.2">
      <c r="A620" s="56"/>
      <c r="C620" s="56"/>
      <c r="AB620" s="56"/>
      <c r="AC620" s="56"/>
      <c r="AD620" s="58"/>
      <c r="AE620" s="56"/>
      <c r="AF620" s="56"/>
      <c r="AG620" s="56"/>
      <c r="AH620" s="56"/>
      <c r="AI620" s="56"/>
      <c r="AJ620" s="56"/>
      <c r="AK620" s="56"/>
    </row>
    <row r="621" spans="1:37" ht="15.75" customHeight="1" x14ac:dyDescent="0.2">
      <c r="A621" s="56"/>
      <c r="C621" s="56"/>
      <c r="AB621" s="56"/>
      <c r="AC621" s="56"/>
      <c r="AD621" s="58"/>
      <c r="AE621" s="56"/>
      <c r="AF621" s="56"/>
      <c r="AG621" s="56"/>
      <c r="AH621" s="56"/>
      <c r="AI621" s="56"/>
      <c r="AJ621" s="56"/>
      <c r="AK621" s="56"/>
    </row>
    <row r="622" spans="1:37" ht="15.75" customHeight="1" x14ac:dyDescent="0.2">
      <c r="A622" s="56"/>
      <c r="C622" s="56"/>
      <c r="AB622" s="56"/>
      <c r="AC622" s="56"/>
      <c r="AD622" s="58"/>
      <c r="AE622" s="56"/>
      <c r="AF622" s="56"/>
      <c r="AG622" s="56"/>
      <c r="AH622" s="56"/>
      <c r="AI622" s="56"/>
      <c r="AJ622" s="56"/>
      <c r="AK622" s="56"/>
    </row>
    <row r="623" spans="1:37" ht="15.75" customHeight="1" x14ac:dyDescent="0.2">
      <c r="A623" s="56"/>
      <c r="C623" s="56"/>
      <c r="AB623" s="56"/>
      <c r="AC623" s="56"/>
      <c r="AD623" s="58"/>
      <c r="AE623" s="56"/>
      <c r="AF623" s="56"/>
      <c r="AG623" s="56"/>
      <c r="AH623" s="56"/>
      <c r="AI623" s="56"/>
      <c r="AJ623" s="56"/>
      <c r="AK623" s="56"/>
    </row>
    <row r="624" spans="1:37" ht="15.75" customHeight="1" x14ac:dyDescent="0.2">
      <c r="A624" s="56"/>
      <c r="C624" s="56"/>
      <c r="AB624" s="56"/>
      <c r="AC624" s="56"/>
      <c r="AD624" s="58"/>
      <c r="AE624" s="56"/>
      <c r="AF624" s="56"/>
      <c r="AG624" s="56"/>
      <c r="AH624" s="56"/>
      <c r="AI624" s="56"/>
      <c r="AJ624" s="56"/>
      <c r="AK624" s="56"/>
    </row>
    <row r="625" spans="1:37" ht="15.75" customHeight="1" x14ac:dyDescent="0.2">
      <c r="A625" s="56"/>
      <c r="C625" s="56"/>
      <c r="AB625" s="56"/>
      <c r="AC625" s="56"/>
      <c r="AD625" s="58"/>
      <c r="AE625" s="56"/>
      <c r="AF625" s="56"/>
      <c r="AG625" s="56"/>
      <c r="AH625" s="56"/>
      <c r="AI625" s="56"/>
      <c r="AJ625" s="56"/>
      <c r="AK625" s="56"/>
    </row>
    <row r="626" spans="1:37" ht="15.75" customHeight="1" x14ac:dyDescent="0.2">
      <c r="A626" s="56"/>
      <c r="C626" s="56"/>
      <c r="AB626" s="56"/>
      <c r="AC626" s="56"/>
      <c r="AD626" s="58"/>
      <c r="AE626" s="56"/>
      <c r="AF626" s="56"/>
      <c r="AG626" s="56"/>
      <c r="AH626" s="56"/>
      <c r="AI626" s="56"/>
      <c r="AJ626" s="56"/>
      <c r="AK626" s="56"/>
    </row>
    <row r="627" spans="1:37" ht="15.75" customHeight="1" x14ac:dyDescent="0.2">
      <c r="A627" s="56"/>
      <c r="C627" s="56"/>
      <c r="AB627" s="56"/>
      <c r="AC627" s="56"/>
      <c r="AD627" s="58"/>
      <c r="AE627" s="56"/>
      <c r="AF627" s="56"/>
      <c r="AG627" s="56"/>
      <c r="AH627" s="56"/>
      <c r="AI627" s="56"/>
      <c r="AJ627" s="56"/>
      <c r="AK627" s="56"/>
    </row>
    <row r="628" spans="1:37" ht="15.75" customHeight="1" x14ac:dyDescent="0.2">
      <c r="A628" s="56"/>
      <c r="C628" s="56"/>
      <c r="AB628" s="56"/>
      <c r="AC628" s="56"/>
      <c r="AD628" s="58"/>
      <c r="AE628" s="56"/>
      <c r="AF628" s="56"/>
      <c r="AG628" s="56"/>
      <c r="AH628" s="56"/>
      <c r="AI628" s="56"/>
      <c r="AJ628" s="56"/>
      <c r="AK628" s="56"/>
    </row>
    <row r="629" spans="1:37" ht="15.75" customHeight="1" x14ac:dyDescent="0.2">
      <c r="A629" s="56"/>
      <c r="C629" s="56"/>
      <c r="AB629" s="56"/>
      <c r="AC629" s="56"/>
      <c r="AD629" s="58"/>
      <c r="AE629" s="56"/>
      <c r="AF629" s="56"/>
      <c r="AG629" s="56"/>
      <c r="AH629" s="56"/>
      <c r="AI629" s="56"/>
      <c r="AJ629" s="56"/>
      <c r="AK629" s="56"/>
    </row>
    <row r="630" spans="1:37" ht="15.75" customHeight="1" x14ac:dyDescent="0.2">
      <c r="A630" s="56"/>
      <c r="C630" s="56"/>
      <c r="AB630" s="56"/>
      <c r="AC630" s="56"/>
      <c r="AD630" s="58"/>
      <c r="AE630" s="56"/>
      <c r="AF630" s="56"/>
      <c r="AG630" s="56"/>
      <c r="AH630" s="56"/>
      <c r="AI630" s="56"/>
      <c r="AJ630" s="56"/>
      <c r="AK630" s="56"/>
    </row>
    <row r="631" spans="1:37" ht="15.75" customHeight="1" x14ac:dyDescent="0.2">
      <c r="A631" s="56"/>
      <c r="C631" s="56"/>
      <c r="AB631" s="56"/>
      <c r="AC631" s="56"/>
      <c r="AD631" s="58"/>
      <c r="AE631" s="56"/>
      <c r="AF631" s="56"/>
      <c r="AG631" s="56"/>
      <c r="AH631" s="56"/>
      <c r="AI631" s="56"/>
      <c r="AJ631" s="56"/>
      <c r="AK631" s="56"/>
    </row>
    <row r="632" spans="1:37" ht="15.75" customHeight="1" x14ac:dyDescent="0.2">
      <c r="A632" s="56"/>
      <c r="C632" s="56"/>
      <c r="AB632" s="56"/>
      <c r="AC632" s="56"/>
      <c r="AD632" s="58"/>
      <c r="AE632" s="56"/>
      <c r="AF632" s="56"/>
      <c r="AG632" s="56"/>
      <c r="AH632" s="56"/>
      <c r="AI632" s="56"/>
      <c r="AJ632" s="56"/>
      <c r="AK632" s="56"/>
    </row>
    <row r="633" spans="1:37" ht="15.75" customHeight="1" x14ac:dyDescent="0.2">
      <c r="A633" s="56"/>
      <c r="C633" s="56"/>
      <c r="AB633" s="56"/>
      <c r="AC633" s="56"/>
      <c r="AD633" s="58"/>
      <c r="AE633" s="56"/>
      <c r="AF633" s="56"/>
      <c r="AG633" s="56"/>
      <c r="AH633" s="56"/>
      <c r="AI633" s="56"/>
      <c r="AJ633" s="56"/>
      <c r="AK633" s="56"/>
    </row>
    <row r="634" spans="1:37" ht="15.75" customHeight="1" x14ac:dyDescent="0.2">
      <c r="A634" s="56"/>
      <c r="C634" s="56"/>
      <c r="AB634" s="56"/>
      <c r="AC634" s="56"/>
      <c r="AD634" s="58"/>
      <c r="AE634" s="56"/>
      <c r="AF634" s="56"/>
      <c r="AG634" s="56"/>
      <c r="AH634" s="56"/>
      <c r="AI634" s="56"/>
      <c r="AJ634" s="56"/>
      <c r="AK634" s="56"/>
    </row>
    <row r="635" spans="1:37" ht="15.75" customHeight="1" x14ac:dyDescent="0.2">
      <c r="A635" s="56"/>
      <c r="C635" s="56"/>
      <c r="AB635" s="56"/>
      <c r="AC635" s="56"/>
      <c r="AD635" s="58"/>
      <c r="AE635" s="56"/>
      <c r="AF635" s="56"/>
      <c r="AG635" s="56"/>
      <c r="AH635" s="56"/>
      <c r="AI635" s="56"/>
      <c r="AJ635" s="56"/>
      <c r="AK635" s="56"/>
    </row>
    <row r="636" spans="1:37" ht="15.75" customHeight="1" x14ac:dyDescent="0.2">
      <c r="A636" s="56"/>
      <c r="C636" s="56"/>
      <c r="AB636" s="56"/>
      <c r="AC636" s="56"/>
      <c r="AD636" s="58"/>
      <c r="AE636" s="56"/>
      <c r="AF636" s="56"/>
      <c r="AG636" s="56"/>
      <c r="AH636" s="56"/>
      <c r="AI636" s="56"/>
      <c r="AJ636" s="56"/>
      <c r="AK636" s="56"/>
    </row>
    <row r="637" spans="1:37" ht="15.75" customHeight="1" x14ac:dyDescent="0.2">
      <c r="A637" s="56"/>
      <c r="C637" s="56"/>
      <c r="AB637" s="56"/>
      <c r="AC637" s="56"/>
      <c r="AD637" s="58"/>
      <c r="AE637" s="56"/>
      <c r="AF637" s="56"/>
      <c r="AG637" s="56"/>
      <c r="AH637" s="56"/>
      <c r="AI637" s="56"/>
      <c r="AJ637" s="56"/>
      <c r="AK637" s="56"/>
    </row>
    <row r="638" spans="1:37" ht="15.75" customHeight="1" x14ac:dyDescent="0.2">
      <c r="A638" s="56"/>
      <c r="C638" s="56"/>
      <c r="AB638" s="56"/>
      <c r="AC638" s="56"/>
      <c r="AD638" s="58"/>
      <c r="AE638" s="56"/>
      <c r="AF638" s="56"/>
      <c r="AG638" s="56"/>
      <c r="AH638" s="56"/>
      <c r="AI638" s="56"/>
      <c r="AJ638" s="56"/>
      <c r="AK638" s="56"/>
    </row>
    <row r="639" spans="1:37" ht="15.75" customHeight="1" x14ac:dyDescent="0.2">
      <c r="A639" s="56"/>
      <c r="C639" s="56"/>
      <c r="AB639" s="56"/>
      <c r="AC639" s="56"/>
      <c r="AD639" s="58"/>
      <c r="AE639" s="56"/>
      <c r="AF639" s="56"/>
      <c r="AG639" s="56"/>
      <c r="AH639" s="56"/>
      <c r="AI639" s="56"/>
      <c r="AJ639" s="56"/>
      <c r="AK639" s="56"/>
    </row>
    <row r="640" spans="1:37" ht="15.75" customHeight="1" x14ac:dyDescent="0.2">
      <c r="A640" s="56"/>
      <c r="C640" s="56"/>
      <c r="AB640" s="56"/>
      <c r="AC640" s="56"/>
      <c r="AD640" s="58"/>
      <c r="AE640" s="56"/>
      <c r="AF640" s="56"/>
      <c r="AG640" s="56"/>
      <c r="AH640" s="56"/>
      <c r="AI640" s="56"/>
      <c r="AJ640" s="56"/>
      <c r="AK640" s="56"/>
    </row>
    <row r="641" spans="1:37" ht="15.75" customHeight="1" x14ac:dyDescent="0.2">
      <c r="A641" s="56"/>
      <c r="C641" s="56"/>
      <c r="AB641" s="56"/>
      <c r="AC641" s="56"/>
      <c r="AD641" s="58"/>
      <c r="AE641" s="56"/>
      <c r="AF641" s="56"/>
      <c r="AG641" s="56"/>
      <c r="AH641" s="56"/>
      <c r="AI641" s="56"/>
      <c r="AJ641" s="56"/>
      <c r="AK641" s="56"/>
    </row>
    <row r="642" spans="1:37" ht="15.75" customHeight="1" x14ac:dyDescent="0.2">
      <c r="A642" s="56"/>
      <c r="C642" s="56"/>
      <c r="AB642" s="56"/>
      <c r="AC642" s="56"/>
      <c r="AD642" s="58"/>
      <c r="AE642" s="56"/>
      <c r="AF642" s="56"/>
      <c r="AG642" s="56"/>
      <c r="AH642" s="56"/>
      <c r="AI642" s="56"/>
      <c r="AJ642" s="56"/>
      <c r="AK642" s="56"/>
    </row>
    <row r="643" spans="1:37" ht="15.75" customHeight="1" x14ac:dyDescent="0.2">
      <c r="A643" s="56"/>
      <c r="C643" s="56"/>
      <c r="AB643" s="56"/>
      <c r="AC643" s="56"/>
      <c r="AD643" s="58"/>
      <c r="AE643" s="56"/>
      <c r="AF643" s="56"/>
      <c r="AG643" s="56"/>
      <c r="AH643" s="56"/>
      <c r="AI643" s="56"/>
      <c r="AJ643" s="56"/>
      <c r="AK643" s="56"/>
    </row>
    <row r="644" spans="1:37" ht="15.75" customHeight="1" x14ac:dyDescent="0.2">
      <c r="A644" s="56"/>
      <c r="C644" s="56"/>
      <c r="AB644" s="56"/>
      <c r="AC644" s="56"/>
      <c r="AD644" s="58"/>
      <c r="AE644" s="56"/>
      <c r="AF644" s="56"/>
      <c r="AG644" s="56"/>
      <c r="AH644" s="56"/>
      <c r="AI644" s="56"/>
      <c r="AJ644" s="56"/>
      <c r="AK644" s="56"/>
    </row>
    <row r="645" spans="1:37" ht="15.75" customHeight="1" x14ac:dyDescent="0.2">
      <c r="A645" s="56"/>
      <c r="C645" s="56"/>
      <c r="AB645" s="56"/>
      <c r="AC645" s="56"/>
      <c r="AD645" s="58"/>
      <c r="AE645" s="56"/>
      <c r="AF645" s="56"/>
      <c r="AG645" s="56"/>
      <c r="AH645" s="56"/>
      <c r="AI645" s="56"/>
      <c r="AJ645" s="56"/>
      <c r="AK645" s="56"/>
    </row>
    <row r="646" spans="1:37" ht="15.75" customHeight="1" x14ac:dyDescent="0.2">
      <c r="A646" s="56"/>
      <c r="C646" s="56"/>
      <c r="AB646" s="56"/>
      <c r="AC646" s="56"/>
      <c r="AD646" s="58"/>
      <c r="AE646" s="56"/>
      <c r="AF646" s="56"/>
      <c r="AG646" s="56"/>
      <c r="AH646" s="56"/>
      <c r="AI646" s="56"/>
      <c r="AJ646" s="56"/>
      <c r="AK646" s="56"/>
    </row>
    <row r="647" spans="1:37" ht="15.75" customHeight="1" x14ac:dyDescent="0.2">
      <c r="A647" s="56"/>
      <c r="C647" s="56"/>
      <c r="AB647" s="56"/>
      <c r="AC647" s="56"/>
      <c r="AD647" s="58"/>
      <c r="AE647" s="56"/>
      <c r="AF647" s="56"/>
      <c r="AG647" s="56"/>
      <c r="AH647" s="56"/>
      <c r="AI647" s="56"/>
      <c r="AJ647" s="56"/>
      <c r="AK647" s="56"/>
    </row>
    <row r="648" spans="1:37" ht="15.75" customHeight="1" x14ac:dyDescent="0.2">
      <c r="A648" s="56"/>
      <c r="C648" s="56"/>
      <c r="AB648" s="56"/>
      <c r="AC648" s="56"/>
      <c r="AD648" s="58"/>
      <c r="AE648" s="56"/>
      <c r="AF648" s="56"/>
      <c r="AG648" s="56"/>
      <c r="AH648" s="56"/>
      <c r="AI648" s="56"/>
      <c r="AJ648" s="56"/>
      <c r="AK648" s="56"/>
    </row>
    <row r="649" spans="1:37" ht="15.75" customHeight="1" x14ac:dyDescent="0.2">
      <c r="A649" s="56"/>
      <c r="C649" s="56"/>
      <c r="AB649" s="56"/>
      <c r="AC649" s="56"/>
      <c r="AD649" s="58"/>
      <c r="AE649" s="56"/>
      <c r="AF649" s="56"/>
      <c r="AG649" s="56"/>
      <c r="AH649" s="56"/>
      <c r="AI649" s="56"/>
      <c r="AJ649" s="56"/>
      <c r="AK649" s="56"/>
    </row>
    <row r="650" spans="1:37" ht="15.75" customHeight="1" x14ac:dyDescent="0.2">
      <c r="A650" s="56"/>
      <c r="C650" s="56"/>
      <c r="AB650" s="56"/>
      <c r="AC650" s="56"/>
      <c r="AD650" s="58"/>
      <c r="AE650" s="56"/>
      <c r="AF650" s="56"/>
      <c r="AG650" s="56"/>
      <c r="AH650" s="56"/>
      <c r="AI650" s="56"/>
      <c r="AJ650" s="56"/>
      <c r="AK650" s="56"/>
    </row>
    <row r="651" spans="1:37" ht="15.75" customHeight="1" x14ac:dyDescent="0.2">
      <c r="A651" s="56"/>
      <c r="C651" s="56"/>
      <c r="AB651" s="56"/>
      <c r="AC651" s="56"/>
      <c r="AD651" s="58"/>
      <c r="AE651" s="56"/>
      <c r="AF651" s="56"/>
      <c r="AG651" s="56"/>
      <c r="AH651" s="56"/>
      <c r="AI651" s="56"/>
      <c r="AJ651" s="56"/>
      <c r="AK651" s="56"/>
    </row>
    <row r="652" spans="1:37" ht="15.75" customHeight="1" x14ac:dyDescent="0.2">
      <c r="A652" s="56"/>
      <c r="C652" s="56"/>
      <c r="AB652" s="56"/>
      <c r="AC652" s="56"/>
      <c r="AD652" s="58"/>
      <c r="AE652" s="56"/>
      <c r="AF652" s="56"/>
      <c r="AG652" s="56"/>
      <c r="AH652" s="56"/>
      <c r="AI652" s="56"/>
      <c r="AJ652" s="56"/>
      <c r="AK652" s="56"/>
    </row>
    <row r="653" spans="1:37" ht="15.75" customHeight="1" x14ac:dyDescent="0.2">
      <c r="A653" s="56"/>
      <c r="C653" s="56"/>
      <c r="AB653" s="56"/>
      <c r="AC653" s="56"/>
      <c r="AD653" s="58"/>
      <c r="AE653" s="56"/>
      <c r="AF653" s="56"/>
      <c r="AG653" s="56"/>
      <c r="AH653" s="56"/>
      <c r="AI653" s="56"/>
      <c r="AJ653" s="56"/>
      <c r="AK653" s="56"/>
    </row>
    <row r="654" spans="1:37" ht="15.75" customHeight="1" x14ac:dyDescent="0.2">
      <c r="A654" s="56"/>
      <c r="C654" s="56"/>
      <c r="AB654" s="56"/>
      <c r="AC654" s="56"/>
      <c r="AD654" s="58"/>
      <c r="AE654" s="56"/>
      <c r="AF654" s="56"/>
      <c r="AG654" s="56"/>
      <c r="AH654" s="56"/>
      <c r="AI654" s="56"/>
      <c r="AJ654" s="56"/>
      <c r="AK654" s="56"/>
    </row>
    <row r="655" spans="1:37" ht="15.75" customHeight="1" x14ac:dyDescent="0.2">
      <c r="A655" s="56"/>
      <c r="C655" s="56"/>
      <c r="AB655" s="56"/>
      <c r="AC655" s="56"/>
      <c r="AD655" s="58"/>
      <c r="AE655" s="56"/>
      <c r="AF655" s="56"/>
      <c r="AG655" s="56"/>
      <c r="AH655" s="56"/>
      <c r="AI655" s="56"/>
      <c r="AJ655" s="56"/>
      <c r="AK655" s="56"/>
    </row>
    <row r="656" spans="1:37" ht="15.75" customHeight="1" x14ac:dyDescent="0.2">
      <c r="A656" s="56"/>
      <c r="C656" s="56"/>
      <c r="AB656" s="56"/>
      <c r="AC656" s="56"/>
      <c r="AD656" s="58"/>
      <c r="AE656" s="56"/>
      <c r="AF656" s="56"/>
      <c r="AG656" s="56"/>
      <c r="AH656" s="56"/>
      <c r="AI656" s="56"/>
      <c r="AJ656" s="56"/>
      <c r="AK656" s="56"/>
    </row>
    <row r="657" spans="1:37" ht="15.75" customHeight="1" x14ac:dyDescent="0.2">
      <c r="A657" s="56"/>
      <c r="C657" s="56"/>
      <c r="AB657" s="56"/>
      <c r="AC657" s="56"/>
      <c r="AD657" s="58"/>
      <c r="AE657" s="56"/>
      <c r="AF657" s="56"/>
      <c r="AG657" s="56"/>
      <c r="AH657" s="56"/>
      <c r="AI657" s="56"/>
      <c r="AJ657" s="56"/>
      <c r="AK657" s="56"/>
    </row>
    <row r="658" spans="1:37" ht="15.75" customHeight="1" x14ac:dyDescent="0.2">
      <c r="A658" s="56"/>
      <c r="C658" s="56"/>
      <c r="AB658" s="56"/>
      <c r="AC658" s="56"/>
      <c r="AD658" s="58"/>
      <c r="AE658" s="56"/>
      <c r="AF658" s="56"/>
      <c r="AG658" s="56"/>
      <c r="AH658" s="56"/>
      <c r="AI658" s="56"/>
      <c r="AJ658" s="56"/>
      <c r="AK658" s="56"/>
    </row>
    <row r="659" spans="1:37" ht="15.75" customHeight="1" x14ac:dyDescent="0.2">
      <c r="A659" s="56"/>
      <c r="C659" s="56"/>
      <c r="AB659" s="56"/>
      <c r="AC659" s="56"/>
      <c r="AD659" s="58"/>
      <c r="AE659" s="56"/>
      <c r="AF659" s="56"/>
      <c r="AG659" s="56"/>
      <c r="AH659" s="56"/>
      <c r="AI659" s="56"/>
      <c r="AJ659" s="56"/>
      <c r="AK659" s="56"/>
    </row>
    <row r="660" spans="1:37" ht="15.75" customHeight="1" x14ac:dyDescent="0.2">
      <c r="A660" s="56"/>
      <c r="C660" s="56"/>
      <c r="AB660" s="56"/>
      <c r="AC660" s="56"/>
      <c r="AD660" s="58"/>
      <c r="AE660" s="56"/>
      <c r="AF660" s="56"/>
      <c r="AG660" s="56"/>
      <c r="AH660" s="56"/>
      <c r="AI660" s="56"/>
      <c r="AJ660" s="56"/>
      <c r="AK660" s="56"/>
    </row>
    <row r="661" spans="1:37" ht="15.75" customHeight="1" x14ac:dyDescent="0.2">
      <c r="A661" s="56"/>
      <c r="C661" s="56"/>
      <c r="AB661" s="56"/>
      <c r="AC661" s="56"/>
      <c r="AD661" s="58"/>
      <c r="AE661" s="56"/>
      <c r="AF661" s="56"/>
      <c r="AG661" s="56"/>
      <c r="AH661" s="56"/>
      <c r="AI661" s="56"/>
      <c r="AJ661" s="56"/>
      <c r="AK661" s="56"/>
    </row>
    <row r="662" spans="1:37" ht="15.75" customHeight="1" x14ac:dyDescent="0.2">
      <c r="A662" s="56"/>
      <c r="C662" s="56"/>
      <c r="AB662" s="56"/>
      <c r="AC662" s="56"/>
      <c r="AD662" s="58"/>
      <c r="AE662" s="56"/>
      <c r="AF662" s="56"/>
      <c r="AG662" s="56"/>
      <c r="AH662" s="56"/>
      <c r="AI662" s="56"/>
      <c r="AJ662" s="56"/>
      <c r="AK662" s="56"/>
    </row>
    <row r="663" spans="1:37" ht="15.75" customHeight="1" x14ac:dyDescent="0.2">
      <c r="A663" s="56"/>
      <c r="C663" s="56"/>
      <c r="AB663" s="56"/>
      <c r="AC663" s="56"/>
      <c r="AD663" s="58"/>
      <c r="AE663" s="56"/>
      <c r="AF663" s="56"/>
      <c r="AG663" s="56"/>
      <c r="AH663" s="56"/>
      <c r="AI663" s="56"/>
      <c r="AJ663" s="56"/>
      <c r="AK663" s="56"/>
    </row>
    <row r="664" spans="1:37" ht="15.75" customHeight="1" x14ac:dyDescent="0.2">
      <c r="A664" s="56"/>
      <c r="C664" s="56"/>
      <c r="AB664" s="56"/>
      <c r="AC664" s="56"/>
      <c r="AD664" s="58"/>
      <c r="AE664" s="56"/>
      <c r="AF664" s="56"/>
      <c r="AG664" s="56"/>
      <c r="AH664" s="56"/>
      <c r="AI664" s="56"/>
      <c r="AJ664" s="56"/>
      <c r="AK664" s="56"/>
    </row>
    <row r="665" spans="1:37" ht="15.75" customHeight="1" x14ac:dyDescent="0.2">
      <c r="A665" s="56"/>
      <c r="C665" s="56"/>
      <c r="AB665" s="56"/>
      <c r="AC665" s="56"/>
      <c r="AD665" s="58"/>
      <c r="AE665" s="56"/>
      <c r="AF665" s="56"/>
      <c r="AG665" s="56"/>
      <c r="AH665" s="56"/>
      <c r="AI665" s="56"/>
      <c r="AJ665" s="56"/>
      <c r="AK665" s="56"/>
    </row>
    <row r="666" spans="1:37" ht="15.75" customHeight="1" x14ac:dyDescent="0.2">
      <c r="A666" s="56"/>
      <c r="C666" s="56"/>
      <c r="AB666" s="56"/>
      <c r="AC666" s="56"/>
      <c r="AD666" s="58"/>
      <c r="AE666" s="56"/>
      <c r="AF666" s="56"/>
      <c r="AG666" s="56"/>
      <c r="AH666" s="56"/>
      <c r="AI666" s="56"/>
      <c r="AJ666" s="56"/>
      <c r="AK666" s="56"/>
    </row>
    <row r="667" spans="1:37" ht="15.75" customHeight="1" x14ac:dyDescent="0.2">
      <c r="A667" s="56"/>
      <c r="C667" s="56"/>
      <c r="AB667" s="56"/>
      <c r="AC667" s="56"/>
      <c r="AD667" s="58"/>
      <c r="AE667" s="56"/>
      <c r="AF667" s="56"/>
      <c r="AG667" s="56"/>
      <c r="AH667" s="56"/>
      <c r="AI667" s="56"/>
      <c r="AJ667" s="56"/>
      <c r="AK667" s="56"/>
    </row>
    <row r="668" spans="1:37" ht="15.75" customHeight="1" x14ac:dyDescent="0.2">
      <c r="A668" s="56"/>
      <c r="C668" s="56"/>
      <c r="AB668" s="56"/>
      <c r="AC668" s="56"/>
      <c r="AD668" s="58"/>
      <c r="AE668" s="56"/>
      <c r="AF668" s="56"/>
      <c r="AG668" s="56"/>
      <c r="AH668" s="56"/>
      <c r="AI668" s="56"/>
      <c r="AJ668" s="56"/>
      <c r="AK668" s="56"/>
    </row>
    <row r="669" spans="1:37" ht="15.75" customHeight="1" x14ac:dyDescent="0.2">
      <c r="A669" s="56"/>
      <c r="C669" s="56"/>
      <c r="AB669" s="56"/>
      <c r="AC669" s="56"/>
      <c r="AD669" s="58"/>
      <c r="AE669" s="56"/>
      <c r="AF669" s="56"/>
      <c r="AG669" s="56"/>
      <c r="AH669" s="56"/>
      <c r="AI669" s="56"/>
      <c r="AJ669" s="56"/>
      <c r="AK669" s="56"/>
    </row>
    <row r="670" spans="1:37" ht="15.75" customHeight="1" x14ac:dyDescent="0.2">
      <c r="A670" s="56"/>
      <c r="C670" s="56"/>
      <c r="AB670" s="56"/>
      <c r="AC670" s="56"/>
      <c r="AD670" s="58"/>
      <c r="AE670" s="56"/>
      <c r="AF670" s="56"/>
      <c r="AG670" s="56"/>
      <c r="AH670" s="56"/>
      <c r="AI670" s="56"/>
      <c r="AJ670" s="56"/>
      <c r="AK670" s="56"/>
    </row>
    <row r="671" spans="1:37" ht="15.75" customHeight="1" x14ac:dyDescent="0.2">
      <c r="A671" s="56"/>
      <c r="C671" s="56"/>
      <c r="AB671" s="56"/>
      <c r="AC671" s="56"/>
      <c r="AD671" s="58"/>
      <c r="AE671" s="56"/>
      <c r="AF671" s="56"/>
      <c r="AG671" s="56"/>
      <c r="AH671" s="56"/>
      <c r="AI671" s="56"/>
      <c r="AJ671" s="56"/>
      <c r="AK671" s="56"/>
    </row>
    <row r="672" spans="1:37" ht="15.75" customHeight="1" x14ac:dyDescent="0.2">
      <c r="A672" s="56"/>
      <c r="C672" s="56"/>
      <c r="AB672" s="56"/>
      <c r="AC672" s="56"/>
      <c r="AD672" s="58"/>
      <c r="AE672" s="56"/>
      <c r="AF672" s="56"/>
      <c r="AG672" s="56"/>
      <c r="AH672" s="56"/>
      <c r="AI672" s="56"/>
      <c r="AJ672" s="56"/>
      <c r="AK672" s="56"/>
    </row>
    <row r="673" spans="1:37" ht="15.75" customHeight="1" x14ac:dyDescent="0.2">
      <c r="A673" s="56"/>
      <c r="C673" s="56"/>
      <c r="AB673" s="56"/>
      <c r="AC673" s="56"/>
      <c r="AD673" s="58"/>
      <c r="AE673" s="56"/>
      <c r="AF673" s="56"/>
      <c r="AG673" s="56"/>
      <c r="AH673" s="56"/>
      <c r="AI673" s="56"/>
      <c r="AJ673" s="56"/>
      <c r="AK673" s="56"/>
    </row>
    <row r="674" spans="1:37" ht="15.75" customHeight="1" x14ac:dyDescent="0.2">
      <c r="A674" s="56"/>
      <c r="C674" s="56"/>
      <c r="AB674" s="56"/>
      <c r="AC674" s="56"/>
      <c r="AD674" s="58"/>
      <c r="AE674" s="56"/>
      <c r="AF674" s="56"/>
      <c r="AG674" s="56"/>
      <c r="AH674" s="56"/>
      <c r="AI674" s="56"/>
      <c r="AJ674" s="56"/>
      <c r="AK674" s="56"/>
    </row>
    <row r="675" spans="1:37" ht="15.75" customHeight="1" x14ac:dyDescent="0.2">
      <c r="A675" s="56"/>
      <c r="C675" s="56"/>
      <c r="AB675" s="56"/>
      <c r="AC675" s="56"/>
      <c r="AD675" s="58"/>
      <c r="AE675" s="56"/>
      <c r="AF675" s="56"/>
      <c r="AG675" s="56"/>
      <c r="AH675" s="56"/>
      <c r="AI675" s="56"/>
      <c r="AJ675" s="56"/>
      <c r="AK675" s="56"/>
    </row>
    <row r="676" spans="1:37" ht="15.75" customHeight="1" x14ac:dyDescent="0.2">
      <c r="A676" s="56"/>
      <c r="C676" s="56"/>
      <c r="AB676" s="56"/>
      <c r="AC676" s="56"/>
      <c r="AD676" s="58"/>
      <c r="AE676" s="56"/>
      <c r="AF676" s="56"/>
      <c r="AG676" s="56"/>
      <c r="AH676" s="56"/>
      <c r="AI676" s="56"/>
      <c r="AJ676" s="56"/>
      <c r="AK676" s="56"/>
    </row>
    <row r="677" spans="1:37" ht="15.75" customHeight="1" x14ac:dyDescent="0.2">
      <c r="A677" s="56"/>
      <c r="C677" s="56"/>
      <c r="AB677" s="56"/>
      <c r="AC677" s="56"/>
      <c r="AD677" s="58"/>
      <c r="AE677" s="56"/>
      <c r="AF677" s="56"/>
      <c r="AG677" s="56"/>
      <c r="AH677" s="56"/>
      <c r="AI677" s="56"/>
      <c r="AJ677" s="56"/>
      <c r="AK677" s="56"/>
    </row>
    <row r="678" spans="1:37" ht="15.75" customHeight="1" x14ac:dyDescent="0.2">
      <c r="A678" s="56"/>
      <c r="C678" s="56"/>
      <c r="AB678" s="56"/>
      <c r="AC678" s="56"/>
      <c r="AD678" s="58"/>
      <c r="AE678" s="56"/>
      <c r="AF678" s="56"/>
      <c r="AG678" s="56"/>
      <c r="AH678" s="56"/>
      <c r="AI678" s="56"/>
      <c r="AJ678" s="56"/>
      <c r="AK678" s="56"/>
    </row>
    <row r="679" spans="1:37" ht="15.75" customHeight="1" x14ac:dyDescent="0.2">
      <c r="A679" s="56"/>
      <c r="C679" s="56"/>
      <c r="AB679" s="56"/>
      <c r="AC679" s="56"/>
      <c r="AD679" s="58"/>
      <c r="AE679" s="56"/>
      <c r="AF679" s="56"/>
      <c r="AG679" s="56"/>
      <c r="AH679" s="56"/>
      <c r="AI679" s="56"/>
      <c r="AJ679" s="56"/>
      <c r="AK679" s="56"/>
    </row>
    <row r="680" spans="1:37" ht="15.75" customHeight="1" x14ac:dyDescent="0.2">
      <c r="A680" s="56"/>
      <c r="C680" s="56"/>
      <c r="AB680" s="56"/>
      <c r="AC680" s="56"/>
      <c r="AD680" s="58"/>
      <c r="AE680" s="56"/>
      <c r="AF680" s="56"/>
      <c r="AG680" s="56"/>
      <c r="AH680" s="56"/>
      <c r="AI680" s="56"/>
      <c r="AJ680" s="56"/>
      <c r="AK680" s="56"/>
    </row>
    <row r="681" spans="1:37" ht="15.75" customHeight="1" x14ac:dyDescent="0.2">
      <c r="A681" s="56"/>
      <c r="C681" s="56"/>
      <c r="AB681" s="56"/>
      <c r="AC681" s="56"/>
      <c r="AD681" s="58"/>
      <c r="AE681" s="56"/>
      <c r="AF681" s="56"/>
      <c r="AG681" s="56"/>
      <c r="AH681" s="56"/>
      <c r="AI681" s="56"/>
      <c r="AJ681" s="56"/>
      <c r="AK681" s="56"/>
    </row>
    <row r="682" spans="1:37" ht="15.75" customHeight="1" x14ac:dyDescent="0.2">
      <c r="A682" s="56"/>
      <c r="C682" s="56"/>
      <c r="AB682" s="56"/>
      <c r="AC682" s="56"/>
      <c r="AD682" s="58"/>
      <c r="AE682" s="56"/>
      <c r="AF682" s="56"/>
      <c r="AG682" s="56"/>
      <c r="AH682" s="56"/>
      <c r="AI682" s="56"/>
      <c r="AJ682" s="56"/>
      <c r="AK682" s="56"/>
    </row>
    <row r="683" spans="1:37" ht="15.75" customHeight="1" x14ac:dyDescent="0.2">
      <c r="A683" s="56"/>
      <c r="C683" s="56"/>
      <c r="AB683" s="56"/>
      <c r="AC683" s="56"/>
      <c r="AD683" s="58"/>
      <c r="AE683" s="56"/>
      <c r="AF683" s="56"/>
      <c r="AG683" s="56"/>
      <c r="AH683" s="56"/>
      <c r="AI683" s="56"/>
      <c r="AJ683" s="56"/>
      <c r="AK683" s="56"/>
    </row>
    <row r="684" spans="1:37" ht="15.75" customHeight="1" x14ac:dyDescent="0.2">
      <c r="A684" s="56"/>
      <c r="C684" s="56"/>
      <c r="AB684" s="56"/>
      <c r="AC684" s="56"/>
      <c r="AD684" s="58"/>
      <c r="AE684" s="56"/>
      <c r="AF684" s="56"/>
      <c r="AG684" s="56"/>
      <c r="AH684" s="56"/>
      <c r="AI684" s="56"/>
      <c r="AJ684" s="56"/>
      <c r="AK684" s="56"/>
    </row>
    <row r="685" spans="1:37" ht="15.75" customHeight="1" x14ac:dyDescent="0.2">
      <c r="A685" s="56"/>
      <c r="C685" s="56"/>
      <c r="AB685" s="56"/>
      <c r="AC685" s="56"/>
      <c r="AD685" s="58"/>
      <c r="AE685" s="56"/>
      <c r="AF685" s="56"/>
      <c r="AG685" s="56"/>
      <c r="AH685" s="56"/>
      <c r="AI685" s="56"/>
      <c r="AJ685" s="56"/>
      <c r="AK685" s="56"/>
    </row>
    <row r="686" spans="1:37" ht="15.75" customHeight="1" x14ac:dyDescent="0.2">
      <c r="A686" s="56"/>
      <c r="C686" s="56"/>
      <c r="AB686" s="56"/>
      <c r="AC686" s="56"/>
      <c r="AD686" s="58"/>
      <c r="AE686" s="56"/>
      <c r="AF686" s="56"/>
      <c r="AG686" s="56"/>
      <c r="AH686" s="56"/>
      <c r="AI686" s="56"/>
      <c r="AJ686" s="56"/>
      <c r="AK686" s="56"/>
    </row>
    <row r="687" spans="1:37" ht="15.75" customHeight="1" x14ac:dyDescent="0.2">
      <c r="A687" s="56"/>
      <c r="C687" s="56"/>
      <c r="AB687" s="56"/>
      <c r="AC687" s="56"/>
      <c r="AD687" s="58"/>
      <c r="AE687" s="56"/>
      <c r="AF687" s="56"/>
      <c r="AG687" s="56"/>
      <c r="AH687" s="56"/>
      <c r="AI687" s="56"/>
      <c r="AJ687" s="56"/>
      <c r="AK687" s="56"/>
    </row>
    <row r="688" spans="1:37" ht="15.75" customHeight="1" x14ac:dyDescent="0.2">
      <c r="A688" s="56"/>
      <c r="C688" s="56"/>
      <c r="AB688" s="56"/>
      <c r="AC688" s="56"/>
      <c r="AD688" s="58"/>
      <c r="AE688" s="56"/>
      <c r="AF688" s="56"/>
      <c r="AG688" s="56"/>
      <c r="AH688" s="56"/>
      <c r="AI688" s="56"/>
      <c r="AJ688" s="56"/>
      <c r="AK688" s="56"/>
    </row>
    <row r="689" spans="1:37" ht="15.75" customHeight="1" x14ac:dyDescent="0.2">
      <c r="A689" s="56"/>
      <c r="C689" s="56"/>
      <c r="AB689" s="56"/>
      <c r="AC689" s="56"/>
      <c r="AD689" s="58"/>
      <c r="AE689" s="56"/>
      <c r="AF689" s="56"/>
      <c r="AG689" s="56"/>
      <c r="AH689" s="56"/>
      <c r="AI689" s="56"/>
      <c r="AJ689" s="56"/>
      <c r="AK689" s="56"/>
    </row>
    <row r="690" spans="1:37" ht="15.75" customHeight="1" x14ac:dyDescent="0.2">
      <c r="A690" s="56"/>
      <c r="C690" s="56"/>
      <c r="AB690" s="56"/>
      <c r="AC690" s="56"/>
      <c r="AD690" s="58"/>
      <c r="AE690" s="56"/>
      <c r="AF690" s="56"/>
      <c r="AG690" s="56"/>
      <c r="AH690" s="56"/>
      <c r="AI690" s="56"/>
      <c r="AJ690" s="56"/>
      <c r="AK690" s="56"/>
    </row>
    <row r="691" spans="1:37" ht="15.75" customHeight="1" x14ac:dyDescent="0.2">
      <c r="A691" s="56"/>
      <c r="C691" s="56"/>
      <c r="AB691" s="56"/>
      <c r="AC691" s="56"/>
      <c r="AD691" s="58"/>
      <c r="AE691" s="56"/>
      <c r="AF691" s="56"/>
      <c r="AG691" s="56"/>
      <c r="AH691" s="56"/>
      <c r="AI691" s="56"/>
      <c r="AJ691" s="56"/>
      <c r="AK691" s="56"/>
    </row>
    <row r="692" spans="1:37" ht="15.75" customHeight="1" x14ac:dyDescent="0.2">
      <c r="A692" s="56"/>
      <c r="C692" s="56"/>
      <c r="AB692" s="56"/>
      <c r="AC692" s="56"/>
      <c r="AD692" s="58"/>
      <c r="AE692" s="56"/>
      <c r="AF692" s="56"/>
      <c r="AG692" s="56"/>
      <c r="AH692" s="56"/>
      <c r="AI692" s="56"/>
      <c r="AJ692" s="56"/>
      <c r="AK692" s="56"/>
    </row>
    <row r="693" spans="1:37" ht="15.75" customHeight="1" x14ac:dyDescent="0.2">
      <c r="A693" s="56"/>
      <c r="C693" s="56"/>
      <c r="AB693" s="56"/>
      <c r="AC693" s="56"/>
      <c r="AD693" s="58"/>
      <c r="AE693" s="56"/>
      <c r="AF693" s="56"/>
      <c r="AG693" s="56"/>
      <c r="AH693" s="56"/>
      <c r="AI693" s="56"/>
      <c r="AJ693" s="56"/>
      <c r="AK693" s="56"/>
    </row>
    <row r="694" spans="1:37" ht="15.75" customHeight="1" x14ac:dyDescent="0.2">
      <c r="A694" s="56"/>
      <c r="C694" s="56"/>
      <c r="AB694" s="56"/>
      <c r="AC694" s="56"/>
      <c r="AD694" s="58"/>
      <c r="AE694" s="56"/>
      <c r="AF694" s="56"/>
      <c r="AG694" s="56"/>
      <c r="AH694" s="56"/>
      <c r="AI694" s="56"/>
      <c r="AJ694" s="56"/>
      <c r="AK694" s="56"/>
    </row>
    <row r="695" spans="1:37" ht="15.75" customHeight="1" x14ac:dyDescent="0.2">
      <c r="A695" s="56"/>
      <c r="C695" s="56"/>
      <c r="AB695" s="56"/>
      <c r="AC695" s="56"/>
      <c r="AD695" s="58"/>
      <c r="AE695" s="56"/>
      <c r="AF695" s="56"/>
      <c r="AG695" s="56"/>
      <c r="AH695" s="56"/>
      <c r="AI695" s="56"/>
      <c r="AJ695" s="56"/>
      <c r="AK695" s="56"/>
    </row>
    <row r="696" spans="1:37" ht="15.75" customHeight="1" x14ac:dyDescent="0.2">
      <c r="A696" s="56"/>
      <c r="C696" s="56"/>
      <c r="AB696" s="56"/>
      <c r="AC696" s="56"/>
      <c r="AD696" s="58"/>
      <c r="AE696" s="56"/>
      <c r="AF696" s="56"/>
      <c r="AG696" s="56"/>
      <c r="AH696" s="56"/>
      <c r="AI696" s="56"/>
      <c r="AJ696" s="56"/>
      <c r="AK696" s="56"/>
    </row>
    <row r="697" spans="1:37" ht="15.75" customHeight="1" x14ac:dyDescent="0.2">
      <c r="A697" s="56"/>
      <c r="C697" s="56"/>
      <c r="AB697" s="56"/>
      <c r="AC697" s="56"/>
      <c r="AD697" s="58"/>
      <c r="AE697" s="56"/>
      <c r="AF697" s="56"/>
      <c r="AG697" s="56"/>
      <c r="AH697" s="56"/>
      <c r="AI697" s="56"/>
      <c r="AJ697" s="56"/>
      <c r="AK697" s="56"/>
    </row>
    <row r="698" spans="1:37" ht="15.75" customHeight="1" x14ac:dyDescent="0.2">
      <c r="A698" s="56"/>
      <c r="C698" s="56"/>
      <c r="AB698" s="56"/>
      <c r="AC698" s="56"/>
      <c r="AD698" s="58"/>
      <c r="AE698" s="56"/>
      <c r="AF698" s="56"/>
      <c r="AG698" s="56"/>
      <c r="AH698" s="56"/>
      <c r="AI698" s="56"/>
      <c r="AJ698" s="56"/>
      <c r="AK698" s="56"/>
    </row>
    <row r="699" spans="1:37" ht="15.75" customHeight="1" x14ac:dyDescent="0.2">
      <c r="A699" s="56"/>
      <c r="C699" s="56"/>
      <c r="AB699" s="56"/>
      <c r="AC699" s="56"/>
      <c r="AD699" s="58"/>
      <c r="AE699" s="56"/>
      <c r="AF699" s="56"/>
      <c r="AG699" s="56"/>
      <c r="AH699" s="56"/>
      <c r="AI699" s="56"/>
      <c r="AJ699" s="56"/>
      <c r="AK699" s="56"/>
    </row>
    <row r="700" spans="1:37" ht="15.75" customHeight="1" x14ac:dyDescent="0.2">
      <c r="A700" s="56"/>
      <c r="C700" s="56"/>
      <c r="AB700" s="56"/>
      <c r="AC700" s="56"/>
      <c r="AD700" s="58"/>
      <c r="AE700" s="56"/>
      <c r="AF700" s="56"/>
      <c r="AG700" s="56"/>
      <c r="AH700" s="56"/>
      <c r="AI700" s="56"/>
      <c r="AJ700" s="56"/>
      <c r="AK700" s="56"/>
    </row>
    <row r="701" spans="1:37" ht="15.75" customHeight="1" x14ac:dyDescent="0.2">
      <c r="A701" s="56"/>
      <c r="C701" s="56"/>
      <c r="AB701" s="56"/>
      <c r="AC701" s="56"/>
      <c r="AD701" s="58"/>
      <c r="AE701" s="56"/>
      <c r="AF701" s="56"/>
      <c r="AG701" s="56"/>
      <c r="AH701" s="56"/>
      <c r="AI701" s="56"/>
      <c r="AJ701" s="56"/>
      <c r="AK701" s="56"/>
    </row>
    <row r="702" spans="1:37" ht="15.75" customHeight="1" x14ac:dyDescent="0.2">
      <c r="A702" s="56"/>
      <c r="C702" s="56"/>
      <c r="AB702" s="56"/>
      <c r="AC702" s="56"/>
      <c r="AD702" s="58"/>
      <c r="AE702" s="56"/>
      <c r="AF702" s="56"/>
      <c r="AG702" s="56"/>
      <c r="AH702" s="56"/>
      <c r="AI702" s="56"/>
      <c r="AJ702" s="56"/>
      <c r="AK702" s="56"/>
    </row>
    <row r="703" spans="1:37" ht="15.75" customHeight="1" x14ac:dyDescent="0.2">
      <c r="A703" s="56"/>
      <c r="C703" s="56"/>
      <c r="AB703" s="56"/>
      <c r="AC703" s="56"/>
      <c r="AD703" s="58"/>
      <c r="AE703" s="56"/>
      <c r="AF703" s="56"/>
      <c r="AG703" s="56"/>
      <c r="AH703" s="56"/>
      <c r="AI703" s="56"/>
      <c r="AJ703" s="56"/>
      <c r="AK703" s="56"/>
    </row>
    <row r="704" spans="1:37" ht="15.75" customHeight="1" x14ac:dyDescent="0.2">
      <c r="A704" s="56"/>
      <c r="C704" s="56"/>
      <c r="AB704" s="56"/>
      <c r="AC704" s="56"/>
      <c r="AD704" s="58"/>
      <c r="AE704" s="56"/>
      <c r="AF704" s="56"/>
      <c r="AG704" s="56"/>
      <c r="AH704" s="56"/>
      <c r="AI704" s="56"/>
      <c r="AJ704" s="56"/>
      <c r="AK704" s="56"/>
    </row>
    <row r="705" spans="1:37" ht="15.75" customHeight="1" x14ac:dyDescent="0.2">
      <c r="A705" s="56"/>
      <c r="C705" s="56"/>
      <c r="AB705" s="56"/>
      <c r="AC705" s="56"/>
      <c r="AD705" s="58"/>
      <c r="AE705" s="56"/>
      <c r="AF705" s="56"/>
      <c r="AG705" s="56"/>
      <c r="AH705" s="56"/>
      <c r="AI705" s="56"/>
      <c r="AJ705" s="56"/>
      <c r="AK705" s="56"/>
    </row>
    <row r="706" spans="1:37" ht="15.75" customHeight="1" x14ac:dyDescent="0.2">
      <c r="A706" s="56"/>
      <c r="C706" s="56"/>
      <c r="AB706" s="56"/>
      <c r="AC706" s="56"/>
      <c r="AD706" s="58"/>
      <c r="AE706" s="56"/>
      <c r="AF706" s="56"/>
      <c r="AG706" s="56"/>
      <c r="AH706" s="56"/>
      <c r="AI706" s="56"/>
      <c r="AJ706" s="56"/>
      <c r="AK706" s="56"/>
    </row>
    <row r="707" spans="1:37" ht="15.75" customHeight="1" x14ac:dyDescent="0.2">
      <c r="A707" s="56"/>
      <c r="C707" s="56"/>
      <c r="AB707" s="56"/>
      <c r="AC707" s="56"/>
      <c r="AD707" s="58"/>
      <c r="AE707" s="56"/>
      <c r="AF707" s="56"/>
      <c r="AG707" s="56"/>
      <c r="AH707" s="56"/>
      <c r="AI707" s="56"/>
      <c r="AJ707" s="56"/>
      <c r="AK707" s="56"/>
    </row>
    <row r="708" spans="1:37" ht="15.75" customHeight="1" x14ac:dyDescent="0.2">
      <c r="A708" s="56"/>
      <c r="C708" s="56"/>
      <c r="AB708" s="56"/>
      <c r="AC708" s="56"/>
      <c r="AD708" s="58"/>
      <c r="AE708" s="56"/>
      <c r="AF708" s="56"/>
      <c r="AG708" s="56"/>
      <c r="AH708" s="56"/>
      <c r="AI708" s="56"/>
      <c r="AJ708" s="56"/>
      <c r="AK708" s="56"/>
    </row>
    <row r="709" spans="1:37" ht="15.75" customHeight="1" x14ac:dyDescent="0.2">
      <c r="A709" s="56"/>
      <c r="C709" s="56"/>
      <c r="AB709" s="56"/>
      <c r="AC709" s="56"/>
      <c r="AD709" s="58"/>
      <c r="AE709" s="56"/>
      <c r="AF709" s="56"/>
      <c r="AG709" s="56"/>
      <c r="AH709" s="56"/>
      <c r="AI709" s="56"/>
      <c r="AJ709" s="56"/>
      <c r="AK709" s="56"/>
    </row>
    <row r="710" spans="1:37" ht="15.75" customHeight="1" x14ac:dyDescent="0.2">
      <c r="A710" s="56"/>
      <c r="C710" s="56"/>
      <c r="AB710" s="56"/>
      <c r="AC710" s="56"/>
      <c r="AD710" s="58"/>
      <c r="AE710" s="56"/>
      <c r="AF710" s="56"/>
      <c r="AG710" s="56"/>
      <c r="AH710" s="56"/>
      <c r="AI710" s="56"/>
      <c r="AJ710" s="56"/>
      <c r="AK710" s="56"/>
    </row>
    <row r="711" spans="1:37" ht="15.75" customHeight="1" x14ac:dyDescent="0.2">
      <c r="A711" s="56"/>
      <c r="C711" s="56"/>
      <c r="AB711" s="56"/>
      <c r="AC711" s="56"/>
      <c r="AD711" s="58"/>
      <c r="AE711" s="56"/>
      <c r="AF711" s="56"/>
      <c r="AG711" s="56"/>
      <c r="AH711" s="56"/>
      <c r="AI711" s="56"/>
      <c r="AJ711" s="56"/>
      <c r="AK711" s="56"/>
    </row>
    <row r="712" spans="1:37" ht="15.75" customHeight="1" x14ac:dyDescent="0.2">
      <c r="A712" s="56"/>
      <c r="C712" s="56"/>
      <c r="AB712" s="56"/>
      <c r="AC712" s="56"/>
      <c r="AD712" s="58"/>
      <c r="AE712" s="56"/>
      <c r="AF712" s="56"/>
      <c r="AG712" s="56"/>
      <c r="AH712" s="56"/>
      <c r="AI712" s="56"/>
      <c r="AJ712" s="56"/>
      <c r="AK712" s="56"/>
    </row>
    <row r="713" spans="1:37" ht="15.75" customHeight="1" x14ac:dyDescent="0.2">
      <c r="A713" s="56"/>
      <c r="C713" s="56"/>
      <c r="AB713" s="56"/>
      <c r="AC713" s="56"/>
      <c r="AD713" s="58"/>
      <c r="AE713" s="56"/>
      <c r="AF713" s="56"/>
      <c r="AG713" s="56"/>
      <c r="AH713" s="56"/>
      <c r="AI713" s="56"/>
      <c r="AJ713" s="56"/>
      <c r="AK713" s="56"/>
    </row>
    <row r="714" spans="1:37" ht="15.75" customHeight="1" x14ac:dyDescent="0.2">
      <c r="A714" s="56"/>
      <c r="C714" s="56"/>
      <c r="AB714" s="56"/>
      <c r="AC714" s="56"/>
      <c r="AD714" s="58"/>
      <c r="AE714" s="56"/>
      <c r="AF714" s="56"/>
      <c r="AG714" s="56"/>
      <c r="AH714" s="56"/>
      <c r="AI714" s="56"/>
      <c r="AJ714" s="56"/>
      <c r="AK714" s="56"/>
    </row>
    <row r="715" spans="1:37" ht="15.75" customHeight="1" x14ac:dyDescent="0.2">
      <c r="A715" s="56"/>
      <c r="C715" s="56"/>
      <c r="AB715" s="56"/>
      <c r="AC715" s="56"/>
      <c r="AD715" s="58"/>
      <c r="AE715" s="56"/>
      <c r="AF715" s="56"/>
      <c r="AG715" s="56"/>
      <c r="AH715" s="56"/>
      <c r="AI715" s="56"/>
      <c r="AJ715" s="56"/>
      <c r="AK715" s="56"/>
    </row>
    <row r="716" spans="1:37" ht="15.75" customHeight="1" x14ac:dyDescent="0.2">
      <c r="A716" s="56"/>
      <c r="C716" s="56"/>
      <c r="AB716" s="56"/>
      <c r="AC716" s="56"/>
      <c r="AD716" s="58"/>
      <c r="AE716" s="56"/>
      <c r="AF716" s="56"/>
      <c r="AG716" s="56"/>
      <c r="AH716" s="56"/>
      <c r="AI716" s="56"/>
      <c r="AJ716" s="56"/>
      <c r="AK716" s="56"/>
    </row>
    <row r="717" spans="1:37" ht="15.75" customHeight="1" x14ac:dyDescent="0.2">
      <c r="A717" s="56"/>
      <c r="C717" s="56"/>
      <c r="AB717" s="56"/>
      <c r="AC717" s="56"/>
      <c r="AD717" s="58"/>
      <c r="AE717" s="56"/>
      <c r="AF717" s="56"/>
      <c r="AG717" s="56"/>
      <c r="AH717" s="56"/>
      <c r="AI717" s="56"/>
      <c r="AJ717" s="56"/>
      <c r="AK717" s="56"/>
    </row>
    <row r="718" spans="1:37" ht="15.75" customHeight="1" x14ac:dyDescent="0.2">
      <c r="A718" s="56"/>
      <c r="C718" s="56"/>
      <c r="AB718" s="56"/>
      <c r="AC718" s="56"/>
      <c r="AD718" s="58"/>
      <c r="AE718" s="56"/>
      <c r="AF718" s="56"/>
      <c r="AG718" s="56"/>
      <c r="AH718" s="56"/>
      <c r="AI718" s="56"/>
      <c r="AJ718" s="56"/>
      <c r="AK718" s="56"/>
    </row>
    <row r="719" spans="1:37" ht="15.75" customHeight="1" x14ac:dyDescent="0.2">
      <c r="A719" s="56"/>
      <c r="C719" s="56"/>
      <c r="AB719" s="56"/>
      <c r="AC719" s="56"/>
      <c r="AD719" s="58"/>
      <c r="AE719" s="56"/>
      <c r="AF719" s="56"/>
      <c r="AG719" s="56"/>
      <c r="AH719" s="56"/>
      <c r="AI719" s="56"/>
      <c r="AJ719" s="56"/>
      <c r="AK719" s="56"/>
    </row>
    <row r="720" spans="1:37" ht="15.75" customHeight="1" x14ac:dyDescent="0.2">
      <c r="A720" s="56"/>
      <c r="C720" s="56"/>
      <c r="AB720" s="56"/>
      <c r="AC720" s="56"/>
      <c r="AD720" s="58"/>
      <c r="AE720" s="56"/>
      <c r="AF720" s="56"/>
      <c r="AG720" s="56"/>
      <c r="AH720" s="56"/>
      <c r="AI720" s="56"/>
      <c r="AJ720" s="56"/>
      <c r="AK720" s="56"/>
    </row>
    <row r="721" spans="1:37" ht="15.75" customHeight="1" x14ac:dyDescent="0.2">
      <c r="A721" s="56"/>
      <c r="C721" s="56"/>
      <c r="AB721" s="56"/>
      <c r="AC721" s="56"/>
      <c r="AD721" s="58"/>
      <c r="AE721" s="56"/>
      <c r="AF721" s="56"/>
      <c r="AG721" s="56"/>
      <c r="AH721" s="56"/>
      <c r="AI721" s="56"/>
      <c r="AJ721" s="56"/>
      <c r="AK721" s="56"/>
    </row>
    <row r="722" spans="1:37" ht="15.75" customHeight="1" x14ac:dyDescent="0.2">
      <c r="A722" s="56"/>
      <c r="C722" s="56"/>
      <c r="AB722" s="56"/>
      <c r="AC722" s="56"/>
      <c r="AD722" s="58"/>
      <c r="AE722" s="56"/>
      <c r="AF722" s="56"/>
      <c r="AG722" s="56"/>
      <c r="AH722" s="56"/>
      <c r="AI722" s="56"/>
      <c r="AJ722" s="56"/>
      <c r="AK722" s="56"/>
    </row>
    <row r="723" spans="1:37" ht="15.75" customHeight="1" x14ac:dyDescent="0.2">
      <c r="A723" s="56"/>
      <c r="C723" s="56"/>
      <c r="AB723" s="56"/>
      <c r="AC723" s="56"/>
      <c r="AD723" s="58"/>
      <c r="AE723" s="56"/>
      <c r="AF723" s="56"/>
      <c r="AG723" s="56"/>
      <c r="AH723" s="56"/>
      <c r="AI723" s="56"/>
      <c r="AJ723" s="56"/>
      <c r="AK723" s="56"/>
    </row>
    <row r="724" spans="1:37" ht="15.75" customHeight="1" x14ac:dyDescent="0.2">
      <c r="A724" s="56"/>
      <c r="C724" s="56"/>
      <c r="AB724" s="56"/>
      <c r="AC724" s="56"/>
      <c r="AD724" s="58"/>
      <c r="AE724" s="56"/>
      <c r="AF724" s="56"/>
      <c r="AG724" s="56"/>
      <c r="AH724" s="56"/>
      <c r="AI724" s="56"/>
      <c r="AJ724" s="56"/>
      <c r="AK724" s="56"/>
    </row>
    <row r="725" spans="1:37" ht="15.75" customHeight="1" x14ac:dyDescent="0.2">
      <c r="A725" s="56"/>
      <c r="C725" s="56"/>
      <c r="AB725" s="56"/>
      <c r="AC725" s="56"/>
      <c r="AD725" s="58"/>
      <c r="AE725" s="56"/>
      <c r="AF725" s="56"/>
      <c r="AG725" s="56"/>
      <c r="AH725" s="56"/>
      <c r="AI725" s="56"/>
      <c r="AJ725" s="56"/>
      <c r="AK725" s="56"/>
    </row>
    <row r="726" spans="1:37" ht="15.75" customHeight="1" x14ac:dyDescent="0.2">
      <c r="A726" s="56"/>
      <c r="C726" s="56"/>
      <c r="AB726" s="56"/>
      <c r="AC726" s="56"/>
      <c r="AD726" s="58"/>
      <c r="AE726" s="56"/>
      <c r="AF726" s="56"/>
      <c r="AG726" s="56"/>
      <c r="AH726" s="56"/>
      <c r="AI726" s="56"/>
      <c r="AJ726" s="56"/>
      <c r="AK726" s="56"/>
    </row>
    <row r="727" spans="1:37" ht="15.75" customHeight="1" x14ac:dyDescent="0.2">
      <c r="A727" s="56"/>
      <c r="C727" s="56"/>
      <c r="AB727" s="56"/>
      <c r="AC727" s="56"/>
      <c r="AD727" s="58"/>
      <c r="AE727" s="56"/>
      <c r="AF727" s="56"/>
      <c r="AG727" s="56"/>
      <c r="AH727" s="56"/>
      <c r="AI727" s="56"/>
      <c r="AJ727" s="56"/>
      <c r="AK727" s="56"/>
    </row>
    <row r="728" spans="1:37" ht="15.75" customHeight="1" x14ac:dyDescent="0.2">
      <c r="A728" s="56"/>
      <c r="C728" s="56"/>
      <c r="AB728" s="56"/>
      <c r="AC728" s="56"/>
      <c r="AD728" s="58"/>
      <c r="AE728" s="56"/>
      <c r="AF728" s="56"/>
      <c r="AG728" s="56"/>
      <c r="AH728" s="56"/>
      <c r="AI728" s="56"/>
      <c r="AJ728" s="56"/>
      <c r="AK728" s="56"/>
    </row>
    <row r="729" spans="1:37" ht="15.75" customHeight="1" x14ac:dyDescent="0.2">
      <c r="A729" s="56"/>
      <c r="C729" s="56"/>
      <c r="AB729" s="56"/>
      <c r="AC729" s="56"/>
      <c r="AD729" s="58"/>
      <c r="AE729" s="56"/>
      <c r="AF729" s="56"/>
      <c r="AG729" s="56"/>
      <c r="AH729" s="56"/>
      <c r="AI729" s="56"/>
      <c r="AJ729" s="56"/>
      <c r="AK729" s="56"/>
    </row>
    <row r="730" spans="1:37" ht="15.75" customHeight="1" x14ac:dyDescent="0.2">
      <c r="A730" s="56"/>
      <c r="C730" s="56"/>
      <c r="AB730" s="56"/>
      <c r="AC730" s="56"/>
      <c r="AD730" s="58"/>
      <c r="AE730" s="56"/>
      <c r="AF730" s="56"/>
      <c r="AG730" s="56"/>
      <c r="AH730" s="56"/>
      <c r="AI730" s="56"/>
      <c r="AJ730" s="56"/>
      <c r="AK730" s="56"/>
    </row>
    <row r="731" spans="1:37" ht="15.75" customHeight="1" x14ac:dyDescent="0.2">
      <c r="A731" s="56"/>
      <c r="C731" s="56"/>
      <c r="AB731" s="56"/>
      <c r="AC731" s="56"/>
      <c r="AD731" s="58"/>
      <c r="AE731" s="56"/>
      <c r="AF731" s="56"/>
      <c r="AG731" s="56"/>
      <c r="AH731" s="56"/>
      <c r="AI731" s="56"/>
      <c r="AJ731" s="56"/>
      <c r="AK731" s="56"/>
    </row>
    <row r="732" spans="1:37" ht="15.75" customHeight="1" x14ac:dyDescent="0.2">
      <c r="A732" s="56"/>
      <c r="C732" s="56"/>
      <c r="AB732" s="56"/>
      <c r="AC732" s="56"/>
      <c r="AD732" s="58"/>
      <c r="AE732" s="56"/>
      <c r="AF732" s="56"/>
      <c r="AG732" s="56"/>
      <c r="AH732" s="56"/>
      <c r="AI732" s="56"/>
      <c r="AJ732" s="56"/>
      <c r="AK732" s="56"/>
    </row>
    <row r="733" spans="1:37" ht="15.75" customHeight="1" x14ac:dyDescent="0.2">
      <c r="A733" s="56"/>
      <c r="C733" s="56"/>
      <c r="AB733" s="56"/>
      <c r="AC733" s="56"/>
      <c r="AD733" s="58"/>
      <c r="AE733" s="56"/>
      <c r="AF733" s="56"/>
      <c r="AG733" s="56"/>
      <c r="AH733" s="56"/>
      <c r="AI733" s="56"/>
      <c r="AJ733" s="56"/>
      <c r="AK733" s="56"/>
    </row>
    <row r="734" spans="1:37" ht="15.75" customHeight="1" x14ac:dyDescent="0.2">
      <c r="A734" s="56"/>
      <c r="C734" s="56"/>
      <c r="AB734" s="56"/>
      <c r="AC734" s="56"/>
      <c r="AD734" s="58"/>
      <c r="AE734" s="56"/>
      <c r="AF734" s="56"/>
      <c r="AG734" s="56"/>
      <c r="AH734" s="56"/>
      <c r="AI734" s="56"/>
      <c r="AJ734" s="56"/>
      <c r="AK734" s="56"/>
    </row>
    <row r="735" spans="1:37" ht="15.75" customHeight="1" x14ac:dyDescent="0.2">
      <c r="A735" s="56"/>
      <c r="C735" s="56"/>
      <c r="AB735" s="56"/>
      <c r="AC735" s="56"/>
      <c r="AD735" s="58"/>
      <c r="AE735" s="56"/>
      <c r="AF735" s="56"/>
      <c r="AG735" s="56"/>
      <c r="AH735" s="56"/>
      <c r="AI735" s="56"/>
      <c r="AJ735" s="56"/>
      <c r="AK735" s="56"/>
    </row>
    <row r="736" spans="1:37" ht="15.75" customHeight="1" x14ac:dyDescent="0.2">
      <c r="A736" s="56"/>
      <c r="C736" s="56"/>
      <c r="AB736" s="56"/>
      <c r="AC736" s="56"/>
      <c r="AD736" s="58"/>
      <c r="AE736" s="56"/>
      <c r="AF736" s="56"/>
      <c r="AG736" s="56"/>
      <c r="AH736" s="56"/>
      <c r="AI736" s="56"/>
      <c r="AJ736" s="56"/>
      <c r="AK736" s="56"/>
    </row>
    <row r="737" spans="1:37" ht="15.75" customHeight="1" x14ac:dyDescent="0.2">
      <c r="A737" s="56"/>
      <c r="C737" s="56"/>
      <c r="AB737" s="56"/>
      <c r="AC737" s="56"/>
      <c r="AD737" s="58"/>
      <c r="AE737" s="56"/>
      <c r="AF737" s="56"/>
      <c r="AG737" s="56"/>
      <c r="AH737" s="56"/>
      <c r="AI737" s="56"/>
      <c r="AJ737" s="56"/>
      <c r="AK737" s="56"/>
    </row>
    <row r="738" spans="1:37" ht="15.75" customHeight="1" x14ac:dyDescent="0.2">
      <c r="A738" s="56"/>
      <c r="C738" s="56"/>
      <c r="AB738" s="56"/>
      <c r="AC738" s="56"/>
      <c r="AD738" s="58"/>
      <c r="AE738" s="56"/>
      <c r="AF738" s="56"/>
      <c r="AG738" s="56"/>
      <c r="AH738" s="56"/>
      <c r="AI738" s="56"/>
      <c r="AJ738" s="56"/>
      <c r="AK738" s="56"/>
    </row>
    <row r="739" spans="1:37" ht="15.75" customHeight="1" x14ac:dyDescent="0.2">
      <c r="A739" s="56"/>
      <c r="C739" s="56"/>
      <c r="AB739" s="56"/>
      <c r="AC739" s="56"/>
      <c r="AD739" s="58"/>
      <c r="AE739" s="56"/>
      <c r="AF739" s="56"/>
      <c r="AG739" s="56"/>
      <c r="AH739" s="56"/>
      <c r="AI739" s="56"/>
      <c r="AJ739" s="56"/>
      <c r="AK739" s="56"/>
    </row>
    <row r="740" spans="1:37" ht="15.75" customHeight="1" x14ac:dyDescent="0.2">
      <c r="A740" s="56"/>
      <c r="C740" s="56"/>
      <c r="AB740" s="56"/>
      <c r="AC740" s="56"/>
      <c r="AD740" s="58"/>
      <c r="AE740" s="56"/>
      <c r="AF740" s="56"/>
      <c r="AG740" s="56"/>
      <c r="AH740" s="56"/>
      <c r="AI740" s="56"/>
      <c r="AJ740" s="56"/>
      <c r="AK740" s="56"/>
    </row>
    <row r="741" spans="1:37" ht="15.75" customHeight="1" x14ac:dyDescent="0.2">
      <c r="A741" s="56"/>
      <c r="C741" s="56"/>
      <c r="AB741" s="56"/>
      <c r="AC741" s="56"/>
      <c r="AD741" s="58"/>
      <c r="AE741" s="56"/>
      <c r="AF741" s="56"/>
      <c r="AG741" s="56"/>
      <c r="AH741" s="56"/>
      <c r="AI741" s="56"/>
      <c r="AJ741" s="56"/>
      <c r="AK741" s="56"/>
    </row>
    <row r="742" spans="1:37" ht="15.75" customHeight="1" x14ac:dyDescent="0.2">
      <c r="A742" s="56"/>
      <c r="C742" s="56"/>
      <c r="AB742" s="56"/>
      <c r="AC742" s="56"/>
      <c r="AD742" s="58"/>
      <c r="AE742" s="56"/>
      <c r="AF742" s="56"/>
      <c r="AG742" s="56"/>
      <c r="AH742" s="56"/>
      <c r="AI742" s="56"/>
      <c r="AJ742" s="56"/>
      <c r="AK742" s="56"/>
    </row>
    <row r="743" spans="1:37" ht="15.75" customHeight="1" x14ac:dyDescent="0.2">
      <c r="A743" s="56"/>
      <c r="C743" s="56"/>
      <c r="AB743" s="56"/>
      <c r="AC743" s="56"/>
      <c r="AD743" s="58"/>
      <c r="AE743" s="56"/>
      <c r="AF743" s="56"/>
      <c r="AG743" s="56"/>
      <c r="AH743" s="56"/>
      <c r="AI743" s="56"/>
      <c r="AJ743" s="56"/>
      <c r="AK743" s="56"/>
    </row>
    <row r="744" spans="1:37" ht="15.75" customHeight="1" x14ac:dyDescent="0.2">
      <c r="A744" s="56"/>
      <c r="C744" s="56"/>
      <c r="AB744" s="56"/>
      <c r="AC744" s="56"/>
      <c r="AD744" s="58"/>
      <c r="AE744" s="56"/>
      <c r="AF744" s="56"/>
      <c r="AG744" s="56"/>
      <c r="AH744" s="56"/>
      <c r="AI744" s="56"/>
      <c r="AJ744" s="56"/>
      <c r="AK744" s="56"/>
    </row>
    <row r="745" spans="1:37" ht="15.75" customHeight="1" x14ac:dyDescent="0.2">
      <c r="A745" s="56"/>
      <c r="C745" s="56"/>
      <c r="AB745" s="56"/>
      <c r="AC745" s="56"/>
      <c r="AD745" s="58"/>
      <c r="AE745" s="56"/>
      <c r="AF745" s="56"/>
      <c r="AG745" s="56"/>
      <c r="AH745" s="56"/>
      <c r="AI745" s="56"/>
      <c r="AJ745" s="56"/>
      <c r="AK745" s="56"/>
    </row>
    <row r="746" spans="1:37" ht="15.75" customHeight="1" x14ac:dyDescent="0.2">
      <c r="A746" s="56"/>
      <c r="C746" s="56"/>
      <c r="AB746" s="56"/>
      <c r="AC746" s="56"/>
      <c r="AD746" s="58"/>
      <c r="AE746" s="56"/>
      <c r="AF746" s="56"/>
      <c r="AG746" s="56"/>
      <c r="AH746" s="56"/>
      <c r="AI746" s="56"/>
      <c r="AJ746" s="56"/>
      <c r="AK746" s="56"/>
    </row>
    <row r="747" spans="1:37" ht="15.75" customHeight="1" x14ac:dyDescent="0.2">
      <c r="A747" s="56"/>
      <c r="C747" s="56"/>
      <c r="AB747" s="56"/>
      <c r="AC747" s="56"/>
      <c r="AD747" s="58"/>
      <c r="AE747" s="56"/>
      <c r="AF747" s="56"/>
      <c r="AG747" s="56"/>
      <c r="AH747" s="56"/>
      <c r="AI747" s="56"/>
      <c r="AJ747" s="56"/>
      <c r="AK747" s="56"/>
    </row>
    <row r="748" spans="1:37" ht="15.75" customHeight="1" x14ac:dyDescent="0.2">
      <c r="A748" s="56"/>
      <c r="C748" s="56"/>
      <c r="AB748" s="56"/>
      <c r="AC748" s="56"/>
      <c r="AD748" s="58"/>
      <c r="AE748" s="56"/>
      <c r="AF748" s="56"/>
      <c r="AG748" s="56"/>
      <c r="AH748" s="56"/>
      <c r="AI748" s="56"/>
      <c r="AJ748" s="56"/>
      <c r="AK748" s="56"/>
    </row>
    <row r="749" spans="1:37" ht="15.75" customHeight="1" x14ac:dyDescent="0.2">
      <c r="A749" s="56"/>
      <c r="C749" s="56"/>
      <c r="AB749" s="56"/>
      <c r="AC749" s="56"/>
      <c r="AD749" s="58"/>
      <c r="AE749" s="56"/>
      <c r="AF749" s="56"/>
      <c r="AG749" s="56"/>
      <c r="AH749" s="56"/>
      <c r="AI749" s="56"/>
      <c r="AJ749" s="56"/>
      <c r="AK749" s="56"/>
    </row>
    <row r="750" spans="1:37" ht="15.75" customHeight="1" x14ac:dyDescent="0.2">
      <c r="A750" s="56"/>
      <c r="C750" s="56"/>
      <c r="AB750" s="56"/>
      <c r="AC750" s="56"/>
      <c r="AD750" s="58"/>
      <c r="AE750" s="56"/>
      <c r="AF750" s="56"/>
      <c r="AG750" s="56"/>
      <c r="AH750" s="56"/>
      <c r="AI750" s="56"/>
      <c r="AJ750" s="56"/>
      <c r="AK750" s="56"/>
    </row>
    <row r="751" spans="1:37" ht="15.75" customHeight="1" x14ac:dyDescent="0.2">
      <c r="A751" s="56"/>
      <c r="C751" s="56"/>
      <c r="AB751" s="56"/>
      <c r="AC751" s="56"/>
      <c r="AD751" s="58"/>
      <c r="AE751" s="56"/>
      <c r="AF751" s="56"/>
      <c r="AG751" s="56"/>
      <c r="AH751" s="56"/>
      <c r="AI751" s="56"/>
      <c r="AJ751" s="56"/>
      <c r="AK751" s="56"/>
    </row>
    <row r="752" spans="1:37" ht="15.75" customHeight="1" x14ac:dyDescent="0.2">
      <c r="A752" s="56"/>
      <c r="C752" s="56"/>
      <c r="AB752" s="56"/>
      <c r="AC752" s="56"/>
      <c r="AD752" s="58"/>
      <c r="AE752" s="56"/>
      <c r="AF752" s="56"/>
      <c r="AG752" s="56"/>
      <c r="AH752" s="56"/>
      <c r="AI752" s="56"/>
      <c r="AJ752" s="56"/>
      <c r="AK752" s="56"/>
    </row>
    <row r="753" spans="1:37" ht="15.75" customHeight="1" x14ac:dyDescent="0.2">
      <c r="A753" s="56"/>
      <c r="C753" s="56"/>
      <c r="AB753" s="56"/>
      <c r="AC753" s="56"/>
      <c r="AD753" s="58"/>
      <c r="AE753" s="56"/>
      <c r="AF753" s="56"/>
      <c r="AG753" s="56"/>
      <c r="AH753" s="56"/>
      <c r="AI753" s="56"/>
      <c r="AJ753" s="56"/>
      <c r="AK753" s="56"/>
    </row>
    <row r="754" spans="1:37" ht="15.75" customHeight="1" x14ac:dyDescent="0.2">
      <c r="A754" s="56"/>
      <c r="C754" s="56"/>
      <c r="AB754" s="56"/>
      <c r="AC754" s="56"/>
      <c r="AD754" s="58"/>
      <c r="AE754" s="56"/>
      <c r="AF754" s="56"/>
      <c r="AG754" s="56"/>
      <c r="AH754" s="56"/>
      <c r="AI754" s="56"/>
      <c r="AJ754" s="56"/>
      <c r="AK754" s="56"/>
    </row>
    <row r="755" spans="1:37" ht="15.75" customHeight="1" x14ac:dyDescent="0.2">
      <c r="A755" s="56"/>
      <c r="C755" s="56"/>
      <c r="AB755" s="56"/>
      <c r="AC755" s="56"/>
      <c r="AD755" s="58"/>
      <c r="AE755" s="56"/>
      <c r="AF755" s="56"/>
      <c r="AG755" s="56"/>
      <c r="AH755" s="56"/>
      <c r="AI755" s="56"/>
      <c r="AJ755" s="56"/>
      <c r="AK755" s="56"/>
    </row>
    <row r="756" spans="1:37" ht="15.75" customHeight="1" x14ac:dyDescent="0.2">
      <c r="A756" s="56"/>
      <c r="C756" s="56"/>
      <c r="AB756" s="56"/>
      <c r="AC756" s="56"/>
      <c r="AD756" s="58"/>
      <c r="AE756" s="56"/>
      <c r="AF756" s="56"/>
      <c r="AG756" s="56"/>
      <c r="AH756" s="56"/>
      <c r="AI756" s="56"/>
      <c r="AJ756" s="56"/>
      <c r="AK756" s="56"/>
    </row>
    <row r="757" spans="1:37" ht="15.75" customHeight="1" x14ac:dyDescent="0.2">
      <c r="A757" s="56"/>
      <c r="C757" s="56"/>
      <c r="AB757" s="56"/>
      <c r="AC757" s="56"/>
      <c r="AD757" s="58"/>
      <c r="AE757" s="56"/>
      <c r="AF757" s="56"/>
      <c r="AG757" s="56"/>
      <c r="AH757" s="56"/>
      <c r="AI757" s="56"/>
      <c r="AJ757" s="56"/>
      <c r="AK757" s="56"/>
    </row>
    <row r="758" spans="1:37" ht="15.75" customHeight="1" x14ac:dyDescent="0.2">
      <c r="A758" s="56"/>
      <c r="C758" s="56"/>
      <c r="AB758" s="56"/>
      <c r="AC758" s="56"/>
      <c r="AD758" s="58"/>
      <c r="AE758" s="56"/>
      <c r="AF758" s="56"/>
      <c r="AG758" s="56"/>
      <c r="AH758" s="56"/>
      <c r="AI758" s="56"/>
      <c r="AJ758" s="56"/>
      <c r="AK758" s="56"/>
    </row>
    <row r="759" spans="1:37" ht="15.75" customHeight="1" x14ac:dyDescent="0.2">
      <c r="A759" s="56"/>
      <c r="C759" s="56"/>
      <c r="AB759" s="56"/>
      <c r="AC759" s="56"/>
      <c r="AD759" s="58"/>
      <c r="AE759" s="56"/>
      <c r="AF759" s="56"/>
      <c r="AG759" s="56"/>
      <c r="AH759" s="56"/>
      <c r="AI759" s="56"/>
      <c r="AJ759" s="56"/>
      <c r="AK759" s="56"/>
    </row>
    <row r="760" spans="1:37" ht="15.75" customHeight="1" x14ac:dyDescent="0.2">
      <c r="A760" s="56"/>
      <c r="C760" s="56"/>
      <c r="AB760" s="56"/>
      <c r="AC760" s="56"/>
      <c r="AD760" s="58"/>
      <c r="AE760" s="56"/>
      <c r="AF760" s="56"/>
      <c r="AG760" s="56"/>
      <c r="AH760" s="56"/>
      <c r="AI760" s="56"/>
      <c r="AJ760" s="56"/>
      <c r="AK760" s="56"/>
    </row>
    <row r="761" spans="1:37" ht="15.75" customHeight="1" x14ac:dyDescent="0.2">
      <c r="A761" s="56"/>
      <c r="C761" s="56"/>
      <c r="AB761" s="56"/>
      <c r="AC761" s="56"/>
      <c r="AD761" s="58"/>
      <c r="AE761" s="56"/>
      <c r="AF761" s="56"/>
      <c r="AG761" s="56"/>
      <c r="AH761" s="56"/>
      <c r="AI761" s="56"/>
      <c r="AJ761" s="56"/>
      <c r="AK761" s="56"/>
    </row>
    <row r="762" spans="1:37" ht="15.75" customHeight="1" x14ac:dyDescent="0.2">
      <c r="A762" s="56"/>
      <c r="C762" s="56"/>
      <c r="AB762" s="56"/>
      <c r="AC762" s="56"/>
      <c r="AD762" s="58"/>
      <c r="AE762" s="56"/>
      <c r="AF762" s="56"/>
      <c r="AG762" s="56"/>
      <c r="AH762" s="56"/>
      <c r="AI762" s="56"/>
      <c r="AJ762" s="56"/>
      <c r="AK762" s="56"/>
    </row>
    <row r="763" spans="1:37" ht="15.75" customHeight="1" x14ac:dyDescent="0.2">
      <c r="A763" s="56"/>
      <c r="C763" s="56"/>
      <c r="AB763" s="56"/>
      <c r="AC763" s="56"/>
      <c r="AD763" s="58"/>
      <c r="AE763" s="56"/>
      <c r="AF763" s="56"/>
      <c r="AG763" s="56"/>
      <c r="AH763" s="56"/>
      <c r="AI763" s="56"/>
      <c r="AJ763" s="56"/>
      <c r="AK763" s="56"/>
    </row>
    <row r="764" spans="1:37" ht="15.75" customHeight="1" x14ac:dyDescent="0.2">
      <c r="A764" s="56"/>
      <c r="C764" s="56"/>
      <c r="AB764" s="56"/>
      <c r="AC764" s="56"/>
      <c r="AD764" s="58"/>
      <c r="AE764" s="56"/>
      <c r="AF764" s="56"/>
      <c r="AG764" s="56"/>
      <c r="AH764" s="56"/>
      <c r="AI764" s="56"/>
      <c r="AJ764" s="56"/>
      <c r="AK764" s="56"/>
    </row>
    <row r="765" spans="1:37" ht="15.75" customHeight="1" x14ac:dyDescent="0.2">
      <c r="A765" s="56"/>
      <c r="C765" s="56"/>
      <c r="AB765" s="56"/>
      <c r="AC765" s="56"/>
      <c r="AD765" s="58"/>
      <c r="AE765" s="56"/>
      <c r="AF765" s="56"/>
      <c r="AG765" s="56"/>
      <c r="AH765" s="56"/>
      <c r="AI765" s="56"/>
      <c r="AJ765" s="56"/>
      <c r="AK765" s="56"/>
    </row>
    <row r="766" spans="1:37" ht="15.75" customHeight="1" x14ac:dyDescent="0.2">
      <c r="A766" s="56"/>
      <c r="C766" s="56"/>
      <c r="AB766" s="56"/>
      <c r="AC766" s="56"/>
      <c r="AD766" s="58"/>
      <c r="AE766" s="56"/>
      <c r="AF766" s="56"/>
      <c r="AG766" s="56"/>
      <c r="AH766" s="56"/>
      <c r="AI766" s="56"/>
      <c r="AJ766" s="56"/>
      <c r="AK766" s="56"/>
    </row>
    <row r="767" spans="1:37" ht="15.75" customHeight="1" x14ac:dyDescent="0.2">
      <c r="A767" s="56"/>
      <c r="C767" s="56"/>
      <c r="AB767" s="56"/>
      <c r="AC767" s="56"/>
      <c r="AD767" s="58"/>
      <c r="AE767" s="56"/>
      <c r="AF767" s="56"/>
      <c r="AG767" s="56"/>
      <c r="AH767" s="56"/>
      <c r="AI767" s="56"/>
      <c r="AJ767" s="56"/>
      <c r="AK767" s="56"/>
    </row>
    <row r="768" spans="1:37" ht="15.75" customHeight="1" x14ac:dyDescent="0.2">
      <c r="A768" s="56"/>
      <c r="C768" s="56"/>
      <c r="AB768" s="56"/>
      <c r="AC768" s="56"/>
      <c r="AD768" s="58"/>
      <c r="AE768" s="56"/>
      <c r="AF768" s="56"/>
      <c r="AG768" s="56"/>
      <c r="AH768" s="56"/>
      <c r="AI768" s="56"/>
      <c r="AJ768" s="56"/>
      <c r="AK768" s="56"/>
    </row>
    <row r="769" spans="1:37" ht="15.75" customHeight="1" x14ac:dyDescent="0.2">
      <c r="A769" s="56"/>
      <c r="C769" s="56"/>
      <c r="AB769" s="56"/>
      <c r="AC769" s="56"/>
      <c r="AD769" s="58"/>
      <c r="AE769" s="56"/>
      <c r="AF769" s="56"/>
      <c r="AG769" s="56"/>
      <c r="AH769" s="56"/>
      <c r="AI769" s="56"/>
      <c r="AJ769" s="56"/>
      <c r="AK769" s="56"/>
    </row>
    <row r="770" spans="1:37" ht="15.75" customHeight="1" x14ac:dyDescent="0.2">
      <c r="A770" s="56"/>
      <c r="C770" s="56"/>
      <c r="AB770" s="56"/>
      <c r="AC770" s="56"/>
      <c r="AD770" s="58"/>
      <c r="AE770" s="56"/>
      <c r="AF770" s="56"/>
      <c r="AG770" s="56"/>
      <c r="AH770" s="56"/>
      <c r="AI770" s="56"/>
      <c r="AJ770" s="56"/>
      <c r="AK770" s="56"/>
    </row>
    <row r="771" spans="1:37" ht="15.75" customHeight="1" x14ac:dyDescent="0.2">
      <c r="A771" s="56"/>
      <c r="C771" s="56"/>
      <c r="AB771" s="56"/>
      <c r="AC771" s="56"/>
      <c r="AD771" s="58"/>
      <c r="AE771" s="56"/>
      <c r="AF771" s="56"/>
      <c r="AG771" s="56"/>
      <c r="AH771" s="56"/>
      <c r="AI771" s="56"/>
      <c r="AJ771" s="56"/>
      <c r="AK771" s="56"/>
    </row>
    <row r="772" spans="1:37" ht="15.75" customHeight="1" x14ac:dyDescent="0.2">
      <c r="A772" s="56"/>
      <c r="C772" s="56"/>
      <c r="AB772" s="56"/>
      <c r="AC772" s="56"/>
      <c r="AD772" s="58"/>
      <c r="AE772" s="56"/>
      <c r="AF772" s="56"/>
      <c r="AG772" s="56"/>
      <c r="AH772" s="56"/>
      <c r="AI772" s="56"/>
      <c r="AJ772" s="56"/>
      <c r="AK772" s="56"/>
    </row>
    <row r="773" spans="1:37" ht="15.75" customHeight="1" x14ac:dyDescent="0.2">
      <c r="A773" s="56"/>
      <c r="C773" s="56"/>
      <c r="AB773" s="56"/>
      <c r="AC773" s="56"/>
      <c r="AD773" s="58"/>
      <c r="AE773" s="56"/>
      <c r="AF773" s="56"/>
      <c r="AG773" s="56"/>
      <c r="AH773" s="56"/>
      <c r="AI773" s="56"/>
      <c r="AJ773" s="56"/>
      <c r="AK773" s="56"/>
    </row>
    <row r="774" spans="1:37" ht="15.75" customHeight="1" x14ac:dyDescent="0.2">
      <c r="A774" s="56"/>
      <c r="C774" s="56"/>
      <c r="AB774" s="56"/>
      <c r="AC774" s="56"/>
      <c r="AD774" s="58"/>
      <c r="AE774" s="56"/>
      <c r="AF774" s="56"/>
      <c r="AG774" s="56"/>
      <c r="AH774" s="56"/>
      <c r="AI774" s="56"/>
      <c r="AJ774" s="56"/>
      <c r="AK774" s="56"/>
    </row>
    <row r="775" spans="1:37" ht="15.75" customHeight="1" x14ac:dyDescent="0.2">
      <c r="A775" s="56"/>
      <c r="C775" s="56"/>
      <c r="AB775" s="56"/>
      <c r="AC775" s="56"/>
      <c r="AD775" s="58"/>
      <c r="AE775" s="56"/>
      <c r="AF775" s="56"/>
      <c r="AG775" s="56"/>
      <c r="AH775" s="56"/>
      <c r="AI775" s="56"/>
      <c r="AJ775" s="56"/>
      <c r="AK775" s="56"/>
    </row>
    <row r="776" spans="1:37" ht="15.75" customHeight="1" x14ac:dyDescent="0.2">
      <c r="A776" s="56"/>
      <c r="C776" s="56"/>
      <c r="AB776" s="56"/>
      <c r="AC776" s="56"/>
      <c r="AD776" s="58"/>
      <c r="AE776" s="56"/>
      <c r="AF776" s="56"/>
      <c r="AG776" s="56"/>
      <c r="AH776" s="56"/>
      <c r="AI776" s="56"/>
      <c r="AJ776" s="56"/>
      <c r="AK776" s="56"/>
    </row>
    <row r="777" spans="1:37" ht="15.75" customHeight="1" x14ac:dyDescent="0.2">
      <c r="A777" s="56"/>
      <c r="C777" s="56"/>
      <c r="AB777" s="56"/>
      <c r="AC777" s="56"/>
      <c r="AD777" s="58"/>
      <c r="AE777" s="56"/>
      <c r="AF777" s="56"/>
      <c r="AG777" s="56"/>
      <c r="AH777" s="56"/>
      <c r="AI777" s="56"/>
      <c r="AJ777" s="56"/>
      <c r="AK777" s="56"/>
    </row>
    <row r="778" spans="1:37" ht="15.75" customHeight="1" x14ac:dyDescent="0.2">
      <c r="A778" s="56"/>
      <c r="C778" s="56"/>
      <c r="AB778" s="56"/>
      <c r="AC778" s="56"/>
      <c r="AD778" s="58"/>
      <c r="AE778" s="56"/>
      <c r="AF778" s="56"/>
      <c r="AG778" s="56"/>
      <c r="AH778" s="56"/>
      <c r="AI778" s="56"/>
      <c r="AJ778" s="56"/>
      <c r="AK778" s="56"/>
    </row>
    <row r="779" spans="1:37" ht="15.75" customHeight="1" x14ac:dyDescent="0.2">
      <c r="A779" s="56"/>
      <c r="C779" s="56"/>
      <c r="AB779" s="56"/>
      <c r="AC779" s="56"/>
      <c r="AD779" s="58"/>
      <c r="AE779" s="56"/>
      <c r="AF779" s="56"/>
      <c r="AG779" s="56"/>
      <c r="AH779" s="56"/>
      <c r="AI779" s="56"/>
      <c r="AJ779" s="56"/>
      <c r="AK779" s="56"/>
    </row>
    <row r="780" spans="1:37" ht="15.75" customHeight="1" x14ac:dyDescent="0.2">
      <c r="A780" s="56"/>
      <c r="C780" s="56"/>
      <c r="AB780" s="56"/>
      <c r="AC780" s="56"/>
      <c r="AD780" s="58"/>
      <c r="AE780" s="56"/>
      <c r="AF780" s="56"/>
      <c r="AG780" s="56"/>
      <c r="AH780" s="56"/>
      <c r="AI780" s="56"/>
      <c r="AJ780" s="56"/>
      <c r="AK780" s="56"/>
    </row>
    <row r="781" spans="1:37" ht="15.75" customHeight="1" x14ac:dyDescent="0.2">
      <c r="A781" s="56"/>
      <c r="C781" s="56"/>
      <c r="AB781" s="56"/>
      <c r="AC781" s="56"/>
      <c r="AD781" s="58"/>
      <c r="AE781" s="56"/>
      <c r="AF781" s="56"/>
      <c r="AG781" s="56"/>
      <c r="AH781" s="56"/>
      <c r="AI781" s="56"/>
      <c r="AJ781" s="56"/>
      <c r="AK781" s="56"/>
    </row>
    <row r="782" spans="1:37" ht="15.75" customHeight="1" x14ac:dyDescent="0.2">
      <c r="A782" s="56"/>
      <c r="C782" s="56"/>
      <c r="AB782" s="56"/>
      <c r="AC782" s="56"/>
      <c r="AD782" s="58"/>
      <c r="AE782" s="56"/>
      <c r="AF782" s="56"/>
      <c r="AG782" s="56"/>
      <c r="AH782" s="56"/>
      <c r="AI782" s="56"/>
      <c r="AJ782" s="56"/>
      <c r="AK782" s="56"/>
    </row>
    <row r="783" spans="1:37" ht="15.75" customHeight="1" x14ac:dyDescent="0.2">
      <c r="A783" s="56"/>
      <c r="C783" s="56"/>
      <c r="AB783" s="56"/>
      <c r="AC783" s="56"/>
      <c r="AD783" s="58"/>
      <c r="AE783" s="56"/>
      <c r="AF783" s="56"/>
      <c r="AG783" s="56"/>
      <c r="AH783" s="56"/>
      <c r="AI783" s="56"/>
      <c r="AJ783" s="56"/>
      <c r="AK783" s="56"/>
    </row>
    <row r="784" spans="1:37" ht="15.75" customHeight="1" x14ac:dyDescent="0.2">
      <c r="A784" s="56"/>
      <c r="C784" s="56"/>
      <c r="AB784" s="56"/>
      <c r="AC784" s="56"/>
      <c r="AD784" s="58"/>
      <c r="AE784" s="56"/>
      <c r="AF784" s="56"/>
      <c r="AG784" s="56"/>
      <c r="AH784" s="56"/>
      <c r="AI784" s="56"/>
      <c r="AJ784" s="56"/>
      <c r="AK784" s="56"/>
    </row>
    <row r="785" spans="1:37" ht="15.75" customHeight="1" x14ac:dyDescent="0.2">
      <c r="A785" s="56"/>
      <c r="C785" s="56"/>
      <c r="AB785" s="56"/>
      <c r="AC785" s="56"/>
      <c r="AD785" s="58"/>
      <c r="AE785" s="56"/>
      <c r="AF785" s="56"/>
      <c r="AG785" s="56"/>
      <c r="AH785" s="56"/>
      <c r="AI785" s="56"/>
      <c r="AJ785" s="56"/>
      <c r="AK785" s="56"/>
    </row>
    <row r="786" spans="1:37" ht="15.75" customHeight="1" x14ac:dyDescent="0.2">
      <c r="A786" s="56"/>
      <c r="C786" s="56"/>
      <c r="AB786" s="56"/>
      <c r="AC786" s="56"/>
      <c r="AD786" s="58"/>
      <c r="AE786" s="56"/>
      <c r="AF786" s="56"/>
      <c r="AG786" s="56"/>
      <c r="AH786" s="56"/>
      <c r="AI786" s="56"/>
      <c r="AJ786" s="56"/>
      <c r="AK786" s="56"/>
    </row>
    <row r="787" spans="1:37" ht="15.75" customHeight="1" x14ac:dyDescent="0.2">
      <c r="A787" s="56"/>
      <c r="C787" s="56"/>
      <c r="AB787" s="56"/>
      <c r="AC787" s="56"/>
      <c r="AD787" s="58"/>
      <c r="AE787" s="56"/>
      <c r="AF787" s="56"/>
      <c r="AG787" s="56"/>
      <c r="AH787" s="56"/>
      <c r="AI787" s="56"/>
      <c r="AJ787" s="56"/>
      <c r="AK787" s="56"/>
    </row>
    <row r="788" spans="1:37" ht="15.75" customHeight="1" x14ac:dyDescent="0.2">
      <c r="A788" s="56"/>
      <c r="C788" s="56"/>
      <c r="AB788" s="56"/>
      <c r="AC788" s="56"/>
      <c r="AD788" s="58"/>
      <c r="AE788" s="56"/>
      <c r="AF788" s="56"/>
      <c r="AG788" s="56"/>
      <c r="AH788" s="56"/>
      <c r="AI788" s="56"/>
      <c r="AJ788" s="56"/>
      <c r="AK788" s="56"/>
    </row>
    <row r="789" spans="1:37" ht="15.75" customHeight="1" x14ac:dyDescent="0.2">
      <c r="A789" s="56"/>
      <c r="C789" s="56"/>
      <c r="AB789" s="56"/>
      <c r="AC789" s="56"/>
      <c r="AD789" s="58"/>
      <c r="AE789" s="56"/>
      <c r="AF789" s="56"/>
      <c r="AG789" s="56"/>
      <c r="AH789" s="56"/>
      <c r="AI789" s="56"/>
      <c r="AJ789" s="56"/>
      <c r="AK789" s="56"/>
    </row>
    <row r="790" spans="1:37" ht="15.75" customHeight="1" x14ac:dyDescent="0.2">
      <c r="A790" s="56"/>
      <c r="C790" s="56"/>
      <c r="AB790" s="56"/>
      <c r="AC790" s="56"/>
      <c r="AD790" s="58"/>
      <c r="AE790" s="56"/>
      <c r="AF790" s="56"/>
      <c r="AG790" s="56"/>
      <c r="AH790" s="56"/>
      <c r="AI790" s="56"/>
      <c r="AJ790" s="56"/>
      <c r="AK790" s="56"/>
    </row>
    <row r="791" spans="1:37" ht="15.75" customHeight="1" x14ac:dyDescent="0.2">
      <c r="A791" s="56"/>
      <c r="C791" s="56"/>
      <c r="AB791" s="56"/>
      <c r="AC791" s="56"/>
      <c r="AD791" s="58"/>
      <c r="AE791" s="56"/>
      <c r="AF791" s="56"/>
      <c r="AG791" s="56"/>
      <c r="AH791" s="56"/>
      <c r="AI791" s="56"/>
      <c r="AJ791" s="56"/>
      <c r="AK791" s="56"/>
    </row>
    <row r="792" spans="1:37" ht="15.75" customHeight="1" x14ac:dyDescent="0.2">
      <c r="A792" s="56"/>
      <c r="C792" s="56"/>
      <c r="AB792" s="56"/>
      <c r="AC792" s="56"/>
      <c r="AD792" s="58"/>
      <c r="AE792" s="56"/>
      <c r="AF792" s="56"/>
      <c r="AG792" s="56"/>
      <c r="AH792" s="56"/>
      <c r="AI792" s="56"/>
      <c r="AJ792" s="56"/>
      <c r="AK792" s="56"/>
    </row>
    <row r="793" spans="1:37" ht="15.75" customHeight="1" x14ac:dyDescent="0.2">
      <c r="A793" s="56"/>
      <c r="C793" s="56"/>
      <c r="AB793" s="56"/>
      <c r="AC793" s="56"/>
      <c r="AD793" s="58"/>
      <c r="AE793" s="56"/>
      <c r="AF793" s="56"/>
      <c r="AG793" s="56"/>
      <c r="AH793" s="56"/>
      <c r="AI793" s="56"/>
      <c r="AJ793" s="56"/>
      <c r="AK793" s="56"/>
    </row>
    <row r="794" spans="1:37" ht="15.75" customHeight="1" x14ac:dyDescent="0.2">
      <c r="A794" s="56"/>
      <c r="C794" s="56"/>
      <c r="AB794" s="56"/>
      <c r="AC794" s="56"/>
      <c r="AD794" s="58"/>
      <c r="AE794" s="56"/>
      <c r="AF794" s="56"/>
      <c r="AG794" s="56"/>
      <c r="AH794" s="56"/>
      <c r="AI794" s="56"/>
      <c r="AJ794" s="56"/>
      <c r="AK794" s="56"/>
    </row>
    <row r="795" spans="1:37" ht="15.75" customHeight="1" x14ac:dyDescent="0.2">
      <c r="A795" s="56"/>
      <c r="C795" s="56"/>
      <c r="AB795" s="56"/>
      <c r="AC795" s="56"/>
      <c r="AD795" s="58"/>
      <c r="AE795" s="56"/>
      <c r="AF795" s="56"/>
      <c r="AG795" s="56"/>
      <c r="AH795" s="56"/>
      <c r="AI795" s="56"/>
      <c r="AJ795" s="56"/>
      <c r="AK795" s="56"/>
    </row>
    <row r="796" spans="1:37" ht="15.75" customHeight="1" x14ac:dyDescent="0.2">
      <c r="A796" s="56"/>
      <c r="C796" s="56"/>
      <c r="AB796" s="56"/>
      <c r="AC796" s="56"/>
      <c r="AD796" s="58"/>
      <c r="AE796" s="56"/>
      <c r="AF796" s="56"/>
      <c r="AG796" s="56"/>
      <c r="AH796" s="56"/>
      <c r="AI796" s="56"/>
      <c r="AJ796" s="56"/>
      <c r="AK796" s="56"/>
    </row>
    <row r="797" spans="1:37" ht="15.75" customHeight="1" x14ac:dyDescent="0.2">
      <c r="A797" s="56"/>
      <c r="C797" s="56"/>
      <c r="AB797" s="56"/>
      <c r="AC797" s="56"/>
      <c r="AD797" s="58"/>
      <c r="AE797" s="56"/>
      <c r="AF797" s="56"/>
      <c r="AG797" s="56"/>
      <c r="AH797" s="56"/>
      <c r="AI797" s="56"/>
      <c r="AJ797" s="56"/>
      <c r="AK797" s="56"/>
    </row>
    <row r="798" spans="1:37" ht="15.75" customHeight="1" x14ac:dyDescent="0.2">
      <c r="A798" s="56"/>
      <c r="C798" s="56"/>
      <c r="AB798" s="56"/>
      <c r="AC798" s="56"/>
      <c r="AD798" s="58"/>
      <c r="AE798" s="56"/>
      <c r="AF798" s="56"/>
      <c r="AG798" s="56"/>
      <c r="AH798" s="56"/>
      <c r="AI798" s="56"/>
      <c r="AJ798" s="56"/>
      <c r="AK798" s="56"/>
    </row>
    <row r="799" spans="1:37" ht="15.75" customHeight="1" x14ac:dyDescent="0.2">
      <c r="A799" s="56"/>
      <c r="C799" s="56"/>
      <c r="AB799" s="56"/>
      <c r="AC799" s="56"/>
      <c r="AD799" s="58"/>
      <c r="AE799" s="56"/>
      <c r="AF799" s="56"/>
      <c r="AG799" s="56"/>
      <c r="AH799" s="56"/>
      <c r="AI799" s="56"/>
      <c r="AJ799" s="56"/>
      <c r="AK799" s="56"/>
    </row>
    <row r="800" spans="1:37" ht="15.75" customHeight="1" x14ac:dyDescent="0.2">
      <c r="A800" s="56"/>
      <c r="C800" s="56"/>
      <c r="AB800" s="56"/>
      <c r="AC800" s="56"/>
      <c r="AD800" s="58"/>
      <c r="AE800" s="56"/>
      <c r="AF800" s="56"/>
      <c r="AG800" s="56"/>
      <c r="AH800" s="56"/>
      <c r="AI800" s="56"/>
      <c r="AJ800" s="56"/>
      <c r="AK800" s="56"/>
    </row>
    <row r="801" spans="1:37" ht="15.75" customHeight="1" x14ac:dyDescent="0.2">
      <c r="A801" s="56"/>
      <c r="C801" s="56"/>
      <c r="AB801" s="56"/>
      <c r="AC801" s="56"/>
      <c r="AD801" s="58"/>
      <c r="AE801" s="56"/>
      <c r="AF801" s="56"/>
      <c r="AG801" s="56"/>
      <c r="AH801" s="56"/>
      <c r="AI801" s="56"/>
      <c r="AJ801" s="56"/>
      <c r="AK801" s="56"/>
    </row>
    <row r="802" spans="1:37" ht="15.75" customHeight="1" x14ac:dyDescent="0.2">
      <c r="A802" s="56"/>
      <c r="C802" s="56"/>
      <c r="AB802" s="56"/>
      <c r="AC802" s="56"/>
      <c r="AD802" s="58"/>
      <c r="AE802" s="56"/>
      <c r="AF802" s="56"/>
      <c r="AG802" s="56"/>
      <c r="AH802" s="56"/>
      <c r="AI802" s="56"/>
      <c r="AJ802" s="56"/>
      <c r="AK802" s="56"/>
    </row>
    <row r="803" spans="1:37" ht="15.75" customHeight="1" x14ac:dyDescent="0.2">
      <c r="A803" s="56"/>
      <c r="C803" s="56"/>
      <c r="AB803" s="56"/>
      <c r="AC803" s="56"/>
      <c r="AD803" s="58"/>
      <c r="AE803" s="56"/>
      <c r="AF803" s="56"/>
      <c r="AG803" s="56"/>
      <c r="AH803" s="56"/>
      <c r="AI803" s="56"/>
      <c r="AJ803" s="56"/>
      <c r="AK803" s="56"/>
    </row>
    <row r="804" spans="1:37" ht="15.75" customHeight="1" x14ac:dyDescent="0.2">
      <c r="A804" s="56"/>
      <c r="C804" s="56"/>
      <c r="AB804" s="56"/>
      <c r="AC804" s="56"/>
      <c r="AD804" s="58"/>
      <c r="AE804" s="56"/>
      <c r="AF804" s="56"/>
      <c r="AG804" s="56"/>
      <c r="AH804" s="56"/>
      <c r="AI804" s="56"/>
      <c r="AJ804" s="56"/>
      <c r="AK804" s="56"/>
    </row>
    <row r="805" spans="1:37" ht="15.75" customHeight="1" x14ac:dyDescent="0.2">
      <c r="A805" s="56"/>
      <c r="C805" s="56"/>
      <c r="AB805" s="56"/>
      <c r="AC805" s="56"/>
      <c r="AD805" s="58"/>
      <c r="AE805" s="56"/>
      <c r="AF805" s="56"/>
      <c r="AG805" s="56"/>
      <c r="AH805" s="56"/>
      <c r="AI805" s="56"/>
      <c r="AJ805" s="56"/>
      <c r="AK805" s="56"/>
    </row>
    <row r="806" spans="1:37" ht="15.75" customHeight="1" x14ac:dyDescent="0.2">
      <c r="A806" s="56"/>
      <c r="C806" s="56"/>
      <c r="AB806" s="56"/>
      <c r="AC806" s="56"/>
      <c r="AD806" s="58"/>
      <c r="AE806" s="56"/>
      <c r="AF806" s="56"/>
      <c r="AG806" s="56"/>
      <c r="AH806" s="56"/>
      <c r="AI806" s="56"/>
      <c r="AJ806" s="56"/>
      <c r="AK806" s="56"/>
    </row>
    <row r="807" spans="1:37" ht="15.75" customHeight="1" x14ac:dyDescent="0.2">
      <c r="A807" s="56"/>
      <c r="C807" s="56"/>
      <c r="AB807" s="56"/>
      <c r="AC807" s="56"/>
      <c r="AD807" s="58"/>
      <c r="AE807" s="56"/>
      <c r="AF807" s="56"/>
      <c r="AG807" s="56"/>
      <c r="AH807" s="56"/>
      <c r="AI807" s="56"/>
      <c r="AJ807" s="56"/>
      <c r="AK807" s="56"/>
    </row>
    <row r="808" spans="1:37" ht="15.75" customHeight="1" x14ac:dyDescent="0.2">
      <c r="A808" s="56"/>
      <c r="C808" s="56"/>
      <c r="AB808" s="56"/>
      <c r="AC808" s="56"/>
      <c r="AD808" s="58"/>
      <c r="AE808" s="56"/>
      <c r="AF808" s="56"/>
      <c r="AG808" s="56"/>
      <c r="AH808" s="56"/>
      <c r="AI808" s="56"/>
      <c r="AJ808" s="56"/>
      <c r="AK808" s="56"/>
    </row>
    <row r="809" spans="1:37" ht="15.75" customHeight="1" x14ac:dyDescent="0.2">
      <c r="A809" s="56"/>
      <c r="C809" s="56"/>
      <c r="AB809" s="56"/>
      <c r="AC809" s="56"/>
      <c r="AD809" s="58"/>
      <c r="AE809" s="56"/>
      <c r="AF809" s="56"/>
      <c r="AG809" s="56"/>
      <c r="AH809" s="56"/>
      <c r="AI809" s="56"/>
      <c r="AJ809" s="56"/>
      <c r="AK809" s="56"/>
    </row>
    <row r="810" spans="1:37" ht="15.75" customHeight="1" x14ac:dyDescent="0.2">
      <c r="A810" s="56"/>
      <c r="C810" s="56"/>
      <c r="AB810" s="56"/>
      <c r="AC810" s="56"/>
      <c r="AD810" s="58"/>
      <c r="AE810" s="56"/>
      <c r="AF810" s="56"/>
      <c r="AG810" s="56"/>
      <c r="AH810" s="56"/>
      <c r="AI810" s="56"/>
      <c r="AJ810" s="56"/>
      <c r="AK810" s="56"/>
    </row>
    <row r="811" spans="1:37" ht="15.75" customHeight="1" x14ac:dyDescent="0.2">
      <c r="A811" s="56"/>
      <c r="C811" s="56"/>
      <c r="AB811" s="56"/>
      <c r="AC811" s="56"/>
      <c r="AD811" s="58"/>
      <c r="AE811" s="56"/>
      <c r="AF811" s="56"/>
      <c r="AG811" s="56"/>
      <c r="AH811" s="56"/>
      <c r="AI811" s="56"/>
      <c r="AJ811" s="56"/>
      <c r="AK811" s="56"/>
    </row>
    <row r="812" spans="1:37" ht="15.75" customHeight="1" x14ac:dyDescent="0.2">
      <c r="A812" s="56"/>
      <c r="C812" s="56"/>
      <c r="AB812" s="56"/>
      <c r="AC812" s="56"/>
      <c r="AD812" s="58"/>
      <c r="AE812" s="56"/>
      <c r="AF812" s="56"/>
      <c r="AG812" s="56"/>
      <c r="AH812" s="56"/>
      <c r="AI812" s="56"/>
      <c r="AJ812" s="56"/>
      <c r="AK812" s="56"/>
    </row>
    <row r="813" spans="1:37" ht="15.75" customHeight="1" x14ac:dyDescent="0.2">
      <c r="A813" s="56"/>
      <c r="C813" s="56"/>
      <c r="AB813" s="56"/>
      <c r="AC813" s="56"/>
      <c r="AD813" s="58"/>
      <c r="AE813" s="56"/>
      <c r="AF813" s="56"/>
      <c r="AG813" s="56"/>
      <c r="AH813" s="56"/>
      <c r="AI813" s="56"/>
      <c r="AJ813" s="56"/>
      <c r="AK813" s="56"/>
    </row>
    <row r="814" spans="1:37" ht="15.75" customHeight="1" x14ac:dyDescent="0.2">
      <c r="A814" s="56"/>
      <c r="C814" s="56"/>
      <c r="AB814" s="56"/>
      <c r="AC814" s="56"/>
      <c r="AD814" s="58"/>
      <c r="AE814" s="56"/>
      <c r="AF814" s="56"/>
      <c r="AG814" s="56"/>
      <c r="AH814" s="56"/>
      <c r="AI814" s="56"/>
      <c r="AJ814" s="56"/>
      <c r="AK814" s="56"/>
    </row>
    <row r="815" spans="1:37" ht="15.75" customHeight="1" x14ac:dyDescent="0.2">
      <c r="A815" s="56"/>
      <c r="C815" s="56"/>
      <c r="AB815" s="56"/>
      <c r="AC815" s="56"/>
      <c r="AD815" s="58"/>
      <c r="AE815" s="56"/>
      <c r="AF815" s="56"/>
      <c r="AG815" s="56"/>
      <c r="AH815" s="56"/>
      <c r="AI815" s="56"/>
      <c r="AJ815" s="56"/>
      <c r="AK815" s="56"/>
    </row>
    <row r="816" spans="1:37" ht="15.75" customHeight="1" x14ac:dyDescent="0.2">
      <c r="A816" s="56"/>
      <c r="C816" s="56"/>
      <c r="AB816" s="56"/>
      <c r="AC816" s="56"/>
      <c r="AD816" s="58"/>
      <c r="AE816" s="56"/>
      <c r="AF816" s="56"/>
      <c r="AG816" s="56"/>
      <c r="AH816" s="56"/>
      <c r="AI816" s="56"/>
      <c r="AJ816" s="56"/>
      <c r="AK816" s="56"/>
    </row>
    <row r="817" spans="1:37" ht="15.75" customHeight="1" x14ac:dyDescent="0.2">
      <c r="A817" s="56"/>
      <c r="C817" s="56"/>
      <c r="AB817" s="56"/>
      <c r="AC817" s="56"/>
      <c r="AD817" s="58"/>
      <c r="AE817" s="56"/>
      <c r="AF817" s="56"/>
      <c r="AG817" s="56"/>
      <c r="AH817" s="56"/>
      <c r="AI817" s="56"/>
      <c r="AJ817" s="56"/>
      <c r="AK817" s="56"/>
    </row>
    <row r="818" spans="1:37" ht="15.75" customHeight="1" x14ac:dyDescent="0.2">
      <c r="A818" s="56"/>
      <c r="C818" s="56"/>
      <c r="AB818" s="56"/>
      <c r="AC818" s="56"/>
      <c r="AD818" s="58"/>
      <c r="AE818" s="56"/>
      <c r="AF818" s="56"/>
      <c r="AG818" s="56"/>
      <c r="AH818" s="56"/>
      <c r="AI818" s="56"/>
      <c r="AJ818" s="56"/>
      <c r="AK818" s="56"/>
    </row>
    <row r="819" spans="1:37" ht="15.75" customHeight="1" x14ac:dyDescent="0.2">
      <c r="A819" s="56"/>
      <c r="C819" s="56"/>
      <c r="AB819" s="56"/>
      <c r="AC819" s="56"/>
      <c r="AD819" s="58"/>
      <c r="AE819" s="56"/>
      <c r="AF819" s="56"/>
      <c r="AG819" s="56"/>
      <c r="AH819" s="56"/>
      <c r="AI819" s="56"/>
      <c r="AJ819" s="56"/>
      <c r="AK819" s="56"/>
    </row>
    <row r="820" spans="1:37" ht="15.75" customHeight="1" x14ac:dyDescent="0.2">
      <c r="A820" s="56"/>
      <c r="C820" s="56"/>
      <c r="AB820" s="56"/>
      <c r="AC820" s="56"/>
      <c r="AD820" s="58"/>
      <c r="AE820" s="56"/>
      <c r="AF820" s="56"/>
      <c r="AG820" s="56"/>
      <c r="AH820" s="56"/>
      <c r="AI820" s="56"/>
      <c r="AJ820" s="56"/>
      <c r="AK820" s="56"/>
    </row>
    <row r="821" spans="1:37" ht="15.75" customHeight="1" x14ac:dyDescent="0.2">
      <c r="A821" s="56"/>
      <c r="C821" s="56"/>
      <c r="AB821" s="56"/>
      <c r="AC821" s="56"/>
      <c r="AD821" s="58"/>
      <c r="AE821" s="56"/>
      <c r="AF821" s="56"/>
      <c r="AG821" s="56"/>
      <c r="AH821" s="56"/>
      <c r="AI821" s="56"/>
      <c r="AJ821" s="56"/>
      <c r="AK821" s="56"/>
    </row>
    <row r="822" spans="1:37" ht="15.75" customHeight="1" x14ac:dyDescent="0.2">
      <c r="A822" s="56"/>
      <c r="C822" s="56"/>
      <c r="AB822" s="56"/>
      <c r="AC822" s="56"/>
      <c r="AD822" s="58"/>
      <c r="AE822" s="56"/>
      <c r="AF822" s="56"/>
      <c r="AG822" s="56"/>
      <c r="AH822" s="56"/>
      <c r="AI822" s="56"/>
      <c r="AJ822" s="56"/>
      <c r="AK822" s="56"/>
    </row>
    <row r="823" spans="1:37" ht="15.75" customHeight="1" x14ac:dyDescent="0.2">
      <c r="A823" s="56"/>
      <c r="C823" s="56"/>
      <c r="AB823" s="56"/>
      <c r="AC823" s="56"/>
      <c r="AD823" s="58"/>
      <c r="AE823" s="56"/>
      <c r="AF823" s="56"/>
      <c r="AG823" s="56"/>
      <c r="AH823" s="56"/>
      <c r="AI823" s="56"/>
      <c r="AJ823" s="56"/>
      <c r="AK823" s="56"/>
    </row>
    <row r="824" spans="1:37" ht="15.75" customHeight="1" x14ac:dyDescent="0.2">
      <c r="A824" s="56"/>
      <c r="C824" s="56"/>
      <c r="AB824" s="56"/>
      <c r="AC824" s="56"/>
      <c r="AD824" s="58"/>
      <c r="AE824" s="56"/>
      <c r="AF824" s="56"/>
      <c r="AG824" s="56"/>
      <c r="AH824" s="56"/>
      <c r="AI824" s="56"/>
      <c r="AJ824" s="56"/>
      <c r="AK824" s="56"/>
    </row>
    <row r="825" spans="1:37" ht="15.75" customHeight="1" x14ac:dyDescent="0.2">
      <c r="A825" s="56"/>
      <c r="C825" s="56"/>
      <c r="AB825" s="56"/>
      <c r="AC825" s="56"/>
      <c r="AD825" s="58"/>
      <c r="AE825" s="56"/>
      <c r="AF825" s="56"/>
      <c r="AG825" s="56"/>
      <c r="AH825" s="56"/>
      <c r="AI825" s="56"/>
      <c r="AJ825" s="56"/>
      <c r="AK825" s="56"/>
    </row>
    <row r="826" spans="1:37" ht="15.75" customHeight="1" x14ac:dyDescent="0.2">
      <c r="A826" s="56"/>
      <c r="C826" s="56"/>
      <c r="AB826" s="56"/>
      <c r="AC826" s="56"/>
      <c r="AD826" s="58"/>
      <c r="AE826" s="56"/>
      <c r="AF826" s="56"/>
      <c r="AG826" s="56"/>
      <c r="AH826" s="56"/>
      <c r="AI826" s="56"/>
      <c r="AJ826" s="56"/>
      <c r="AK826" s="56"/>
    </row>
    <row r="827" spans="1:37" ht="15.75" customHeight="1" x14ac:dyDescent="0.2">
      <c r="A827" s="56"/>
      <c r="C827" s="56"/>
      <c r="AB827" s="56"/>
      <c r="AC827" s="56"/>
      <c r="AD827" s="58"/>
      <c r="AE827" s="56"/>
      <c r="AF827" s="56"/>
      <c r="AG827" s="56"/>
      <c r="AH827" s="56"/>
      <c r="AI827" s="56"/>
      <c r="AJ827" s="56"/>
      <c r="AK827" s="56"/>
    </row>
    <row r="828" spans="1:37" ht="15.75" customHeight="1" x14ac:dyDescent="0.2">
      <c r="A828" s="56"/>
      <c r="C828" s="56"/>
      <c r="AB828" s="56"/>
      <c r="AC828" s="56"/>
      <c r="AD828" s="58"/>
      <c r="AE828" s="56"/>
      <c r="AF828" s="56"/>
      <c r="AG828" s="56"/>
      <c r="AH828" s="56"/>
      <c r="AI828" s="56"/>
      <c r="AJ828" s="56"/>
      <c r="AK828" s="56"/>
    </row>
    <row r="829" spans="1:37" ht="15.75" customHeight="1" x14ac:dyDescent="0.2">
      <c r="A829" s="56"/>
      <c r="C829" s="56"/>
      <c r="AB829" s="56"/>
      <c r="AC829" s="56"/>
      <c r="AD829" s="58"/>
      <c r="AE829" s="56"/>
      <c r="AF829" s="56"/>
      <c r="AG829" s="56"/>
      <c r="AH829" s="56"/>
      <c r="AI829" s="56"/>
      <c r="AJ829" s="56"/>
      <c r="AK829" s="56"/>
    </row>
    <row r="830" spans="1:37" ht="15.75" customHeight="1" x14ac:dyDescent="0.2">
      <c r="A830" s="56"/>
      <c r="C830" s="56"/>
      <c r="AB830" s="56"/>
      <c r="AC830" s="56"/>
      <c r="AD830" s="58"/>
      <c r="AE830" s="56"/>
      <c r="AF830" s="56"/>
      <c r="AG830" s="56"/>
      <c r="AH830" s="56"/>
      <c r="AI830" s="56"/>
      <c r="AJ830" s="56"/>
      <c r="AK830" s="56"/>
    </row>
    <row r="831" spans="1:37" ht="15.75" customHeight="1" x14ac:dyDescent="0.2">
      <c r="A831" s="56"/>
      <c r="C831" s="56"/>
      <c r="AB831" s="56"/>
      <c r="AC831" s="56"/>
      <c r="AD831" s="58"/>
      <c r="AE831" s="56"/>
      <c r="AF831" s="56"/>
      <c r="AG831" s="56"/>
      <c r="AH831" s="56"/>
      <c r="AI831" s="56"/>
      <c r="AJ831" s="56"/>
      <c r="AK831" s="56"/>
    </row>
    <row r="832" spans="1:37" ht="15.75" customHeight="1" x14ac:dyDescent="0.2">
      <c r="A832" s="56"/>
      <c r="C832" s="56"/>
      <c r="AB832" s="56"/>
      <c r="AC832" s="56"/>
      <c r="AD832" s="58"/>
      <c r="AE832" s="56"/>
      <c r="AF832" s="56"/>
      <c r="AG832" s="56"/>
      <c r="AH832" s="56"/>
      <c r="AI832" s="56"/>
      <c r="AJ832" s="56"/>
      <c r="AK832" s="56"/>
    </row>
    <row r="833" spans="1:37" ht="15.75" customHeight="1" x14ac:dyDescent="0.2">
      <c r="A833" s="56"/>
      <c r="C833" s="56"/>
      <c r="AB833" s="56"/>
      <c r="AC833" s="56"/>
      <c r="AD833" s="58"/>
      <c r="AE833" s="56"/>
      <c r="AF833" s="56"/>
      <c r="AG833" s="56"/>
      <c r="AH833" s="56"/>
      <c r="AI833" s="56"/>
      <c r="AJ833" s="56"/>
      <c r="AK833" s="56"/>
    </row>
    <row r="834" spans="1:37" ht="15.75" customHeight="1" x14ac:dyDescent="0.2">
      <c r="A834" s="56"/>
      <c r="C834" s="56"/>
      <c r="AB834" s="56"/>
      <c r="AC834" s="56"/>
      <c r="AD834" s="58"/>
      <c r="AE834" s="56"/>
      <c r="AF834" s="56"/>
      <c r="AG834" s="56"/>
      <c r="AH834" s="56"/>
      <c r="AI834" s="56"/>
      <c r="AJ834" s="56"/>
      <c r="AK834" s="56"/>
    </row>
    <row r="835" spans="1:37" ht="15.75" customHeight="1" x14ac:dyDescent="0.2">
      <c r="A835" s="56"/>
      <c r="C835" s="56"/>
      <c r="AB835" s="56"/>
      <c r="AC835" s="56"/>
      <c r="AD835" s="58"/>
      <c r="AE835" s="56"/>
      <c r="AF835" s="56"/>
      <c r="AG835" s="56"/>
      <c r="AH835" s="56"/>
      <c r="AI835" s="56"/>
      <c r="AJ835" s="56"/>
      <c r="AK835" s="56"/>
    </row>
    <row r="836" spans="1:37" ht="15.75" customHeight="1" x14ac:dyDescent="0.2">
      <c r="A836" s="56"/>
      <c r="C836" s="56"/>
      <c r="AB836" s="56"/>
      <c r="AC836" s="56"/>
      <c r="AD836" s="58"/>
      <c r="AE836" s="56"/>
      <c r="AF836" s="56"/>
      <c r="AG836" s="56"/>
      <c r="AH836" s="56"/>
      <c r="AI836" s="56"/>
      <c r="AJ836" s="56"/>
      <c r="AK836" s="56"/>
    </row>
    <row r="837" spans="1:37" ht="15.75" customHeight="1" x14ac:dyDescent="0.2">
      <c r="A837" s="56"/>
      <c r="C837" s="56"/>
      <c r="AB837" s="56"/>
      <c r="AC837" s="56"/>
      <c r="AD837" s="58"/>
      <c r="AE837" s="56"/>
      <c r="AF837" s="56"/>
      <c r="AG837" s="56"/>
      <c r="AH837" s="56"/>
      <c r="AI837" s="56"/>
      <c r="AJ837" s="56"/>
      <c r="AK837" s="56"/>
    </row>
    <row r="838" spans="1:37" ht="15.75" customHeight="1" x14ac:dyDescent="0.2">
      <c r="A838" s="56"/>
      <c r="C838" s="56"/>
      <c r="AB838" s="56"/>
      <c r="AC838" s="56"/>
      <c r="AD838" s="58"/>
      <c r="AE838" s="56"/>
      <c r="AF838" s="56"/>
      <c r="AG838" s="56"/>
      <c r="AH838" s="56"/>
      <c r="AI838" s="56"/>
      <c r="AJ838" s="56"/>
      <c r="AK838" s="56"/>
    </row>
    <row r="839" spans="1:37" ht="15.75" customHeight="1" x14ac:dyDescent="0.2">
      <c r="A839" s="56"/>
      <c r="C839" s="56"/>
      <c r="AB839" s="56"/>
      <c r="AC839" s="56"/>
      <c r="AD839" s="58"/>
      <c r="AE839" s="56"/>
      <c r="AF839" s="56"/>
      <c r="AG839" s="56"/>
      <c r="AH839" s="56"/>
      <c r="AI839" s="56"/>
      <c r="AJ839" s="56"/>
      <c r="AK839" s="56"/>
    </row>
    <row r="840" spans="1:37" ht="15.75" customHeight="1" x14ac:dyDescent="0.2">
      <c r="A840" s="56"/>
      <c r="C840" s="56"/>
      <c r="AB840" s="56"/>
      <c r="AC840" s="56"/>
      <c r="AD840" s="58"/>
      <c r="AE840" s="56"/>
      <c r="AF840" s="56"/>
      <c r="AG840" s="56"/>
      <c r="AH840" s="56"/>
      <c r="AI840" s="56"/>
      <c r="AJ840" s="56"/>
      <c r="AK840" s="56"/>
    </row>
    <row r="841" spans="1:37" ht="15.75" customHeight="1" x14ac:dyDescent="0.2">
      <c r="A841" s="56"/>
      <c r="C841" s="56"/>
      <c r="AB841" s="56"/>
      <c r="AC841" s="56"/>
      <c r="AD841" s="58"/>
      <c r="AE841" s="56"/>
      <c r="AF841" s="56"/>
      <c r="AG841" s="56"/>
      <c r="AH841" s="56"/>
      <c r="AI841" s="56"/>
      <c r="AJ841" s="56"/>
      <c r="AK841" s="56"/>
    </row>
    <row r="842" spans="1:37" ht="15.75" customHeight="1" x14ac:dyDescent="0.2">
      <c r="A842" s="56"/>
      <c r="C842" s="56"/>
      <c r="AB842" s="56"/>
      <c r="AC842" s="56"/>
      <c r="AD842" s="58"/>
      <c r="AE842" s="56"/>
      <c r="AF842" s="56"/>
      <c r="AG842" s="56"/>
      <c r="AH842" s="56"/>
      <c r="AI842" s="56"/>
      <c r="AJ842" s="56"/>
      <c r="AK842" s="56"/>
    </row>
    <row r="843" spans="1:37" ht="15.75" customHeight="1" x14ac:dyDescent="0.2">
      <c r="A843" s="56"/>
      <c r="C843" s="56"/>
      <c r="AB843" s="56"/>
      <c r="AC843" s="56"/>
      <c r="AD843" s="58"/>
      <c r="AE843" s="56"/>
      <c r="AF843" s="56"/>
      <c r="AG843" s="56"/>
      <c r="AH843" s="56"/>
      <c r="AI843" s="56"/>
      <c r="AJ843" s="56"/>
      <c r="AK843" s="56"/>
    </row>
    <row r="844" spans="1:37" ht="15.75" customHeight="1" x14ac:dyDescent="0.2">
      <c r="A844" s="56"/>
      <c r="C844" s="56"/>
      <c r="AB844" s="56"/>
      <c r="AC844" s="56"/>
      <c r="AD844" s="58"/>
      <c r="AE844" s="56"/>
      <c r="AF844" s="56"/>
      <c r="AG844" s="56"/>
      <c r="AH844" s="56"/>
      <c r="AI844" s="56"/>
      <c r="AJ844" s="56"/>
      <c r="AK844" s="56"/>
    </row>
    <row r="845" spans="1:37" ht="15.75" customHeight="1" x14ac:dyDescent="0.2">
      <c r="A845" s="56"/>
      <c r="C845" s="56"/>
      <c r="AB845" s="56"/>
      <c r="AC845" s="56"/>
      <c r="AD845" s="58"/>
      <c r="AE845" s="56"/>
      <c r="AF845" s="56"/>
      <c r="AG845" s="56"/>
      <c r="AH845" s="56"/>
      <c r="AI845" s="56"/>
      <c r="AJ845" s="56"/>
      <c r="AK845" s="56"/>
    </row>
    <row r="846" spans="1:37" ht="15.75" customHeight="1" x14ac:dyDescent="0.2">
      <c r="A846" s="56"/>
      <c r="C846" s="56"/>
      <c r="AB846" s="56"/>
      <c r="AC846" s="56"/>
      <c r="AD846" s="58"/>
      <c r="AE846" s="56"/>
      <c r="AF846" s="56"/>
      <c r="AG846" s="56"/>
      <c r="AH846" s="56"/>
      <c r="AI846" s="56"/>
      <c r="AJ846" s="56"/>
      <c r="AK846" s="56"/>
    </row>
    <row r="847" spans="1:37" ht="15.75" customHeight="1" x14ac:dyDescent="0.2">
      <c r="A847" s="56"/>
      <c r="C847" s="56"/>
      <c r="AB847" s="56"/>
      <c r="AC847" s="56"/>
      <c r="AD847" s="58"/>
      <c r="AE847" s="56"/>
      <c r="AF847" s="56"/>
      <c r="AG847" s="56"/>
      <c r="AH847" s="56"/>
      <c r="AI847" s="56"/>
      <c r="AJ847" s="56"/>
      <c r="AK847" s="56"/>
    </row>
    <row r="848" spans="1:37" ht="15.75" customHeight="1" x14ac:dyDescent="0.2">
      <c r="A848" s="56"/>
      <c r="C848" s="56"/>
      <c r="AB848" s="56"/>
      <c r="AC848" s="56"/>
      <c r="AD848" s="58"/>
      <c r="AE848" s="56"/>
      <c r="AF848" s="56"/>
      <c r="AG848" s="56"/>
      <c r="AH848" s="56"/>
      <c r="AI848" s="56"/>
      <c r="AJ848" s="56"/>
      <c r="AK848" s="56"/>
    </row>
    <row r="849" spans="1:37" ht="15.75" customHeight="1" x14ac:dyDescent="0.2">
      <c r="A849" s="56"/>
      <c r="C849" s="56"/>
      <c r="AB849" s="56"/>
      <c r="AC849" s="56"/>
      <c r="AD849" s="58"/>
      <c r="AE849" s="56"/>
      <c r="AF849" s="56"/>
      <c r="AG849" s="56"/>
      <c r="AH849" s="56"/>
      <c r="AI849" s="56"/>
      <c r="AJ849" s="56"/>
      <c r="AK849" s="56"/>
    </row>
    <row r="850" spans="1:37" ht="15.75" customHeight="1" x14ac:dyDescent="0.2">
      <c r="A850" s="56"/>
      <c r="C850" s="56"/>
      <c r="AB850" s="56"/>
      <c r="AC850" s="56"/>
      <c r="AD850" s="58"/>
      <c r="AE850" s="56"/>
      <c r="AF850" s="56"/>
      <c r="AG850" s="56"/>
      <c r="AH850" s="56"/>
      <c r="AI850" s="56"/>
      <c r="AJ850" s="56"/>
      <c r="AK850" s="56"/>
    </row>
    <row r="851" spans="1:37" ht="15.75" customHeight="1" x14ac:dyDescent="0.2">
      <c r="A851" s="56"/>
      <c r="C851" s="56"/>
      <c r="AB851" s="56"/>
      <c r="AC851" s="56"/>
      <c r="AD851" s="58"/>
      <c r="AE851" s="56"/>
      <c r="AF851" s="56"/>
      <c r="AG851" s="56"/>
      <c r="AH851" s="56"/>
      <c r="AI851" s="56"/>
      <c r="AJ851" s="56"/>
      <c r="AK851" s="56"/>
    </row>
    <row r="852" spans="1:37" ht="15.75" customHeight="1" x14ac:dyDescent="0.2">
      <c r="A852" s="56"/>
      <c r="C852" s="56"/>
      <c r="AB852" s="56"/>
      <c r="AC852" s="56"/>
      <c r="AD852" s="58"/>
      <c r="AE852" s="56"/>
      <c r="AF852" s="56"/>
      <c r="AG852" s="56"/>
      <c r="AH852" s="56"/>
      <c r="AI852" s="56"/>
      <c r="AJ852" s="56"/>
      <c r="AK852" s="56"/>
    </row>
    <row r="853" spans="1:37" ht="15.75" customHeight="1" x14ac:dyDescent="0.2">
      <c r="A853" s="56"/>
      <c r="C853" s="56"/>
      <c r="AB853" s="56"/>
      <c r="AC853" s="56"/>
      <c r="AD853" s="58"/>
      <c r="AE853" s="56"/>
      <c r="AF853" s="56"/>
      <c r="AG853" s="56"/>
      <c r="AH853" s="56"/>
      <c r="AI853" s="56"/>
      <c r="AJ853" s="56"/>
      <c r="AK853" s="56"/>
    </row>
    <row r="854" spans="1:37" ht="15.75" customHeight="1" x14ac:dyDescent="0.2">
      <c r="A854" s="56"/>
      <c r="C854" s="56"/>
      <c r="AB854" s="56"/>
      <c r="AC854" s="56"/>
      <c r="AD854" s="58"/>
      <c r="AE854" s="56"/>
      <c r="AF854" s="56"/>
      <c r="AG854" s="56"/>
      <c r="AH854" s="56"/>
      <c r="AI854" s="56"/>
      <c r="AJ854" s="56"/>
      <c r="AK854" s="56"/>
    </row>
    <row r="855" spans="1:37" ht="15.75" customHeight="1" x14ac:dyDescent="0.2">
      <c r="A855" s="56"/>
      <c r="C855" s="56"/>
      <c r="AB855" s="56"/>
      <c r="AC855" s="56"/>
      <c r="AD855" s="58"/>
      <c r="AE855" s="56"/>
      <c r="AF855" s="56"/>
      <c r="AG855" s="56"/>
      <c r="AH855" s="56"/>
      <c r="AI855" s="56"/>
      <c r="AJ855" s="56"/>
      <c r="AK855" s="56"/>
    </row>
    <row r="856" spans="1:37" ht="15.75" customHeight="1" x14ac:dyDescent="0.2">
      <c r="A856" s="56"/>
      <c r="C856" s="56"/>
      <c r="AB856" s="56"/>
      <c r="AC856" s="56"/>
      <c r="AD856" s="58"/>
      <c r="AE856" s="56"/>
      <c r="AF856" s="56"/>
      <c r="AG856" s="56"/>
      <c r="AH856" s="56"/>
      <c r="AI856" s="56"/>
      <c r="AJ856" s="56"/>
      <c r="AK856" s="56"/>
    </row>
    <row r="857" spans="1:37" ht="15.75" customHeight="1" x14ac:dyDescent="0.2">
      <c r="A857" s="56"/>
      <c r="C857" s="56"/>
      <c r="AB857" s="56"/>
      <c r="AC857" s="56"/>
      <c r="AD857" s="58"/>
      <c r="AE857" s="56"/>
      <c r="AF857" s="56"/>
      <c r="AG857" s="56"/>
      <c r="AH857" s="56"/>
      <c r="AI857" s="56"/>
      <c r="AJ857" s="56"/>
      <c r="AK857" s="56"/>
    </row>
    <row r="858" spans="1:37" ht="15.75" customHeight="1" x14ac:dyDescent="0.2">
      <c r="A858" s="56"/>
      <c r="C858" s="56"/>
      <c r="AB858" s="56"/>
      <c r="AC858" s="56"/>
      <c r="AD858" s="58"/>
      <c r="AE858" s="56"/>
      <c r="AF858" s="56"/>
      <c r="AG858" s="56"/>
      <c r="AH858" s="56"/>
      <c r="AI858" s="56"/>
      <c r="AJ858" s="56"/>
      <c r="AK858" s="56"/>
    </row>
    <row r="859" spans="1:37" ht="15.75" customHeight="1" x14ac:dyDescent="0.2">
      <c r="A859" s="56"/>
      <c r="C859" s="56"/>
      <c r="AB859" s="56"/>
      <c r="AC859" s="56"/>
      <c r="AD859" s="58"/>
      <c r="AE859" s="56"/>
      <c r="AF859" s="56"/>
      <c r="AG859" s="56"/>
      <c r="AH859" s="56"/>
      <c r="AI859" s="56"/>
      <c r="AJ859" s="56"/>
      <c r="AK859" s="56"/>
    </row>
    <row r="860" spans="1:37" ht="15.75" customHeight="1" x14ac:dyDescent="0.2">
      <c r="A860" s="56"/>
      <c r="C860" s="56"/>
      <c r="AB860" s="56"/>
      <c r="AC860" s="56"/>
      <c r="AD860" s="58"/>
      <c r="AE860" s="56"/>
      <c r="AF860" s="56"/>
      <c r="AG860" s="56"/>
      <c r="AH860" s="56"/>
      <c r="AI860" s="56"/>
      <c r="AJ860" s="56"/>
      <c r="AK860" s="56"/>
    </row>
    <row r="861" spans="1:37" ht="15.75" customHeight="1" x14ac:dyDescent="0.2">
      <c r="A861" s="56"/>
      <c r="C861" s="56"/>
      <c r="AB861" s="56"/>
      <c r="AC861" s="56"/>
      <c r="AD861" s="58"/>
      <c r="AE861" s="56"/>
      <c r="AF861" s="56"/>
      <c r="AG861" s="56"/>
      <c r="AH861" s="56"/>
      <c r="AI861" s="56"/>
      <c r="AJ861" s="56"/>
      <c r="AK861" s="56"/>
    </row>
    <row r="862" spans="1:37" ht="15.75" customHeight="1" x14ac:dyDescent="0.2">
      <c r="A862" s="56"/>
      <c r="C862" s="56"/>
      <c r="AB862" s="56"/>
      <c r="AC862" s="56"/>
      <c r="AD862" s="58"/>
      <c r="AE862" s="56"/>
      <c r="AF862" s="56"/>
      <c r="AG862" s="56"/>
      <c r="AH862" s="56"/>
      <c r="AI862" s="56"/>
      <c r="AJ862" s="56"/>
      <c r="AK862" s="56"/>
    </row>
    <row r="863" spans="1:37" ht="15.75" customHeight="1" x14ac:dyDescent="0.2">
      <c r="A863" s="56"/>
      <c r="C863" s="56"/>
      <c r="AB863" s="56"/>
      <c r="AC863" s="56"/>
      <c r="AD863" s="58"/>
      <c r="AE863" s="56"/>
      <c r="AF863" s="56"/>
      <c r="AG863" s="56"/>
      <c r="AH863" s="56"/>
      <c r="AI863" s="56"/>
      <c r="AJ863" s="56"/>
      <c r="AK863" s="56"/>
    </row>
    <row r="864" spans="1:37" ht="15.75" customHeight="1" x14ac:dyDescent="0.2">
      <c r="A864" s="56"/>
      <c r="C864" s="56"/>
      <c r="AB864" s="56"/>
      <c r="AC864" s="56"/>
      <c r="AD864" s="58"/>
      <c r="AE864" s="56"/>
      <c r="AF864" s="56"/>
      <c r="AG864" s="56"/>
      <c r="AH864" s="56"/>
      <c r="AI864" s="56"/>
      <c r="AJ864" s="56"/>
      <c r="AK864" s="56"/>
    </row>
    <row r="865" spans="1:37" ht="15.75" customHeight="1" x14ac:dyDescent="0.2">
      <c r="A865" s="56"/>
      <c r="C865" s="56"/>
      <c r="AB865" s="56"/>
      <c r="AC865" s="56"/>
      <c r="AD865" s="58"/>
      <c r="AE865" s="56"/>
      <c r="AF865" s="56"/>
      <c r="AG865" s="56"/>
      <c r="AH865" s="56"/>
      <c r="AI865" s="56"/>
      <c r="AJ865" s="56"/>
      <c r="AK865" s="56"/>
    </row>
    <row r="866" spans="1:37" ht="15.75" customHeight="1" x14ac:dyDescent="0.2">
      <c r="A866" s="56"/>
      <c r="C866" s="56"/>
      <c r="AB866" s="56"/>
      <c r="AC866" s="56"/>
      <c r="AD866" s="58"/>
      <c r="AE866" s="56"/>
      <c r="AF866" s="56"/>
      <c r="AG866" s="56"/>
      <c r="AH866" s="56"/>
      <c r="AI866" s="56"/>
      <c r="AJ866" s="56"/>
      <c r="AK866" s="56"/>
    </row>
    <row r="867" spans="1:37" ht="15.75" customHeight="1" x14ac:dyDescent="0.2">
      <c r="A867" s="56"/>
      <c r="C867" s="56"/>
      <c r="AB867" s="56"/>
      <c r="AC867" s="56"/>
      <c r="AD867" s="58"/>
      <c r="AE867" s="56"/>
      <c r="AF867" s="56"/>
      <c r="AG867" s="56"/>
      <c r="AH867" s="56"/>
      <c r="AI867" s="56"/>
      <c r="AJ867" s="56"/>
      <c r="AK867" s="56"/>
    </row>
    <row r="868" spans="1:37" ht="15.75" customHeight="1" x14ac:dyDescent="0.2">
      <c r="A868" s="56"/>
      <c r="C868" s="56"/>
      <c r="AB868" s="56"/>
      <c r="AC868" s="56"/>
      <c r="AD868" s="58"/>
      <c r="AE868" s="56"/>
      <c r="AF868" s="56"/>
      <c r="AG868" s="56"/>
      <c r="AH868" s="56"/>
      <c r="AI868" s="56"/>
      <c r="AJ868" s="56"/>
      <c r="AK868" s="56"/>
    </row>
    <row r="869" spans="1:37" ht="15.75" customHeight="1" x14ac:dyDescent="0.2">
      <c r="A869" s="56"/>
      <c r="C869" s="56"/>
      <c r="AB869" s="56"/>
      <c r="AC869" s="56"/>
      <c r="AD869" s="58"/>
      <c r="AE869" s="56"/>
      <c r="AF869" s="56"/>
      <c r="AG869" s="56"/>
      <c r="AH869" s="56"/>
      <c r="AI869" s="56"/>
      <c r="AJ869" s="56"/>
      <c r="AK869" s="56"/>
    </row>
    <row r="870" spans="1:37" ht="15.75" customHeight="1" x14ac:dyDescent="0.2">
      <c r="A870" s="56"/>
      <c r="C870" s="56"/>
      <c r="AB870" s="56"/>
      <c r="AC870" s="56"/>
      <c r="AD870" s="58"/>
      <c r="AE870" s="56"/>
      <c r="AF870" s="56"/>
      <c r="AG870" s="56"/>
      <c r="AH870" s="56"/>
      <c r="AI870" s="56"/>
      <c r="AJ870" s="56"/>
      <c r="AK870" s="56"/>
    </row>
    <row r="871" spans="1:37" ht="15.75" customHeight="1" x14ac:dyDescent="0.2">
      <c r="A871" s="56"/>
      <c r="C871" s="56"/>
      <c r="AB871" s="56"/>
      <c r="AC871" s="56"/>
      <c r="AD871" s="58"/>
      <c r="AE871" s="56"/>
      <c r="AF871" s="56"/>
      <c r="AG871" s="56"/>
      <c r="AH871" s="56"/>
      <c r="AI871" s="56"/>
      <c r="AJ871" s="56"/>
      <c r="AK871" s="56"/>
    </row>
    <row r="872" spans="1:37" ht="15.75" customHeight="1" x14ac:dyDescent="0.2">
      <c r="A872" s="56"/>
      <c r="C872" s="56"/>
      <c r="AB872" s="56"/>
      <c r="AC872" s="56"/>
      <c r="AD872" s="58"/>
      <c r="AE872" s="56"/>
      <c r="AF872" s="56"/>
      <c r="AG872" s="56"/>
      <c r="AH872" s="56"/>
      <c r="AI872" s="56"/>
      <c r="AJ872" s="56"/>
      <c r="AK872" s="56"/>
    </row>
    <row r="873" spans="1:37" ht="15.75" customHeight="1" x14ac:dyDescent="0.2">
      <c r="A873" s="56"/>
      <c r="C873" s="56"/>
      <c r="AB873" s="56"/>
      <c r="AC873" s="56"/>
      <c r="AD873" s="58"/>
      <c r="AE873" s="56"/>
      <c r="AF873" s="56"/>
      <c r="AG873" s="56"/>
      <c r="AH873" s="56"/>
      <c r="AI873" s="56"/>
      <c r="AJ873" s="56"/>
      <c r="AK873" s="56"/>
    </row>
    <row r="874" spans="1:37" ht="15.75" customHeight="1" x14ac:dyDescent="0.2">
      <c r="A874" s="56"/>
      <c r="C874" s="56"/>
      <c r="AB874" s="56"/>
      <c r="AC874" s="56"/>
      <c r="AD874" s="58"/>
      <c r="AE874" s="56"/>
      <c r="AF874" s="56"/>
      <c r="AG874" s="56"/>
      <c r="AH874" s="56"/>
      <c r="AI874" s="56"/>
      <c r="AJ874" s="56"/>
      <c r="AK874" s="56"/>
    </row>
    <row r="875" spans="1:37" ht="15.75" customHeight="1" x14ac:dyDescent="0.2">
      <c r="A875" s="56"/>
      <c r="C875" s="56"/>
      <c r="AB875" s="56"/>
      <c r="AC875" s="56"/>
      <c r="AD875" s="58"/>
      <c r="AE875" s="56"/>
      <c r="AF875" s="56"/>
      <c r="AG875" s="56"/>
      <c r="AH875" s="56"/>
      <c r="AI875" s="56"/>
      <c r="AJ875" s="56"/>
      <c r="AK875" s="56"/>
    </row>
    <row r="876" spans="1:37" ht="15.75" customHeight="1" x14ac:dyDescent="0.2">
      <c r="A876" s="56"/>
      <c r="C876" s="56"/>
      <c r="AB876" s="56"/>
      <c r="AC876" s="56"/>
      <c r="AD876" s="58"/>
      <c r="AE876" s="56"/>
      <c r="AF876" s="56"/>
      <c r="AG876" s="56"/>
      <c r="AH876" s="56"/>
      <c r="AI876" s="56"/>
      <c r="AJ876" s="56"/>
      <c r="AK876" s="56"/>
    </row>
    <row r="877" spans="1:37" ht="15.75" customHeight="1" x14ac:dyDescent="0.2">
      <c r="A877" s="56"/>
      <c r="C877" s="56"/>
      <c r="AB877" s="56"/>
      <c r="AC877" s="56"/>
      <c r="AD877" s="58"/>
      <c r="AE877" s="56"/>
      <c r="AF877" s="56"/>
      <c r="AG877" s="56"/>
      <c r="AH877" s="56"/>
      <c r="AI877" s="56"/>
      <c r="AJ877" s="56"/>
      <c r="AK877" s="56"/>
    </row>
    <row r="878" spans="1:37" ht="15.75" customHeight="1" x14ac:dyDescent="0.2">
      <c r="A878" s="56"/>
      <c r="C878" s="56"/>
      <c r="AB878" s="56"/>
      <c r="AC878" s="56"/>
      <c r="AD878" s="58"/>
      <c r="AE878" s="56"/>
      <c r="AF878" s="56"/>
      <c r="AG878" s="56"/>
      <c r="AH878" s="56"/>
      <c r="AI878" s="56"/>
      <c r="AJ878" s="56"/>
      <c r="AK878" s="56"/>
    </row>
    <row r="879" spans="1:37" ht="15.75" customHeight="1" x14ac:dyDescent="0.2">
      <c r="A879" s="56"/>
      <c r="C879" s="56"/>
      <c r="AB879" s="56"/>
      <c r="AC879" s="56"/>
      <c r="AD879" s="58"/>
      <c r="AE879" s="56"/>
      <c r="AF879" s="56"/>
      <c r="AG879" s="56"/>
      <c r="AH879" s="56"/>
      <c r="AI879" s="56"/>
      <c r="AJ879" s="56"/>
      <c r="AK879" s="56"/>
    </row>
    <row r="880" spans="1:37" ht="15.75" customHeight="1" x14ac:dyDescent="0.2">
      <c r="A880" s="56"/>
      <c r="C880" s="56"/>
      <c r="AB880" s="56"/>
      <c r="AC880" s="56"/>
      <c r="AD880" s="58"/>
      <c r="AE880" s="56"/>
      <c r="AF880" s="56"/>
      <c r="AG880" s="56"/>
      <c r="AH880" s="56"/>
      <c r="AI880" s="56"/>
      <c r="AJ880" s="56"/>
      <c r="AK880" s="56"/>
    </row>
    <row r="881" spans="1:37" ht="15.75" customHeight="1" x14ac:dyDescent="0.2">
      <c r="A881" s="56"/>
      <c r="C881" s="56"/>
      <c r="AB881" s="56"/>
      <c r="AC881" s="56"/>
      <c r="AD881" s="58"/>
      <c r="AE881" s="56"/>
      <c r="AF881" s="56"/>
      <c r="AG881" s="56"/>
      <c r="AH881" s="56"/>
      <c r="AI881" s="56"/>
      <c r="AJ881" s="56"/>
      <c r="AK881" s="56"/>
    </row>
    <row r="882" spans="1:37" ht="15.75" customHeight="1" x14ac:dyDescent="0.2">
      <c r="A882" s="56"/>
      <c r="C882" s="56"/>
      <c r="AB882" s="56"/>
      <c r="AC882" s="56"/>
      <c r="AD882" s="58"/>
      <c r="AE882" s="56"/>
      <c r="AF882" s="56"/>
      <c r="AG882" s="56"/>
      <c r="AH882" s="56"/>
      <c r="AI882" s="56"/>
      <c r="AJ882" s="56"/>
      <c r="AK882" s="56"/>
    </row>
    <row r="883" spans="1:37" ht="15.75" customHeight="1" x14ac:dyDescent="0.2">
      <c r="A883" s="56"/>
      <c r="C883" s="56"/>
      <c r="AB883" s="56"/>
      <c r="AC883" s="56"/>
      <c r="AD883" s="58"/>
      <c r="AE883" s="56"/>
      <c r="AF883" s="56"/>
      <c r="AG883" s="56"/>
      <c r="AH883" s="56"/>
      <c r="AI883" s="56"/>
      <c r="AJ883" s="56"/>
      <c r="AK883" s="56"/>
    </row>
    <row r="884" spans="1:37" ht="15.75" customHeight="1" x14ac:dyDescent="0.2">
      <c r="A884" s="56"/>
      <c r="C884" s="56"/>
      <c r="AB884" s="56"/>
      <c r="AC884" s="56"/>
      <c r="AD884" s="58"/>
      <c r="AE884" s="56"/>
      <c r="AF884" s="56"/>
      <c r="AG884" s="56"/>
      <c r="AH884" s="56"/>
      <c r="AI884" s="56"/>
      <c r="AJ884" s="56"/>
      <c r="AK884" s="56"/>
    </row>
    <row r="885" spans="1:37" ht="15.75" customHeight="1" x14ac:dyDescent="0.2">
      <c r="A885" s="56"/>
      <c r="C885" s="56"/>
      <c r="AB885" s="56"/>
      <c r="AC885" s="56"/>
      <c r="AD885" s="58"/>
      <c r="AE885" s="56"/>
      <c r="AF885" s="56"/>
      <c r="AG885" s="56"/>
      <c r="AH885" s="56"/>
      <c r="AI885" s="56"/>
      <c r="AJ885" s="56"/>
      <c r="AK885" s="56"/>
    </row>
    <row r="886" spans="1:37" ht="15.75" customHeight="1" x14ac:dyDescent="0.2">
      <c r="A886" s="56"/>
      <c r="C886" s="56"/>
      <c r="AB886" s="56"/>
      <c r="AC886" s="56"/>
      <c r="AD886" s="58"/>
      <c r="AE886" s="56"/>
      <c r="AF886" s="56"/>
      <c r="AG886" s="56"/>
      <c r="AH886" s="56"/>
      <c r="AI886" s="56"/>
      <c r="AJ886" s="56"/>
      <c r="AK886" s="56"/>
    </row>
    <row r="887" spans="1:37" ht="15.75" customHeight="1" x14ac:dyDescent="0.2">
      <c r="A887" s="56"/>
      <c r="C887" s="56"/>
      <c r="AB887" s="56"/>
      <c r="AC887" s="56"/>
      <c r="AD887" s="58"/>
      <c r="AE887" s="56"/>
      <c r="AF887" s="56"/>
      <c r="AG887" s="56"/>
      <c r="AH887" s="56"/>
      <c r="AI887" s="56"/>
      <c r="AJ887" s="56"/>
      <c r="AK887" s="56"/>
    </row>
    <row r="888" spans="1:37" ht="15.75" customHeight="1" x14ac:dyDescent="0.2">
      <c r="A888" s="56"/>
      <c r="C888" s="56"/>
      <c r="AB888" s="56"/>
      <c r="AC888" s="56"/>
      <c r="AD888" s="58"/>
      <c r="AE888" s="56"/>
      <c r="AF888" s="56"/>
      <c r="AG888" s="56"/>
      <c r="AH888" s="56"/>
      <c r="AI888" s="56"/>
      <c r="AJ888" s="56"/>
      <c r="AK888" s="56"/>
    </row>
    <row r="889" spans="1:37" ht="15.75" customHeight="1" x14ac:dyDescent="0.2">
      <c r="A889" s="56"/>
      <c r="C889" s="56"/>
      <c r="AB889" s="56"/>
      <c r="AC889" s="56"/>
      <c r="AD889" s="58"/>
      <c r="AE889" s="56"/>
      <c r="AF889" s="56"/>
      <c r="AG889" s="56"/>
      <c r="AH889" s="56"/>
      <c r="AI889" s="56"/>
      <c r="AJ889" s="56"/>
      <c r="AK889" s="56"/>
    </row>
    <row r="890" spans="1:37" ht="15.75" customHeight="1" x14ac:dyDescent="0.2">
      <c r="A890" s="56"/>
      <c r="C890" s="56"/>
      <c r="AB890" s="56"/>
      <c r="AC890" s="56"/>
      <c r="AD890" s="58"/>
      <c r="AE890" s="56"/>
      <c r="AF890" s="56"/>
      <c r="AG890" s="56"/>
      <c r="AH890" s="56"/>
      <c r="AI890" s="56"/>
      <c r="AJ890" s="56"/>
      <c r="AK890" s="56"/>
    </row>
    <row r="891" spans="1:37" ht="15.75" customHeight="1" x14ac:dyDescent="0.2">
      <c r="A891" s="56"/>
      <c r="C891" s="56"/>
      <c r="AB891" s="56"/>
      <c r="AC891" s="56"/>
      <c r="AD891" s="58"/>
      <c r="AE891" s="56"/>
      <c r="AF891" s="56"/>
      <c r="AG891" s="56"/>
      <c r="AH891" s="56"/>
      <c r="AI891" s="56"/>
      <c r="AJ891" s="56"/>
      <c r="AK891" s="56"/>
    </row>
    <row r="892" spans="1:37" ht="15.75" customHeight="1" x14ac:dyDescent="0.2">
      <c r="A892" s="56"/>
      <c r="C892" s="56"/>
      <c r="AB892" s="56"/>
      <c r="AC892" s="56"/>
      <c r="AD892" s="58"/>
      <c r="AE892" s="56"/>
      <c r="AF892" s="56"/>
      <c r="AG892" s="56"/>
      <c r="AH892" s="56"/>
      <c r="AI892" s="56"/>
      <c r="AJ892" s="56"/>
      <c r="AK892" s="56"/>
    </row>
    <row r="893" spans="1:37" ht="15.75" customHeight="1" x14ac:dyDescent="0.2">
      <c r="A893" s="56"/>
      <c r="C893" s="56"/>
      <c r="AB893" s="56"/>
      <c r="AC893" s="56"/>
      <c r="AD893" s="58"/>
      <c r="AE893" s="56"/>
      <c r="AF893" s="56"/>
      <c r="AG893" s="56"/>
      <c r="AH893" s="56"/>
      <c r="AI893" s="56"/>
      <c r="AJ893" s="56"/>
      <c r="AK893" s="56"/>
    </row>
    <row r="894" spans="1:37" ht="15.75" customHeight="1" x14ac:dyDescent="0.2">
      <c r="A894" s="56"/>
      <c r="C894" s="56"/>
      <c r="AB894" s="56"/>
      <c r="AC894" s="56"/>
      <c r="AD894" s="58"/>
      <c r="AE894" s="56"/>
      <c r="AF894" s="56"/>
      <c r="AG894" s="56"/>
      <c r="AH894" s="56"/>
      <c r="AI894" s="56"/>
      <c r="AJ894" s="56"/>
      <c r="AK894" s="56"/>
    </row>
    <row r="895" spans="1:37" ht="15.75" customHeight="1" x14ac:dyDescent="0.2">
      <c r="A895" s="56"/>
      <c r="C895" s="56"/>
      <c r="AB895" s="56"/>
      <c r="AC895" s="56"/>
      <c r="AD895" s="58"/>
      <c r="AE895" s="56"/>
      <c r="AF895" s="56"/>
      <c r="AG895" s="56"/>
      <c r="AH895" s="56"/>
      <c r="AI895" s="56"/>
      <c r="AJ895" s="56"/>
      <c r="AK895" s="56"/>
    </row>
    <row r="896" spans="1:37" ht="15.75" customHeight="1" x14ac:dyDescent="0.2">
      <c r="A896" s="56"/>
      <c r="C896" s="56"/>
      <c r="AB896" s="56"/>
      <c r="AC896" s="56"/>
      <c r="AD896" s="58"/>
      <c r="AE896" s="56"/>
      <c r="AF896" s="56"/>
      <c r="AG896" s="56"/>
      <c r="AH896" s="56"/>
      <c r="AI896" s="56"/>
      <c r="AJ896" s="56"/>
      <c r="AK896" s="56"/>
    </row>
    <row r="897" spans="1:37" ht="15.75" customHeight="1" x14ac:dyDescent="0.2">
      <c r="A897" s="56"/>
      <c r="C897" s="56"/>
      <c r="AB897" s="56"/>
      <c r="AC897" s="56"/>
      <c r="AD897" s="58"/>
      <c r="AE897" s="56"/>
      <c r="AF897" s="56"/>
      <c r="AG897" s="56"/>
      <c r="AH897" s="56"/>
      <c r="AI897" s="56"/>
      <c r="AJ897" s="56"/>
      <c r="AK897" s="56"/>
    </row>
    <row r="898" spans="1:37" ht="15.75" customHeight="1" x14ac:dyDescent="0.2">
      <c r="A898" s="56"/>
      <c r="C898" s="56"/>
      <c r="AB898" s="56"/>
      <c r="AC898" s="56"/>
      <c r="AD898" s="58"/>
      <c r="AE898" s="56"/>
      <c r="AF898" s="56"/>
      <c r="AG898" s="56"/>
      <c r="AH898" s="56"/>
      <c r="AI898" s="56"/>
      <c r="AJ898" s="56"/>
      <c r="AK898" s="56"/>
    </row>
    <row r="899" spans="1:37" ht="15.75" customHeight="1" x14ac:dyDescent="0.2">
      <c r="A899" s="56"/>
      <c r="C899" s="56"/>
      <c r="AB899" s="56"/>
      <c r="AC899" s="56"/>
      <c r="AD899" s="58"/>
      <c r="AE899" s="56"/>
      <c r="AF899" s="56"/>
      <c r="AG899" s="56"/>
      <c r="AH899" s="56"/>
      <c r="AI899" s="56"/>
      <c r="AJ899" s="56"/>
      <c r="AK899" s="56"/>
    </row>
    <row r="900" spans="1:37" ht="15.75" customHeight="1" x14ac:dyDescent="0.2">
      <c r="A900" s="56"/>
      <c r="C900" s="56"/>
      <c r="AB900" s="56"/>
      <c r="AC900" s="56"/>
      <c r="AD900" s="58"/>
      <c r="AE900" s="56"/>
      <c r="AF900" s="56"/>
      <c r="AG900" s="56"/>
      <c r="AH900" s="56"/>
      <c r="AI900" s="56"/>
      <c r="AJ900" s="56"/>
      <c r="AK900" s="56"/>
    </row>
    <row r="901" spans="1:37" ht="15.75" customHeight="1" x14ac:dyDescent="0.2">
      <c r="A901" s="56"/>
      <c r="C901" s="56"/>
      <c r="AB901" s="56"/>
      <c r="AC901" s="56"/>
      <c r="AD901" s="58"/>
      <c r="AE901" s="56"/>
      <c r="AF901" s="56"/>
      <c r="AG901" s="56"/>
      <c r="AH901" s="56"/>
      <c r="AI901" s="56"/>
      <c r="AJ901" s="56"/>
      <c r="AK901" s="56"/>
    </row>
    <row r="902" spans="1:37" ht="15.75" customHeight="1" x14ac:dyDescent="0.2">
      <c r="A902" s="56"/>
      <c r="C902" s="56"/>
      <c r="AB902" s="56"/>
      <c r="AC902" s="56"/>
      <c r="AD902" s="58"/>
      <c r="AE902" s="56"/>
      <c r="AF902" s="56"/>
      <c r="AG902" s="56"/>
      <c r="AH902" s="56"/>
      <c r="AI902" s="56"/>
      <c r="AJ902" s="56"/>
      <c r="AK902" s="56"/>
    </row>
    <row r="903" spans="1:37" ht="15.75" customHeight="1" x14ac:dyDescent="0.2">
      <c r="A903" s="56"/>
      <c r="C903" s="56"/>
      <c r="AB903" s="56"/>
      <c r="AC903" s="56"/>
      <c r="AD903" s="58"/>
      <c r="AE903" s="56"/>
      <c r="AF903" s="56"/>
      <c r="AG903" s="56"/>
      <c r="AH903" s="56"/>
      <c r="AI903" s="56"/>
      <c r="AJ903" s="56"/>
      <c r="AK903" s="56"/>
    </row>
    <row r="904" spans="1:37" ht="15.75" customHeight="1" x14ac:dyDescent="0.2">
      <c r="A904" s="56"/>
      <c r="C904" s="56"/>
      <c r="AB904" s="56"/>
      <c r="AC904" s="56"/>
      <c r="AD904" s="58"/>
      <c r="AE904" s="56"/>
      <c r="AF904" s="56"/>
      <c r="AG904" s="56"/>
      <c r="AH904" s="56"/>
      <c r="AI904" s="56"/>
      <c r="AJ904" s="56"/>
      <c r="AK904" s="56"/>
    </row>
    <row r="905" spans="1:37" ht="15.75" customHeight="1" x14ac:dyDescent="0.2">
      <c r="A905" s="56"/>
      <c r="C905" s="56"/>
      <c r="AB905" s="56"/>
      <c r="AC905" s="56"/>
      <c r="AD905" s="58"/>
      <c r="AE905" s="56"/>
      <c r="AF905" s="56"/>
      <c r="AG905" s="56"/>
      <c r="AH905" s="56"/>
      <c r="AI905" s="56"/>
      <c r="AJ905" s="56"/>
      <c r="AK905" s="56"/>
    </row>
    <row r="906" spans="1:37" ht="15.75" customHeight="1" x14ac:dyDescent="0.2">
      <c r="A906" s="56"/>
      <c r="C906" s="56"/>
      <c r="AB906" s="56"/>
      <c r="AC906" s="56"/>
      <c r="AD906" s="58"/>
      <c r="AE906" s="56"/>
      <c r="AF906" s="56"/>
      <c r="AG906" s="56"/>
      <c r="AH906" s="56"/>
      <c r="AI906" s="56"/>
      <c r="AJ906" s="56"/>
      <c r="AK906" s="56"/>
    </row>
    <row r="907" spans="1:37" ht="15.75" customHeight="1" x14ac:dyDescent="0.2">
      <c r="A907" s="56"/>
      <c r="C907" s="56"/>
      <c r="AB907" s="56"/>
      <c r="AC907" s="56"/>
      <c r="AD907" s="58"/>
      <c r="AE907" s="56"/>
      <c r="AF907" s="56"/>
      <c r="AG907" s="56"/>
      <c r="AH907" s="56"/>
      <c r="AI907" s="56"/>
      <c r="AJ907" s="56"/>
      <c r="AK907" s="56"/>
    </row>
    <row r="908" spans="1:37" ht="15.75" customHeight="1" x14ac:dyDescent="0.2">
      <c r="A908" s="56"/>
      <c r="C908" s="56"/>
      <c r="AB908" s="56"/>
      <c r="AC908" s="56"/>
      <c r="AD908" s="58"/>
      <c r="AE908" s="56"/>
      <c r="AF908" s="56"/>
      <c r="AG908" s="56"/>
      <c r="AH908" s="56"/>
      <c r="AI908" s="56"/>
      <c r="AJ908" s="56"/>
      <c r="AK908" s="56"/>
    </row>
    <row r="909" spans="1:37" ht="15.75" customHeight="1" x14ac:dyDescent="0.2">
      <c r="A909" s="56"/>
      <c r="C909" s="56"/>
      <c r="AB909" s="56"/>
      <c r="AC909" s="56"/>
      <c r="AD909" s="58"/>
      <c r="AE909" s="56"/>
      <c r="AF909" s="56"/>
      <c r="AG909" s="56"/>
      <c r="AH909" s="56"/>
      <c r="AI909" s="56"/>
      <c r="AJ909" s="56"/>
      <c r="AK909" s="56"/>
    </row>
    <row r="910" spans="1:37" ht="15.75" customHeight="1" x14ac:dyDescent="0.2">
      <c r="A910" s="56"/>
      <c r="C910" s="56"/>
      <c r="AB910" s="56"/>
      <c r="AC910" s="56"/>
      <c r="AD910" s="58"/>
      <c r="AE910" s="56"/>
      <c r="AF910" s="56"/>
      <c r="AG910" s="56"/>
      <c r="AH910" s="56"/>
      <c r="AI910" s="56"/>
      <c r="AJ910" s="56"/>
      <c r="AK910" s="56"/>
    </row>
    <row r="911" spans="1:37" ht="15.75" customHeight="1" x14ac:dyDescent="0.2">
      <c r="A911" s="56"/>
      <c r="C911" s="56"/>
      <c r="AB911" s="56"/>
      <c r="AC911" s="56"/>
      <c r="AD911" s="58"/>
      <c r="AE911" s="56"/>
      <c r="AF911" s="56"/>
      <c r="AG911" s="56"/>
      <c r="AH911" s="56"/>
      <c r="AI911" s="56"/>
      <c r="AJ911" s="56"/>
      <c r="AK911" s="56"/>
    </row>
    <row r="912" spans="1:37" ht="15.75" customHeight="1" x14ac:dyDescent="0.2">
      <c r="A912" s="56"/>
      <c r="C912" s="56"/>
      <c r="AB912" s="56"/>
      <c r="AC912" s="56"/>
      <c r="AD912" s="58"/>
      <c r="AE912" s="56"/>
      <c r="AF912" s="56"/>
      <c r="AG912" s="56"/>
      <c r="AH912" s="56"/>
      <c r="AI912" s="56"/>
      <c r="AJ912" s="56"/>
      <c r="AK912" s="56"/>
    </row>
    <row r="913" spans="1:37" ht="15.75" customHeight="1" x14ac:dyDescent="0.2">
      <c r="A913" s="56"/>
      <c r="C913" s="56"/>
      <c r="AB913" s="56"/>
      <c r="AC913" s="56"/>
      <c r="AD913" s="58"/>
      <c r="AE913" s="56"/>
      <c r="AF913" s="56"/>
      <c r="AG913" s="56"/>
      <c r="AH913" s="56"/>
      <c r="AI913" s="56"/>
      <c r="AJ913" s="56"/>
      <c r="AK913" s="56"/>
    </row>
    <row r="914" spans="1:37" ht="15.75" customHeight="1" x14ac:dyDescent="0.2">
      <c r="A914" s="56"/>
      <c r="C914" s="56"/>
      <c r="AB914" s="56"/>
      <c r="AC914" s="56"/>
      <c r="AD914" s="58"/>
      <c r="AE914" s="56"/>
      <c r="AF914" s="56"/>
      <c r="AG914" s="56"/>
      <c r="AH914" s="56"/>
      <c r="AI914" s="56"/>
      <c r="AJ914" s="56"/>
      <c r="AK914" s="56"/>
    </row>
    <row r="915" spans="1:37" ht="15.75" customHeight="1" x14ac:dyDescent="0.2">
      <c r="A915" s="56"/>
      <c r="C915" s="56"/>
      <c r="AB915" s="56"/>
      <c r="AC915" s="56"/>
      <c r="AD915" s="58"/>
      <c r="AE915" s="56"/>
      <c r="AF915" s="56"/>
      <c r="AG915" s="56"/>
      <c r="AH915" s="56"/>
      <c r="AI915" s="56"/>
      <c r="AJ915" s="56"/>
      <c r="AK915" s="56"/>
    </row>
    <row r="916" spans="1:37" ht="15.75" customHeight="1" x14ac:dyDescent="0.2">
      <c r="A916" s="56"/>
      <c r="C916" s="56"/>
      <c r="AB916" s="56"/>
      <c r="AC916" s="56"/>
      <c r="AD916" s="58"/>
      <c r="AE916" s="56"/>
      <c r="AF916" s="56"/>
      <c r="AG916" s="56"/>
      <c r="AH916" s="56"/>
      <c r="AI916" s="56"/>
      <c r="AJ916" s="56"/>
      <c r="AK916" s="56"/>
    </row>
    <row r="917" spans="1:37" ht="15.75" customHeight="1" x14ac:dyDescent="0.2">
      <c r="A917" s="56"/>
      <c r="C917" s="56"/>
      <c r="AB917" s="56"/>
      <c r="AC917" s="56"/>
      <c r="AD917" s="58"/>
      <c r="AE917" s="56"/>
      <c r="AF917" s="56"/>
      <c r="AG917" s="56"/>
      <c r="AH917" s="56"/>
      <c r="AI917" s="56"/>
      <c r="AJ917" s="56"/>
      <c r="AK917" s="56"/>
    </row>
    <row r="918" spans="1:37" ht="15.75" customHeight="1" x14ac:dyDescent="0.2">
      <c r="A918" s="56"/>
      <c r="C918" s="56"/>
      <c r="AB918" s="56"/>
      <c r="AC918" s="56"/>
      <c r="AD918" s="58"/>
      <c r="AE918" s="56"/>
      <c r="AF918" s="56"/>
      <c r="AG918" s="56"/>
      <c r="AH918" s="56"/>
      <c r="AI918" s="56"/>
      <c r="AJ918" s="56"/>
      <c r="AK918" s="56"/>
    </row>
    <row r="919" spans="1:37" ht="15.75" customHeight="1" x14ac:dyDescent="0.2">
      <c r="A919" s="56"/>
      <c r="C919" s="56"/>
      <c r="AB919" s="56"/>
      <c r="AC919" s="56"/>
      <c r="AD919" s="58"/>
      <c r="AE919" s="56"/>
      <c r="AF919" s="56"/>
      <c r="AG919" s="56"/>
      <c r="AH919" s="56"/>
      <c r="AI919" s="56"/>
      <c r="AJ919" s="56"/>
      <c r="AK919" s="56"/>
    </row>
    <row r="920" spans="1:37" ht="15.75" customHeight="1" x14ac:dyDescent="0.2">
      <c r="A920" s="56"/>
      <c r="C920" s="56"/>
      <c r="AB920" s="56"/>
      <c r="AC920" s="56"/>
      <c r="AD920" s="58"/>
      <c r="AE920" s="56"/>
      <c r="AF920" s="56"/>
      <c r="AG920" s="56"/>
      <c r="AH920" s="56"/>
      <c r="AI920" s="56"/>
      <c r="AJ920" s="56"/>
      <c r="AK920" s="56"/>
    </row>
    <row r="921" spans="1:37" ht="15.75" customHeight="1" x14ac:dyDescent="0.2">
      <c r="A921" s="56"/>
      <c r="C921" s="56"/>
      <c r="AB921" s="56"/>
      <c r="AC921" s="56"/>
      <c r="AD921" s="58"/>
      <c r="AE921" s="56"/>
      <c r="AF921" s="56"/>
      <c r="AG921" s="56"/>
      <c r="AH921" s="56"/>
      <c r="AI921" s="56"/>
      <c r="AJ921" s="56"/>
      <c r="AK921" s="56"/>
    </row>
    <row r="922" spans="1:37" ht="15.75" customHeight="1" x14ac:dyDescent="0.2">
      <c r="A922" s="56"/>
      <c r="C922" s="56"/>
      <c r="AB922" s="56"/>
      <c r="AC922" s="56"/>
      <c r="AD922" s="58"/>
      <c r="AE922" s="56"/>
      <c r="AF922" s="56"/>
      <c r="AG922" s="56"/>
      <c r="AH922" s="56"/>
      <c r="AI922" s="56"/>
      <c r="AJ922" s="56"/>
      <c r="AK922" s="56"/>
    </row>
    <row r="923" spans="1:37" ht="15.75" customHeight="1" x14ac:dyDescent="0.2">
      <c r="A923" s="56"/>
      <c r="C923" s="56"/>
      <c r="AB923" s="56"/>
      <c r="AC923" s="56"/>
      <c r="AD923" s="58"/>
      <c r="AE923" s="56"/>
      <c r="AF923" s="56"/>
      <c r="AG923" s="56"/>
      <c r="AH923" s="56"/>
      <c r="AI923" s="56"/>
      <c r="AJ923" s="56"/>
      <c r="AK923" s="56"/>
    </row>
    <row r="924" spans="1:37" ht="15.75" customHeight="1" x14ac:dyDescent="0.2">
      <c r="A924" s="56"/>
      <c r="C924" s="56"/>
      <c r="AB924" s="56"/>
      <c r="AC924" s="56"/>
      <c r="AD924" s="58"/>
      <c r="AE924" s="56"/>
      <c r="AF924" s="56"/>
      <c r="AG924" s="56"/>
      <c r="AH924" s="56"/>
      <c r="AI924" s="56"/>
      <c r="AJ924" s="56"/>
      <c r="AK924" s="56"/>
    </row>
    <row r="925" spans="1:37" ht="15.75" customHeight="1" x14ac:dyDescent="0.2">
      <c r="A925" s="56"/>
      <c r="C925" s="56"/>
      <c r="AB925" s="56"/>
      <c r="AC925" s="56"/>
      <c r="AD925" s="58"/>
      <c r="AE925" s="56"/>
      <c r="AF925" s="56"/>
      <c r="AG925" s="56"/>
      <c r="AH925" s="56"/>
      <c r="AI925" s="56"/>
      <c r="AJ925" s="56"/>
      <c r="AK925" s="56"/>
    </row>
    <row r="926" spans="1:37" ht="15.75" customHeight="1" x14ac:dyDescent="0.2">
      <c r="A926" s="56"/>
      <c r="C926" s="56"/>
      <c r="AB926" s="56"/>
      <c r="AC926" s="56"/>
      <c r="AD926" s="58"/>
      <c r="AE926" s="56"/>
      <c r="AF926" s="56"/>
      <c r="AG926" s="56"/>
      <c r="AH926" s="56"/>
      <c r="AI926" s="56"/>
      <c r="AJ926" s="56"/>
      <c r="AK926" s="56"/>
    </row>
    <row r="927" spans="1:37" ht="15.75" customHeight="1" x14ac:dyDescent="0.2">
      <c r="A927" s="56"/>
      <c r="C927" s="56"/>
      <c r="AB927" s="56"/>
      <c r="AC927" s="56"/>
      <c r="AD927" s="58"/>
      <c r="AE927" s="56"/>
      <c r="AF927" s="56"/>
      <c r="AG927" s="56"/>
      <c r="AH927" s="56"/>
      <c r="AI927" s="56"/>
      <c r="AJ927" s="56"/>
      <c r="AK927" s="56"/>
    </row>
    <row r="928" spans="1:37" ht="15.75" customHeight="1" x14ac:dyDescent="0.2">
      <c r="A928" s="56"/>
      <c r="C928" s="56"/>
      <c r="AB928" s="56"/>
      <c r="AC928" s="56"/>
      <c r="AD928" s="58"/>
      <c r="AE928" s="56"/>
      <c r="AF928" s="56"/>
      <c r="AG928" s="56"/>
      <c r="AH928" s="56"/>
      <c r="AI928" s="56"/>
      <c r="AJ928" s="56"/>
      <c r="AK928" s="56"/>
    </row>
    <row r="929" spans="1:37" ht="15.75" customHeight="1" x14ac:dyDescent="0.2">
      <c r="A929" s="56"/>
      <c r="C929" s="56"/>
      <c r="AB929" s="56"/>
      <c r="AC929" s="56"/>
      <c r="AD929" s="58"/>
      <c r="AE929" s="56"/>
      <c r="AF929" s="56"/>
      <c r="AG929" s="56"/>
      <c r="AH929" s="56"/>
      <c r="AI929" s="56"/>
      <c r="AJ929" s="56"/>
      <c r="AK929" s="56"/>
    </row>
    <row r="930" spans="1:37" ht="15.75" customHeight="1" x14ac:dyDescent="0.2">
      <c r="A930" s="56"/>
      <c r="C930" s="56"/>
      <c r="AB930" s="56"/>
      <c r="AC930" s="56"/>
      <c r="AD930" s="58"/>
      <c r="AE930" s="56"/>
      <c r="AF930" s="56"/>
      <c r="AG930" s="56"/>
      <c r="AH930" s="56"/>
      <c r="AI930" s="56"/>
      <c r="AJ930" s="56"/>
      <c r="AK930" s="56"/>
    </row>
    <row r="931" spans="1:37" ht="15.75" customHeight="1" x14ac:dyDescent="0.2">
      <c r="A931" s="56"/>
      <c r="C931" s="56"/>
      <c r="AB931" s="56"/>
      <c r="AC931" s="56"/>
      <c r="AD931" s="58"/>
      <c r="AE931" s="56"/>
      <c r="AF931" s="56"/>
      <c r="AG931" s="56"/>
      <c r="AH931" s="56"/>
      <c r="AI931" s="56"/>
      <c r="AJ931" s="56"/>
      <c r="AK931" s="56"/>
    </row>
    <row r="932" spans="1:37" ht="15.75" customHeight="1" x14ac:dyDescent="0.2">
      <c r="A932" s="56"/>
      <c r="C932" s="56"/>
      <c r="AB932" s="56"/>
      <c r="AC932" s="56"/>
      <c r="AD932" s="58"/>
      <c r="AE932" s="56"/>
      <c r="AF932" s="56"/>
      <c r="AG932" s="56"/>
      <c r="AH932" s="56"/>
      <c r="AI932" s="56"/>
      <c r="AJ932" s="56"/>
      <c r="AK932" s="56"/>
    </row>
    <row r="933" spans="1:37" ht="15.75" customHeight="1" x14ac:dyDescent="0.2">
      <c r="A933" s="56"/>
      <c r="C933" s="56"/>
      <c r="AB933" s="56"/>
      <c r="AC933" s="56"/>
      <c r="AD933" s="58"/>
      <c r="AE933" s="56"/>
      <c r="AF933" s="56"/>
      <c r="AG933" s="56"/>
      <c r="AH933" s="56"/>
      <c r="AI933" s="56"/>
      <c r="AJ933" s="56"/>
      <c r="AK933" s="56"/>
    </row>
    <row r="934" spans="1:37" ht="15.75" customHeight="1" x14ac:dyDescent="0.2">
      <c r="A934" s="56"/>
      <c r="C934" s="56"/>
      <c r="AB934" s="56"/>
      <c r="AC934" s="56"/>
      <c r="AD934" s="58"/>
      <c r="AE934" s="56"/>
      <c r="AF934" s="56"/>
      <c r="AG934" s="56"/>
      <c r="AH934" s="56"/>
      <c r="AI934" s="56"/>
      <c r="AJ934" s="56"/>
      <c r="AK934" s="56"/>
    </row>
    <row r="935" spans="1:37" ht="15.75" customHeight="1" x14ac:dyDescent="0.2">
      <c r="A935" s="56"/>
      <c r="C935" s="56"/>
      <c r="AB935" s="56"/>
      <c r="AC935" s="56"/>
      <c r="AD935" s="58"/>
      <c r="AE935" s="56"/>
      <c r="AF935" s="56"/>
      <c r="AG935" s="56"/>
      <c r="AH935" s="56"/>
      <c r="AI935" s="56"/>
      <c r="AJ935" s="56"/>
      <c r="AK935" s="56"/>
    </row>
    <row r="936" spans="1:37" ht="15.75" customHeight="1" x14ac:dyDescent="0.2">
      <c r="A936" s="56"/>
      <c r="C936" s="56"/>
      <c r="AB936" s="56"/>
      <c r="AC936" s="56"/>
      <c r="AD936" s="58"/>
      <c r="AE936" s="56"/>
      <c r="AF936" s="56"/>
      <c r="AG936" s="56"/>
      <c r="AH936" s="56"/>
      <c r="AI936" s="56"/>
      <c r="AJ936" s="56"/>
      <c r="AK936" s="56"/>
    </row>
    <row r="937" spans="1:37" ht="15.75" customHeight="1" x14ac:dyDescent="0.2">
      <c r="A937" s="56"/>
      <c r="C937" s="56"/>
      <c r="AB937" s="56"/>
      <c r="AC937" s="56"/>
      <c r="AD937" s="58"/>
      <c r="AE937" s="56"/>
      <c r="AF937" s="56"/>
      <c r="AG937" s="56"/>
      <c r="AH937" s="56"/>
      <c r="AI937" s="56"/>
      <c r="AJ937" s="56"/>
      <c r="AK937" s="56"/>
    </row>
    <row r="938" spans="1:37" ht="15.75" customHeight="1" x14ac:dyDescent="0.2">
      <c r="A938" s="56"/>
      <c r="C938" s="56"/>
      <c r="AB938" s="56"/>
      <c r="AC938" s="56"/>
      <c r="AD938" s="58"/>
      <c r="AE938" s="56"/>
      <c r="AF938" s="56"/>
      <c r="AG938" s="56"/>
      <c r="AH938" s="56"/>
      <c r="AI938" s="56"/>
      <c r="AJ938" s="56"/>
      <c r="AK938" s="56"/>
    </row>
    <row r="939" spans="1:37" ht="15.75" customHeight="1" x14ac:dyDescent="0.2">
      <c r="A939" s="56"/>
      <c r="C939" s="56"/>
      <c r="AB939" s="56"/>
      <c r="AC939" s="56"/>
      <c r="AD939" s="58"/>
      <c r="AE939" s="56"/>
      <c r="AF939" s="56"/>
      <c r="AG939" s="56"/>
      <c r="AH939" s="56"/>
      <c r="AI939" s="56"/>
      <c r="AJ939" s="56"/>
      <c r="AK939" s="56"/>
    </row>
    <row r="940" spans="1:37" ht="15.75" customHeight="1" x14ac:dyDescent="0.2">
      <c r="A940" s="56"/>
      <c r="C940" s="56"/>
      <c r="AB940" s="56"/>
      <c r="AC940" s="56"/>
      <c r="AD940" s="58"/>
      <c r="AE940" s="56"/>
      <c r="AF940" s="56"/>
      <c r="AG940" s="56"/>
      <c r="AH940" s="56"/>
      <c r="AI940" s="56"/>
      <c r="AJ940" s="56"/>
      <c r="AK940" s="56"/>
    </row>
    <row r="941" spans="1:37" ht="15.75" customHeight="1" x14ac:dyDescent="0.2">
      <c r="A941" s="56"/>
      <c r="C941" s="56"/>
      <c r="AB941" s="56"/>
      <c r="AC941" s="56"/>
      <c r="AD941" s="58"/>
      <c r="AE941" s="56"/>
      <c r="AF941" s="56"/>
      <c r="AG941" s="56"/>
      <c r="AH941" s="56"/>
      <c r="AI941" s="56"/>
      <c r="AJ941" s="56"/>
      <c r="AK941" s="56"/>
    </row>
    <row r="942" spans="1:37" ht="15.75" customHeight="1" x14ac:dyDescent="0.2">
      <c r="A942" s="56"/>
      <c r="C942" s="56"/>
      <c r="AB942" s="56"/>
      <c r="AC942" s="56"/>
      <c r="AD942" s="58"/>
      <c r="AE942" s="56"/>
      <c r="AF942" s="56"/>
      <c r="AG942" s="56"/>
      <c r="AH942" s="56"/>
      <c r="AI942" s="56"/>
      <c r="AJ942" s="56"/>
      <c r="AK942" s="56"/>
    </row>
    <row r="943" spans="1:37" ht="15.75" customHeight="1" x14ac:dyDescent="0.2">
      <c r="A943" s="56"/>
      <c r="C943" s="56"/>
      <c r="AB943" s="56"/>
      <c r="AC943" s="56"/>
      <c r="AD943" s="58"/>
      <c r="AE943" s="56"/>
      <c r="AF943" s="56"/>
      <c r="AG943" s="56"/>
      <c r="AH943" s="56"/>
      <c r="AI943" s="56"/>
      <c r="AJ943" s="56"/>
      <c r="AK943" s="56"/>
    </row>
    <row r="944" spans="1:37" ht="15.75" customHeight="1" x14ac:dyDescent="0.2">
      <c r="A944" s="56"/>
      <c r="C944" s="56"/>
      <c r="AB944" s="56"/>
      <c r="AC944" s="56"/>
      <c r="AD944" s="58"/>
      <c r="AE944" s="56"/>
      <c r="AF944" s="56"/>
      <c r="AG944" s="56"/>
      <c r="AH944" s="56"/>
      <c r="AI944" s="56"/>
      <c r="AJ944" s="56"/>
      <c r="AK944" s="56"/>
    </row>
    <row r="945" spans="1:37" ht="15.75" customHeight="1" x14ac:dyDescent="0.2">
      <c r="A945" s="56"/>
      <c r="C945" s="56"/>
      <c r="AB945" s="56"/>
      <c r="AC945" s="56"/>
      <c r="AD945" s="58"/>
      <c r="AE945" s="56"/>
      <c r="AF945" s="56"/>
      <c r="AG945" s="56"/>
      <c r="AH945" s="56"/>
      <c r="AI945" s="56"/>
      <c r="AJ945" s="56"/>
      <c r="AK945" s="56"/>
    </row>
    <row r="946" spans="1:37" ht="15.75" customHeight="1" x14ac:dyDescent="0.2">
      <c r="A946" s="56"/>
      <c r="C946" s="56"/>
      <c r="AB946" s="56"/>
      <c r="AC946" s="56"/>
      <c r="AD946" s="58"/>
      <c r="AE946" s="56"/>
      <c r="AF946" s="56"/>
      <c r="AG946" s="56"/>
      <c r="AH946" s="56"/>
      <c r="AI946" s="56"/>
      <c r="AJ946" s="56"/>
      <c r="AK946" s="56"/>
    </row>
    <row r="947" spans="1:37" ht="15.75" customHeight="1" x14ac:dyDescent="0.2">
      <c r="A947" s="56"/>
      <c r="C947" s="56"/>
      <c r="AB947" s="56"/>
      <c r="AC947" s="56"/>
      <c r="AD947" s="58"/>
      <c r="AE947" s="56"/>
      <c r="AF947" s="56"/>
      <c r="AG947" s="56"/>
      <c r="AH947" s="56"/>
      <c r="AI947" s="56"/>
      <c r="AJ947" s="56"/>
      <c r="AK947" s="56"/>
    </row>
    <row r="948" spans="1:37" ht="15.75" customHeight="1" x14ac:dyDescent="0.2">
      <c r="A948" s="56"/>
      <c r="C948" s="56"/>
      <c r="AB948" s="56"/>
      <c r="AC948" s="56"/>
      <c r="AD948" s="58"/>
      <c r="AE948" s="56"/>
      <c r="AF948" s="56"/>
      <c r="AG948" s="56"/>
      <c r="AH948" s="56"/>
      <c r="AI948" s="56"/>
      <c r="AJ948" s="56"/>
      <c r="AK948" s="56"/>
    </row>
    <row r="949" spans="1:37" ht="15.75" customHeight="1" x14ac:dyDescent="0.2">
      <c r="A949" s="56"/>
      <c r="C949" s="56"/>
      <c r="AB949" s="56"/>
      <c r="AC949" s="56"/>
      <c r="AD949" s="58"/>
      <c r="AE949" s="56"/>
      <c r="AF949" s="56"/>
      <c r="AG949" s="56"/>
      <c r="AH949" s="56"/>
      <c r="AI949" s="56"/>
      <c r="AJ949" s="56"/>
      <c r="AK949" s="56"/>
    </row>
    <row r="950" spans="1:37" ht="15.75" customHeight="1" x14ac:dyDescent="0.2">
      <c r="A950" s="56"/>
      <c r="C950" s="56"/>
      <c r="AB950" s="56"/>
      <c r="AC950" s="56"/>
      <c r="AD950" s="58"/>
      <c r="AE950" s="56"/>
      <c r="AF950" s="56"/>
      <c r="AG950" s="56"/>
      <c r="AH950" s="56"/>
      <c r="AI950" s="56"/>
      <c r="AJ950" s="56"/>
      <c r="AK950" s="56"/>
    </row>
    <row r="951" spans="1:37" ht="15.75" customHeight="1" x14ac:dyDescent="0.2">
      <c r="A951" s="56"/>
      <c r="C951" s="56"/>
      <c r="AB951" s="56"/>
      <c r="AC951" s="56"/>
      <c r="AD951" s="58"/>
      <c r="AE951" s="56"/>
      <c r="AF951" s="56"/>
      <c r="AG951" s="56"/>
      <c r="AH951" s="56"/>
      <c r="AI951" s="56"/>
      <c r="AJ951" s="56"/>
      <c r="AK951" s="56"/>
    </row>
    <row r="952" spans="1:37" ht="15.75" customHeight="1" x14ac:dyDescent="0.2">
      <c r="A952" s="56"/>
      <c r="C952" s="56"/>
      <c r="AB952" s="56"/>
      <c r="AC952" s="56"/>
      <c r="AD952" s="58"/>
      <c r="AE952" s="56"/>
      <c r="AF952" s="56"/>
      <c r="AG952" s="56"/>
      <c r="AH952" s="56"/>
      <c r="AI952" s="56"/>
      <c r="AJ952" s="56"/>
      <c r="AK952" s="56"/>
    </row>
    <row r="953" spans="1:37" ht="15.75" customHeight="1" x14ac:dyDescent="0.2">
      <c r="A953" s="56"/>
      <c r="C953" s="56"/>
      <c r="AB953" s="56"/>
      <c r="AC953" s="56"/>
      <c r="AD953" s="58"/>
      <c r="AE953" s="56"/>
      <c r="AF953" s="56"/>
      <c r="AG953" s="56"/>
      <c r="AH953" s="56"/>
      <c r="AI953" s="56"/>
      <c r="AJ953" s="56"/>
      <c r="AK953" s="56"/>
    </row>
    <row r="954" spans="1:37" ht="15.75" customHeight="1" x14ac:dyDescent="0.2">
      <c r="A954" s="56"/>
      <c r="C954" s="56"/>
      <c r="AB954" s="56"/>
      <c r="AC954" s="56"/>
      <c r="AD954" s="58"/>
      <c r="AE954" s="56"/>
      <c r="AF954" s="56"/>
      <c r="AG954" s="56"/>
      <c r="AH954" s="56"/>
      <c r="AI954" s="56"/>
      <c r="AJ954" s="56"/>
      <c r="AK954" s="56"/>
    </row>
    <row r="955" spans="1:37" ht="15.75" customHeight="1" x14ac:dyDescent="0.2">
      <c r="A955" s="56"/>
      <c r="C955" s="56"/>
      <c r="AB955" s="56"/>
      <c r="AC955" s="56"/>
      <c r="AD955" s="58"/>
      <c r="AE955" s="56"/>
      <c r="AF955" s="56"/>
      <c r="AG955" s="56"/>
      <c r="AH955" s="56"/>
      <c r="AI955" s="56"/>
      <c r="AJ955" s="56"/>
      <c r="AK955" s="56"/>
    </row>
    <row r="956" spans="1:37" ht="15.75" customHeight="1" x14ac:dyDescent="0.2">
      <c r="A956" s="56"/>
      <c r="C956" s="56"/>
      <c r="AB956" s="56"/>
      <c r="AC956" s="56"/>
      <c r="AD956" s="58"/>
      <c r="AE956" s="56"/>
      <c r="AF956" s="56"/>
      <c r="AG956" s="56"/>
      <c r="AH956" s="56"/>
      <c r="AI956" s="56"/>
      <c r="AJ956" s="56"/>
      <c r="AK956" s="56"/>
    </row>
    <row r="957" spans="1:37" ht="15.75" customHeight="1" x14ac:dyDescent="0.2">
      <c r="A957" s="56"/>
      <c r="C957" s="56"/>
      <c r="AB957" s="56"/>
      <c r="AC957" s="56"/>
      <c r="AD957" s="58"/>
      <c r="AE957" s="56"/>
      <c r="AF957" s="56"/>
      <c r="AG957" s="56"/>
      <c r="AH957" s="56"/>
      <c r="AI957" s="56"/>
      <c r="AJ957" s="56"/>
      <c r="AK957" s="56"/>
    </row>
    <row r="958" spans="1:37" ht="15.75" customHeight="1" x14ac:dyDescent="0.2">
      <c r="A958" s="56"/>
      <c r="C958" s="56"/>
      <c r="AB958" s="56"/>
      <c r="AC958" s="56"/>
      <c r="AD958" s="58"/>
      <c r="AE958" s="56"/>
      <c r="AF958" s="56"/>
      <c r="AG958" s="56"/>
      <c r="AH958" s="56"/>
      <c r="AI958" s="56"/>
      <c r="AJ958" s="56"/>
      <c r="AK958" s="56"/>
    </row>
    <row r="959" spans="1:37" ht="15.75" customHeight="1" x14ac:dyDescent="0.2">
      <c r="A959" s="56"/>
      <c r="C959" s="56"/>
      <c r="AB959" s="56"/>
      <c r="AC959" s="56"/>
      <c r="AD959" s="58"/>
      <c r="AE959" s="56"/>
      <c r="AF959" s="56"/>
      <c r="AG959" s="56"/>
      <c r="AH959" s="56"/>
      <c r="AI959" s="56"/>
      <c r="AJ959" s="56"/>
      <c r="AK959" s="56"/>
    </row>
    <row r="960" spans="1:37" ht="15.75" customHeight="1" x14ac:dyDescent="0.2">
      <c r="A960" s="56"/>
      <c r="C960" s="56"/>
      <c r="AB960" s="56"/>
      <c r="AC960" s="56"/>
      <c r="AD960" s="58"/>
      <c r="AE960" s="56"/>
      <c r="AF960" s="56"/>
      <c r="AG960" s="56"/>
      <c r="AH960" s="56"/>
      <c r="AI960" s="56"/>
      <c r="AJ960" s="56"/>
      <c r="AK960" s="56"/>
    </row>
    <row r="961" spans="1:37" ht="15.75" customHeight="1" x14ac:dyDescent="0.2">
      <c r="A961" s="56"/>
      <c r="C961" s="56"/>
      <c r="AB961" s="56"/>
      <c r="AC961" s="56"/>
      <c r="AD961" s="58"/>
      <c r="AE961" s="56"/>
      <c r="AF961" s="56"/>
      <c r="AG961" s="56"/>
      <c r="AH961" s="56"/>
      <c r="AI961" s="56"/>
      <c r="AJ961" s="56"/>
      <c r="AK961" s="56"/>
    </row>
    <row r="962" spans="1:37" ht="15.75" customHeight="1" x14ac:dyDescent="0.2">
      <c r="A962" s="56"/>
      <c r="C962" s="56"/>
      <c r="AB962" s="56"/>
      <c r="AC962" s="56"/>
      <c r="AD962" s="58"/>
      <c r="AE962" s="56"/>
      <c r="AF962" s="56"/>
      <c r="AG962" s="56"/>
      <c r="AH962" s="56"/>
      <c r="AI962" s="56"/>
      <c r="AJ962" s="56"/>
      <c r="AK962" s="56"/>
    </row>
    <row r="963" spans="1:37" ht="15.75" customHeight="1" x14ac:dyDescent="0.2">
      <c r="A963" s="56"/>
      <c r="C963" s="56"/>
      <c r="AB963" s="56"/>
      <c r="AC963" s="56"/>
      <c r="AD963" s="58"/>
      <c r="AE963" s="56"/>
      <c r="AF963" s="56"/>
      <c r="AG963" s="56"/>
      <c r="AH963" s="56"/>
      <c r="AI963" s="56"/>
      <c r="AJ963" s="56"/>
      <c r="AK963" s="56"/>
    </row>
    <row r="964" spans="1:37" ht="15.75" customHeight="1" x14ac:dyDescent="0.2">
      <c r="A964" s="56"/>
      <c r="C964" s="56"/>
      <c r="AB964" s="56"/>
      <c r="AC964" s="56"/>
      <c r="AD964" s="58"/>
      <c r="AE964" s="56"/>
      <c r="AF964" s="56"/>
      <c r="AG964" s="56"/>
      <c r="AH964" s="56"/>
      <c r="AI964" s="56"/>
      <c r="AJ964" s="56"/>
      <c r="AK964" s="56"/>
    </row>
    <row r="965" spans="1:37" ht="15.75" customHeight="1" x14ac:dyDescent="0.2">
      <c r="A965" s="56"/>
      <c r="C965" s="56"/>
      <c r="AB965" s="56"/>
      <c r="AC965" s="56"/>
      <c r="AD965" s="58"/>
      <c r="AE965" s="56"/>
      <c r="AF965" s="56"/>
      <c r="AG965" s="56"/>
      <c r="AH965" s="56"/>
      <c r="AI965" s="56"/>
      <c r="AJ965" s="56"/>
      <c r="AK965" s="56"/>
    </row>
    <row r="966" spans="1:37" ht="15.75" customHeight="1" x14ac:dyDescent="0.2">
      <c r="A966" s="56"/>
      <c r="C966" s="56"/>
      <c r="AB966" s="56"/>
      <c r="AC966" s="56"/>
      <c r="AD966" s="58"/>
      <c r="AE966" s="56"/>
      <c r="AF966" s="56"/>
      <c r="AG966" s="56"/>
      <c r="AH966" s="56"/>
      <c r="AI966" s="56"/>
      <c r="AJ966" s="56"/>
      <c r="AK966" s="56"/>
    </row>
    <row r="967" spans="1:37" ht="15.75" customHeight="1" x14ac:dyDescent="0.2">
      <c r="A967" s="56"/>
      <c r="C967" s="56"/>
      <c r="AB967" s="56"/>
      <c r="AC967" s="56"/>
      <c r="AD967" s="58"/>
      <c r="AE967" s="56"/>
      <c r="AF967" s="56"/>
      <c r="AG967" s="56"/>
      <c r="AH967" s="56"/>
      <c r="AI967" s="56"/>
      <c r="AJ967" s="56"/>
      <c r="AK967" s="56"/>
    </row>
    <row r="968" spans="1:37" ht="15.75" customHeight="1" x14ac:dyDescent="0.2">
      <c r="A968" s="56"/>
      <c r="C968" s="56"/>
      <c r="AB968" s="56"/>
      <c r="AC968" s="56"/>
      <c r="AD968" s="58"/>
      <c r="AE968" s="56"/>
      <c r="AF968" s="56"/>
      <c r="AG968" s="56"/>
      <c r="AH968" s="56"/>
      <c r="AI968" s="56"/>
      <c r="AJ968" s="56"/>
      <c r="AK968" s="56"/>
    </row>
    <row r="969" spans="1:37" ht="15.75" customHeight="1" x14ac:dyDescent="0.2">
      <c r="A969" s="56"/>
      <c r="C969" s="56"/>
      <c r="AB969" s="56"/>
      <c r="AC969" s="56"/>
      <c r="AD969" s="58"/>
      <c r="AE969" s="56"/>
      <c r="AF969" s="56"/>
      <c r="AG969" s="56"/>
      <c r="AH969" s="56"/>
      <c r="AI969" s="56"/>
      <c r="AJ969" s="56"/>
      <c r="AK969" s="56"/>
    </row>
    <row r="970" spans="1:37" ht="15.75" customHeight="1" x14ac:dyDescent="0.2">
      <c r="A970" s="56"/>
      <c r="C970" s="56"/>
      <c r="AB970" s="56"/>
      <c r="AC970" s="56"/>
      <c r="AD970" s="58"/>
      <c r="AE970" s="56"/>
      <c r="AF970" s="56"/>
      <c r="AG970" s="56"/>
      <c r="AH970" s="56"/>
      <c r="AI970" s="56"/>
      <c r="AJ970" s="56"/>
      <c r="AK970" s="56"/>
    </row>
    <row r="971" spans="1:37" ht="15.75" customHeight="1" x14ac:dyDescent="0.2">
      <c r="A971" s="56"/>
      <c r="C971" s="56"/>
      <c r="AB971" s="56"/>
      <c r="AC971" s="56"/>
      <c r="AD971" s="58"/>
      <c r="AE971" s="56"/>
      <c r="AF971" s="56"/>
      <c r="AG971" s="56"/>
      <c r="AH971" s="56"/>
      <c r="AI971" s="56"/>
      <c r="AJ971" s="56"/>
      <c r="AK971" s="56"/>
    </row>
    <row r="972" spans="1:37" ht="15.75" customHeight="1" x14ac:dyDescent="0.2">
      <c r="A972" s="56"/>
      <c r="C972" s="56"/>
      <c r="AB972" s="56"/>
      <c r="AC972" s="56"/>
      <c r="AD972" s="58"/>
      <c r="AE972" s="56"/>
      <c r="AF972" s="56"/>
      <c r="AG972" s="56"/>
      <c r="AH972" s="56"/>
      <c r="AI972" s="56"/>
      <c r="AJ972" s="56"/>
      <c r="AK972" s="56"/>
    </row>
    <row r="973" spans="1:37" ht="15.75" customHeight="1" x14ac:dyDescent="0.2">
      <c r="A973" s="56"/>
      <c r="C973" s="56"/>
      <c r="AB973" s="56"/>
      <c r="AC973" s="56"/>
      <c r="AD973" s="58"/>
      <c r="AE973" s="56"/>
      <c r="AF973" s="56"/>
      <c r="AG973" s="56"/>
      <c r="AH973" s="56"/>
      <c r="AI973" s="56"/>
      <c r="AJ973" s="56"/>
      <c r="AK973" s="56"/>
    </row>
    <row r="974" spans="1:37" ht="15.75" customHeight="1" x14ac:dyDescent="0.2">
      <c r="A974" s="56"/>
      <c r="C974" s="56"/>
      <c r="AB974" s="56"/>
      <c r="AC974" s="56"/>
      <c r="AD974" s="58"/>
      <c r="AE974" s="56"/>
      <c r="AF974" s="56"/>
      <c r="AG974" s="56"/>
      <c r="AH974" s="56"/>
      <c r="AI974" s="56"/>
      <c r="AJ974" s="56"/>
      <c r="AK974" s="56"/>
    </row>
    <row r="975" spans="1:37" ht="15.75" customHeight="1" x14ac:dyDescent="0.2">
      <c r="A975" s="56"/>
      <c r="C975" s="56"/>
      <c r="AB975" s="56"/>
      <c r="AC975" s="56"/>
      <c r="AD975" s="58"/>
      <c r="AE975" s="56"/>
      <c r="AF975" s="56"/>
      <c r="AG975" s="56"/>
      <c r="AH975" s="56"/>
      <c r="AI975" s="56"/>
      <c r="AJ975" s="56"/>
      <c r="AK975" s="56"/>
    </row>
    <row r="976" spans="1:37" ht="15.75" customHeight="1" x14ac:dyDescent="0.2">
      <c r="A976" s="56"/>
      <c r="C976" s="56"/>
      <c r="AB976" s="56"/>
      <c r="AC976" s="56"/>
      <c r="AD976" s="58"/>
      <c r="AE976" s="56"/>
      <c r="AF976" s="56"/>
      <c r="AG976" s="56"/>
      <c r="AH976" s="56"/>
      <c r="AI976" s="56"/>
      <c r="AJ976" s="56"/>
      <c r="AK976" s="56"/>
    </row>
    <row r="977" spans="1:37" ht="15.75" customHeight="1" x14ac:dyDescent="0.2">
      <c r="A977" s="56"/>
      <c r="C977" s="56"/>
      <c r="AB977" s="56"/>
      <c r="AC977" s="56"/>
      <c r="AD977" s="58"/>
      <c r="AE977" s="56"/>
      <c r="AF977" s="56"/>
      <c r="AG977" s="56"/>
      <c r="AH977" s="56"/>
      <c r="AI977" s="56"/>
      <c r="AJ977" s="56"/>
      <c r="AK977" s="56"/>
    </row>
    <row r="978" spans="1:37" ht="15.75" customHeight="1" x14ac:dyDescent="0.2">
      <c r="A978" s="56"/>
      <c r="C978" s="56"/>
      <c r="AB978" s="56"/>
      <c r="AC978" s="56"/>
      <c r="AD978" s="58"/>
      <c r="AE978" s="56"/>
      <c r="AF978" s="56"/>
      <c r="AG978" s="56"/>
      <c r="AH978" s="56"/>
      <c r="AI978" s="56"/>
      <c r="AJ978" s="56"/>
      <c r="AK978" s="56"/>
    </row>
    <row r="979" spans="1:37" ht="15.75" customHeight="1" x14ac:dyDescent="0.2">
      <c r="A979" s="56"/>
      <c r="C979" s="56"/>
      <c r="AB979" s="56"/>
      <c r="AC979" s="56"/>
      <c r="AD979" s="58"/>
      <c r="AE979" s="56"/>
      <c r="AF979" s="56"/>
      <c r="AG979" s="56"/>
      <c r="AH979" s="56"/>
      <c r="AI979" s="56"/>
      <c r="AJ979" s="56"/>
      <c r="AK979" s="56"/>
    </row>
    <row r="980" spans="1:37" ht="15.75" customHeight="1" x14ac:dyDescent="0.2">
      <c r="A980" s="56"/>
      <c r="C980" s="56"/>
      <c r="AB980" s="56"/>
      <c r="AC980" s="56"/>
      <c r="AD980" s="58"/>
      <c r="AE980" s="56"/>
      <c r="AF980" s="56"/>
      <c r="AG980" s="56"/>
      <c r="AH980" s="56"/>
      <c r="AI980" s="56"/>
      <c r="AJ980" s="56"/>
      <c r="AK980" s="56"/>
    </row>
    <row r="981" spans="1:37" ht="15.75" customHeight="1" x14ac:dyDescent="0.2">
      <c r="A981" s="56"/>
      <c r="C981" s="56"/>
      <c r="AB981" s="56"/>
      <c r="AC981" s="56"/>
      <c r="AD981" s="58"/>
      <c r="AE981" s="56"/>
      <c r="AF981" s="56"/>
      <c r="AG981" s="56"/>
      <c r="AH981" s="56"/>
      <c r="AI981" s="56"/>
      <c r="AJ981" s="56"/>
      <c r="AK981" s="56"/>
    </row>
    <row r="982" spans="1:37" ht="15.75" customHeight="1" x14ac:dyDescent="0.2">
      <c r="A982" s="56"/>
      <c r="C982" s="56"/>
      <c r="AB982" s="56"/>
      <c r="AC982" s="56"/>
      <c r="AD982" s="58"/>
      <c r="AE982" s="56"/>
      <c r="AF982" s="56"/>
      <c r="AG982" s="56"/>
      <c r="AH982" s="56"/>
      <c r="AI982" s="56"/>
      <c r="AJ982" s="56"/>
      <c r="AK982" s="56"/>
    </row>
    <row r="983" spans="1:37" ht="15.75" customHeight="1" x14ac:dyDescent="0.2">
      <c r="A983" s="56"/>
      <c r="C983" s="56"/>
      <c r="AB983" s="56"/>
      <c r="AC983" s="56"/>
      <c r="AD983" s="58"/>
      <c r="AE983" s="56"/>
      <c r="AF983" s="56"/>
      <c r="AG983" s="56"/>
      <c r="AH983" s="56"/>
      <c r="AI983" s="56"/>
      <c r="AJ983" s="56"/>
      <c r="AK983" s="56"/>
    </row>
    <row r="984" spans="1:37" ht="15.75" customHeight="1" x14ac:dyDescent="0.2">
      <c r="A984" s="56"/>
      <c r="C984" s="56"/>
      <c r="AB984" s="56"/>
      <c r="AC984" s="56"/>
      <c r="AD984" s="58"/>
      <c r="AE984" s="56"/>
      <c r="AF984" s="56"/>
      <c r="AG984" s="56"/>
      <c r="AH984" s="56"/>
      <c r="AI984" s="56"/>
      <c r="AJ984" s="56"/>
      <c r="AK984" s="56"/>
    </row>
    <row r="985" spans="1:37" ht="15.75" customHeight="1" x14ac:dyDescent="0.2">
      <c r="A985" s="56"/>
      <c r="C985" s="56"/>
      <c r="AB985" s="56"/>
      <c r="AC985" s="56"/>
      <c r="AD985" s="58"/>
      <c r="AE985" s="56"/>
      <c r="AF985" s="56"/>
      <c r="AG985" s="56"/>
      <c r="AH985" s="56"/>
      <c r="AI985" s="56"/>
      <c r="AJ985" s="56"/>
      <c r="AK985" s="56"/>
    </row>
    <row r="986" spans="1:37" ht="15.75" customHeight="1" x14ac:dyDescent="0.2">
      <c r="A986" s="56"/>
      <c r="C986" s="56"/>
      <c r="AB986" s="56"/>
      <c r="AC986" s="56"/>
      <c r="AD986" s="58"/>
      <c r="AE986" s="56"/>
      <c r="AF986" s="56"/>
      <c r="AG986" s="56"/>
      <c r="AH986" s="56"/>
      <c r="AI986" s="56"/>
      <c r="AJ986" s="56"/>
      <c r="AK986" s="56"/>
    </row>
    <row r="987" spans="1:37" ht="15.75" customHeight="1" x14ac:dyDescent="0.2">
      <c r="A987" s="56"/>
      <c r="C987" s="56"/>
      <c r="AB987" s="56"/>
      <c r="AC987" s="56"/>
      <c r="AD987" s="58"/>
      <c r="AE987" s="56"/>
      <c r="AF987" s="56"/>
      <c r="AG987" s="56"/>
      <c r="AH987" s="56"/>
      <c r="AI987" s="56"/>
      <c r="AJ987" s="56"/>
      <c r="AK987" s="56"/>
    </row>
    <row r="988" spans="1:37" ht="15.75" customHeight="1" x14ac:dyDescent="0.2">
      <c r="A988" s="56"/>
      <c r="C988" s="56"/>
      <c r="AB988" s="56"/>
      <c r="AC988" s="56"/>
      <c r="AD988" s="58"/>
      <c r="AE988" s="56"/>
      <c r="AF988" s="56"/>
      <c r="AG988" s="56"/>
      <c r="AH988" s="56"/>
      <c r="AI988" s="56"/>
      <c r="AJ988" s="56"/>
      <c r="AK988" s="56"/>
    </row>
    <row r="989" spans="1:37" ht="15.75" customHeight="1" x14ac:dyDescent="0.2">
      <c r="A989" s="56"/>
      <c r="C989" s="56"/>
      <c r="AB989" s="56"/>
      <c r="AC989" s="56"/>
      <c r="AD989" s="58"/>
      <c r="AE989" s="56"/>
      <c r="AF989" s="56"/>
      <c r="AG989" s="56"/>
      <c r="AH989" s="56"/>
      <c r="AI989" s="56"/>
      <c r="AJ989" s="56"/>
      <c r="AK989" s="56"/>
    </row>
    <row r="990" spans="1:37" ht="15.75" customHeight="1" x14ac:dyDescent="0.2">
      <c r="A990" s="56"/>
      <c r="C990" s="56"/>
      <c r="AB990" s="56"/>
      <c r="AC990" s="56"/>
      <c r="AD990" s="58"/>
      <c r="AE990" s="56"/>
      <c r="AF990" s="56"/>
      <c r="AG990" s="56"/>
      <c r="AH990" s="56"/>
      <c r="AI990" s="56"/>
      <c r="AJ990" s="56"/>
      <c r="AK990" s="56"/>
    </row>
    <row r="991" spans="1:37" ht="15.75" customHeight="1" x14ac:dyDescent="0.2">
      <c r="A991" s="56"/>
      <c r="C991" s="56"/>
      <c r="AB991" s="56"/>
      <c r="AC991" s="56"/>
      <c r="AD991" s="58"/>
      <c r="AE991" s="56"/>
      <c r="AF991" s="56"/>
      <c r="AG991" s="56"/>
      <c r="AH991" s="56"/>
      <c r="AI991" s="56"/>
      <c r="AJ991" s="56"/>
      <c r="AK991" s="56"/>
    </row>
    <row r="992" spans="1:37" ht="15.75" customHeight="1" x14ac:dyDescent="0.2">
      <c r="A992" s="56"/>
      <c r="C992" s="56"/>
      <c r="AB992" s="56"/>
      <c r="AC992" s="56"/>
      <c r="AD992" s="58"/>
      <c r="AE992" s="56"/>
      <c r="AF992" s="56"/>
      <c r="AG992" s="56"/>
      <c r="AH992" s="56"/>
      <c r="AI992" s="56"/>
      <c r="AJ992" s="56"/>
      <c r="AK992" s="56"/>
    </row>
    <row r="993" spans="1:37" ht="15.75" customHeight="1" x14ac:dyDescent="0.2">
      <c r="A993" s="56"/>
      <c r="C993" s="56"/>
      <c r="AB993" s="56"/>
      <c r="AC993" s="56"/>
      <c r="AD993" s="58"/>
      <c r="AE993" s="56"/>
      <c r="AF993" s="56"/>
      <c r="AG993" s="56"/>
      <c r="AH993" s="56"/>
      <c r="AI993" s="56"/>
      <c r="AJ993" s="56"/>
      <c r="AK993" s="56"/>
    </row>
    <row r="994" spans="1:37" ht="15.75" customHeight="1" x14ac:dyDescent="0.2">
      <c r="A994" s="56"/>
      <c r="C994" s="56"/>
      <c r="AB994" s="56"/>
      <c r="AC994" s="56"/>
      <c r="AD994" s="58"/>
      <c r="AE994" s="56"/>
      <c r="AF994" s="56"/>
      <c r="AG994" s="56"/>
      <c r="AH994" s="56"/>
      <c r="AI994" s="56"/>
      <c r="AJ994" s="56"/>
      <c r="AK994" s="56"/>
    </row>
    <row r="995" spans="1:37" ht="15.75" customHeight="1" x14ac:dyDescent="0.2">
      <c r="A995" s="56"/>
      <c r="C995" s="56"/>
      <c r="AB995" s="56"/>
      <c r="AC995" s="56"/>
      <c r="AD995" s="58"/>
      <c r="AE995" s="56"/>
      <c r="AF995" s="56"/>
      <c r="AG995" s="56"/>
      <c r="AH995" s="56"/>
      <c r="AI995" s="56"/>
      <c r="AJ995" s="56"/>
      <c r="AK995" s="56"/>
    </row>
    <row r="996" spans="1:37" ht="15.75" customHeight="1" x14ac:dyDescent="0.2">
      <c r="A996" s="56"/>
      <c r="C996" s="56"/>
      <c r="AB996" s="56"/>
      <c r="AC996" s="56"/>
      <c r="AD996" s="58"/>
      <c r="AE996" s="56"/>
      <c r="AF996" s="56"/>
      <c r="AG996" s="56"/>
      <c r="AH996" s="56"/>
      <c r="AI996" s="56"/>
      <c r="AJ996" s="56"/>
      <c r="AK996" s="56"/>
    </row>
    <row r="997" spans="1:37" ht="15.75" customHeight="1" x14ac:dyDescent="0.2">
      <c r="A997" s="56"/>
      <c r="C997" s="56"/>
      <c r="AB997" s="56"/>
      <c r="AC997" s="56"/>
      <c r="AD997" s="58"/>
      <c r="AE997" s="56"/>
      <c r="AF997" s="56"/>
      <c r="AG997" s="56"/>
      <c r="AH997" s="56"/>
      <c r="AI997" s="56"/>
      <c r="AJ997" s="56"/>
      <c r="AK997" s="56"/>
    </row>
    <row r="998" spans="1:37" ht="15.75" customHeight="1" x14ac:dyDescent="0.2">
      <c r="A998" s="56"/>
      <c r="C998" s="56"/>
      <c r="AB998" s="56"/>
      <c r="AC998" s="56"/>
      <c r="AD998" s="58"/>
      <c r="AE998" s="56"/>
      <c r="AF998" s="56"/>
      <c r="AG998" s="56"/>
      <c r="AH998" s="56"/>
      <c r="AI998" s="56"/>
      <c r="AJ998" s="56"/>
      <c r="AK998" s="56"/>
    </row>
    <row r="999" spans="1:37" ht="15.75" customHeight="1" x14ac:dyDescent="0.2">
      <c r="A999" s="56"/>
      <c r="C999" s="56"/>
      <c r="AB999" s="56"/>
      <c r="AC999" s="56"/>
      <c r="AD999" s="58"/>
      <c r="AE999" s="56"/>
      <c r="AF999" s="56"/>
      <c r="AG999" s="56"/>
      <c r="AH999" s="56"/>
      <c r="AI999" s="56"/>
      <c r="AJ999" s="56"/>
      <c r="AK999" s="56"/>
    </row>
    <row r="1000" spans="1:37" ht="15.75" customHeight="1" x14ac:dyDescent="0.2">
      <c r="A1000" s="56"/>
      <c r="C1000" s="56"/>
      <c r="AB1000" s="56"/>
      <c r="AC1000" s="56"/>
      <c r="AD1000" s="58"/>
      <c r="AE1000" s="56"/>
      <c r="AF1000" s="56"/>
      <c r="AG1000" s="56"/>
      <c r="AH1000" s="56"/>
      <c r="AI1000" s="56"/>
      <c r="AJ1000" s="56"/>
      <c r="AK1000" s="56"/>
    </row>
  </sheetData>
  <mergeCells count="3">
    <mergeCell ref="B3:AF3"/>
    <mergeCell ref="D5:O6"/>
    <mergeCell ref="P5:AA6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71761-B0AF-BF48-BAC3-5A4E80CAB234}">
  <dimension ref="B2:N3"/>
  <sheetViews>
    <sheetView topLeftCell="B1" workbookViewId="0">
      <selection activeCell="M3" sqref="M3"/>
    </sheetView>
  </sheetViews>
  <sheetFormatPr baseColWidth="10" defaultRowHeight="15" x14ac:dyDescent="0.2"/>
  <sheetData>
    <row r="2" spans="2:14" x14ac:dyDescent="0.2">
      <c r="C2" t="s">
        <v>118</v>
      </c>
      <c r="D2" t="s">
        <v>119</v>
      </c>
      <c r="E2" t="s">
        <v>120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128</v>
      </c>
      <c r="N2" t="s">
        <v>129</v>
      </c>
    </row>
    <row r="3" spans="2:14" x14ac:dyDescent="0.2">
      <c r="B3" t="s">
        <v>112</v>
      </c>
      <c r="C3" s="182">
        <v>19692.227720399998</v>
      </c>
      <c r="D3" s="182">
        <v>21702.545200964625</v>
      </c>
      <c r="E3" s="182">
        <v>21702.545200964625</v>
      </c>
      <c r="F3" s="182">
        <v>21933.124384119375</v>
      </c>
      <c r="G3" s="182">
        <f>+'Calculadora Mayo'!G12</f>
        <v>21933.124384119375</v>
      </c>
      <c r="H3" s="182">
        <f>+'Calculadora Junio'!G12</f>
        <v>20882.933505424997</v>
      </c>
      <c r="I3" s="182">
        <v>20752.164870551245</v>
      </c>
      <c r="J3" s="182">
        <v>19572.767041055624</v>
      </c>
      <c r="K3" s="182">
        <v>18552.62886430875</v>
      </c>
      <c r="L3" s="182">
        <v>19963.767483925996</v>
      </c>
      <c r="M3" s="182">
        <v>20820.229138096998</v>
      </c>
      <c r="N3" s="182"/>
    </row>
  </sheetData>
  <phoneticPr fontId="4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</vt:i4>
      </vt:variant>
    </vt:vector>
  </HeadingPairs>
  <TitlesOfParts>
    <vt:vector size="11" baseType="lpstr">
      <vt:lpstr>Calculadora Nov</vt:lpstr>
      <vt:lpstr>Calculadora Junio</vt:lpstr>
      <vt:lpstr>Calculadora Mayo</vt:lpstr>
      <vt:lpstr>Calculadora Abril</vt:lpstr>
      <vt:lpstr>Servicios Cabina</vt:lpstr>
      <vt:lpstr>Indicadores</vt:lpstr>
      <vt:lpstr>Historico</vt:lpstr>
      <vt:lpstr>'Calculadora Abril'!Descuento_adicional</vt:lpstr>
      <vt:lpstr>'Calculadora Junio'!Descuento_adicional</vt:lpstr>
      <vt:lpstr>'Calculadora Mayo'!Descuento_adicional</vt:lpstr>
      <vt:lpstr>'Calculadora Nov'!Descuento_adicional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Lopez</dc:creator>
  <cp:lastModifiedBy>Laura Vinazco Posada</cp:lastModifiedBy>
  <dcterms:created xsi:type="dcterms:W3CDTF">2023-12-20T22:18:16Z</dcterms:created>
  <dcterms:modified xsi:type="dcterms:W3CDTF">2025-11-13T18:41:44Z</dcterms:modified>
</cp:coreProperties>
</file>