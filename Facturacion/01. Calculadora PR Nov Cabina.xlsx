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16.xml" ContentType="application/vnd.openxmlformats-officedocument.drawing+xml"/>
  <Override PartName="/xl/tables/table16.xml" ContentType="application/vnd.openxmlformats-officedocument.spreadsheetml.table+xml"/>
  <Override PartName="/xl/comments8.xml" ContentType="application/vnd.openxmlformats-officedocument.spreadsheetml.comments+xml"/>
  <Override PartName="/xl/drawings/drawing17.xml" ContentType="application/vnd.openxmlformats-officedocument.drawing+xml"/>
  <Override PartName="/xl/tables/table17.xml" ContentType="application/vnd.openxmlformats-officedocument.spreadsheetml.table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18.xml" ContentType="application/vnd.openxmlformats-officedocument.drawing+xml"/>
  <Override PartName="/xl/tables/table18.xml" ContentType="application/vnd.openxmlformats-officedocument.spreadsheetml.table+xml"/>
  <Override PartName="/xl/comments11.xml" ContentType="application/vnd.openxmlformats-officedocument.spreadsheetml.comments+xml"/>
  <Override PartName="/xl/drawings/drawing19.xml" ContentType="application/vnd.openxmlformats-officedocument.drawing+xml"/>
  <Override PartName="/xl/tables/table19.xml" ContentType="application/vnd.openxmlformats-officedocument.spreadsheetml.table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drawings/drawing20.xml" ContentType="application/vnd.openxmlformats-officedocument.drawing+xml"/>
  <Override PartName="/xl/tables/table20.xml" ContentType="application/vnd.openxmlformats-officedocument.spreadsheetml.table+xml"/>
  <Override PartName="/xl/comments14.xml" ContentType="application/vnd.openxmlformats-officedocument.spreadsheetml.comments+xml"/>
  <Override PartName="/xl/drawings/drawing21.xml" ContentType="application/vnd.openxmlformats-officedocument.drawing+xml"/>
  <Override PartName="/xl/tables/table21.xml" ContentType="application/vnd.openxmlformats-officedocument.spreadsheetml.table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drawings/drawing22.xml" ContentType="application/vnd.openxmlformats-officedocument.drawing+xml"/>
  <Override PartName="/xl/tables/table22.xml" ContentType="application/vnd.openxmlformats-officedocument.spreadsheetml.table+xml"/>
  <Override PartName="/xl/comments17.xml" ContentType="application/vnd.openxmlformats-officedocument.spreadsheetml.comments+xml"/>
  <Override PartName="/xl/drawings/drawing23.xml" ContentType="application/vnd.openxmlformats-officedocument.drawing+xml"/>
  <Override PartName="/xl/tables/table23.xml" ContentType="application/vnd.openxmlformats-officedocument.spreadsheetml.table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drawings/drawing24.xml" ContentType="application/vnd.openxmlformats-officedocument.drawing+xml"/>
  <Override PartName="/xl/tables/table24.xml" ContentType="application/vnd.openxmlformats-officedocument.spreadsheetml.table+xml"/>
  <Override PartName="/xl/comments20.xml" ContentType="application/vnd.openxmlformats-officedocument.spreadsheetml.comments+xml"/>
  <Override PartName="/xl/drawings/drawing25.xml" ContentType="application/vnd.openxmlformats-officedocument.drawing+xml"/>
  <Override PartName="/xl/tables/table25.xml" ContentType="application/vnd.openxmlformats-officedocument.spreadsheetml.table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drawings/drawing26.xml" ContentType="application/vnd.openxmlformats-officedocument.drawing+xml"/>
  <Override PartName="/xl/tables/table26.xml" ContentType="application/vnd.openxmlformats-officedocument.spreadsheetml.table+xml"/>
  <Override PartName="/xl/comments23.xml" ContentType="application/vnd.openxmlformats-officedocument.spreadsheetml.comments+xml"/>
  <Override PartName="/xl/drawings/drawing27.xml" ContentType="application/vnd.openxmlformats-officedocument.drawing+xml"/>
  <Override PartName="/xl/tables/table27.xml" ContentType="application/vnd.openxmlformats-officedocument.spreadsheetml.table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drawings/drawing28.xml" ContentType="application/vnd.openxmlformats-officedocument.drawing+xml"/>
  <Override PartName="/xl/tables/table28.xml" ContentType="application/vnd.openxmlformats-officedocument.spreadsheetml.table+xml"/>
  <Override PartName="/xl/comments26.xml" ContentType="application/vnd.openxmlformats-officedocument.spreadsheetml.comments+xml"/>
  <Override PartName="/xl/drawings/drawing29.xml" ContentType="application/vnd.openxmlformats-officedocument.drawing+xml"/>
  <Override PartName="/xl/tables/table29.xml" ContentType="application/vnd.openxmlformats-officedocument.spreadsheetml.table+xml"/>
  <Override PartName="/xl/comments27.xml" ContentType="application/vnd.openxmlformats-officedocument.spreadsheetml.comments+xml"/>
  <Override PartName="/xl/drawings/drawing30.xml" ContentType="application/vnd.openxmlformats-officedocument.drawing+xml"/>
  <Override PartName="/xl/comments28.xml" ContentType="application/vnd.openxmlformats-officedocument.spreadsheetml.comments+xml"/>
  <Override PartName="/xl/drawings/drawing31.xml" ContentType="application/vnd.openxmlformats-officedocument.drawing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  <Override PartName="/xl/commentsmeta7" ContentType="application/binary"/>
  <Override PartName="/xl/commentsmeta8" ContentType="application/binary"/>
  <Override PartName="/xl/commentsmeta9" ContentType="application/binary"/>
  <Override PartName="/xl/commentsmeta10" ContentType="application/binary"/>
  <Override PartName="/xl/commentsmeta11" ContentType="application/binary"/>
  <Override PartName="/xl/commentsmeta12" ContentType="application/binary"/>
  <Override PartName="/xl/commentsmeta13" ContentType="application/binary"/>
  <Override PartName="/xl/commentsmeta14" ContentType="application/binary"/>
  <Override PartName="/xl/commentsmeta15" ContentType="application/binary"/>
  <Override PartName="/xl/commentsmeta16" ContentType="application/binary"/>
  <Override PartName="/xl/commentsmeta17" ContentType="application/binary"/>
  <Override PartName="/xl/commentsmeta18" ContentType="application/binary"/>
  <Override PartName="/xl/commentsmeta19" ContentType="application/binary"/>
  <Override PartName="/xl/commentsmeta20" ContentType="application/binary"/>
  <Override PartName="/xl/commentsmeta21" ContentType="application/binary"/>
  <Override PartName="/xl/commentsmeta22" ContentType="application/binary"/>
  <Override PartName="/xl/commentsmeta23" ContentType="application/binary"/>
  <Override PartName="/xl/commentsmeta24" ContentType="application/binary"/>
  <Override PartName="/xl/commentsmeta26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lauravinazco/Library/CloudStorage/GoogleDrive-lvinazco@voccare.global/.shortcut-targets-by-id/1f8qGrdtEe0ytiov-w0SbBlnmB-L_dKew/Calculadora - Facturacion Voccare 2024/2025/11. Noviembre/"/>
    </mc:Choice>
  </mc:AlternateContent>
  <xr:revisionPtr revIDLastSave="0" documentId="13_ncr:1_{D3F88F9B-6C7D-2940-94E7-519938EB57BB}" xr6:coauthVersionLast="47" xr6:coauthVersionMax="47" xr10:uidLastSave="{00000000-0000-0000-0000-000000000000}"/>
  <bookViews>
    <workbookView xWindow="5100" yWindow="500" windowWidth="23700" windowHeight="16120" activeTab="2" xr2:uid="{00000000-000D-0000-FFFF-FFFF00000000}"/>
  </bookViews>
  <sheets>
    <sheet name="Calculadora Conec Enero" sheetId="51" state="hidden" r:id="rId1"/>
    <sheet name="Calculadora Corp Enero" sheetId="50" state="hidden" r:id="rId2"/>
    <sheet name="Calculadora " sheetId="49" r:id="rId3"/>
    <sheet name="Calculadora Conec Diciembre" sheetId="47" state="hidden" r:id="rId4"/>
    <sheet name="Calculadora Corp Diciembre" sheetId="46" state="hidden" r:id="rId5"/>
    <sheet name="Calculadora Cabina Diciembre" sheetId="45" state="hidden" r:id="rId6"/>
    <sheet name="Calculadora Conec Noviembre" sheetId="44" state="hidden" r:id="rId7"/>
    <sheet name="Calculadora Corp Noviembre" sheetId="43" state="hidden" r:id="rId8"/>
    <sheet name="Calculadora Cabina Noviembre" sheetId="42" state="hidden" r:id="rId9"/>
    <sheet name="Calculadora Conec Octubre" sheetId="41" state="hidden" r:id="rId10"/>
    <sheet name="Calculadora Corp Octubre" sheetId="40" state="hidden" r:id="rId11"/>
    <sheet name="Calculadora Cabina Octubre" sheetId="39" state="hidden" r:id="rId12"/>
    <sheet name="Calculadora Conec Septiembre" sheetId="38" state="hidden" r:id="rId13"/>
    <sheet name="Calculadora Corp Septiembre" sheetId="37" state="hidden" r:id="rId14"/>
    <sheet name="Calculadora Cabina Septiembre" sheetId="35" state="hidden" r:id="rId15"/>
    <sheet name="Consolidado Agosto" sheetId="1" state="hidden" r:id="rId16"/>
    <sheet name="Calculadora INC Agosto" sheetId="2" state="hidden" r:id="rId17"/>
    <sheet name="Calculadora MCS Agosto" sheetId="3" state="hidden" r:id="rId18"/>
    <sheet name="Consolidado Julio" sheetId="4" state="hidden" r:id="rId19"/>
    <sheet name="Calculadora INC Julio" sheetId="5" state="hidden" r:id="rId20"/>
    <sheet name="Calculadora MCS Julio" sheetId="6" state="hidden" r:id="rId21"/>
    <sheet name="Consolidado Junio" sheetId="7" state="hidden" r:id="rId22"/>
    <sheet name="Calculadora INC Junio" sheetId="8" state="hidden" r:id="rId23"/>
    <sheet name="Calculadora MCS Junio" sheetId="9" state="hidden" r:id="rId24"/>
    <sheet name="Consolidado Mayo" sheetId="10" state="hidden" r:id="rId25"/>
    <sheet name="Calculadora INC Mayo" sheetId="11" state="hidden" r:id="rId26"/>
    <sheet name="Calculadora MCS Mayo" sheetId="12" state="hidden" r:id="rId27"/>
    <sheet name="Consolidado Abril" sheetId="13" state="hidden" r:id="rId28"/>
    <sheet name="Calculadora INC Abril" sheetId="14" state="hidden" r:id="rId29"/>
    <sheet name="Calculadora MCS Abril" sheetId="15" state="hidden" r:id="rId30"/>
    <sheet name="Consolidado Marzo" sheetId="16" state="hidden" r:id="rId31"/>
    <sheet name="Calculadora INC Marzo" sheetId="17" state="hidden" r:id="rId32"/>
    <sheet name="Calculadora MCS Marzo" sheetId="18" state="hidden" r:id="rId33"/>
    <sheet name="Consolidado Febrero" sheetId="19" state="hidden" r:id="rId34"/>
    <sheet name="Calculadora INC Febrero" sheetId="20" state="hidden" r:id="rId35"/>
    <sheet name="Calculadora MCS Febrero" sheetId="21" state="hidden" r:id="rId36"/>
    <sheet name="Servicios de Cabina INC" sheetId="22" r:id="rId37"/>
    <sheet name="Servicios de Cabina MCS" sheetId="23" r:id="rId38"/>
    <sheet name="Indicadores INC" sheetId="24" r:id="rId39"/>
    <sheet name="Indicadores MCS" sheetId="25" r:id="rId40"/>
    <sheet name="Historico2" sheetId="52" r:id="rId41"/>
    <sheet name="Historico" sheetId="34" state="hidden" r:id="rId42"/>
  </sheets>
  <externalReferences>
    <externalReference r:id="rId43"/>
    <externalReference r:id="rId44"/>
    <externalReference r:id="rId45"/>
    <externalReference r:id="rId46"/>
  </externalReferences>
  <definedNames>
    <definedName name="Crédito" localSheetId="2">'Calculadora '!#REF!</definedName>
    <definedName name="Crédito" localSheetId="5">'Calculadora Cabina Diciembre'!#REF!</definedName>
    <definedName name="Crédito" localSheetId="8">'Calculadora Cabina Noviembre'!#REF!</definedName>
    <definedName name="Crédito" localSheetId="11">'Calculadora Cabina Octubre'!#REF!</definedName>
    <definedName name="Crédito" localSheetId="14">'Calculadora Cabina Septiembre'!#REF!</definedName>
    <definedName name="Crédito" localSheetId="3">'Calculadora Conec Diciembre'!#REF!</definedName>
    <definedName name="Crédito" localSheetId="0">'Calculadora Conec Enero'!#REF!</definedName>
    <definedName name="Crédito" localSheetId="6">'Calculadora Conec Noviembre'!#REF!</definedName>
    <definedName name="Crédito" localSheetId="9">'Calculadora Conec Octubre'!#REF!</definedName>
    <definedName name="Crédito" localSheetId="12">'Calculadora Conec Septiembre'!#REF!</definedName>
    <definedName name="Crédito" localSheetId="4">'Calculadora Corp Diciembre'!#REF!</definedName>
    <definedName name="Crédito" localSheetId="1">'Calculadora Corp Enero'!#REF!</definedName>
    <definedName name="Crédito" localSheetId="7">'Calculadora Corp Noviembre'!#REF!</definedName>
    <definedName name="Crédito" localSheetId="10">'Calculadora Corp Octubre'!#REF!</definedName>
    <definedName name="Crédito" localSheetId="13">'Calculadora Corp Septiembre'!#REF!</definedName>
    <definedName name="Crédito" localSheetId="28">'Calculadora INC Abril'!#REF!</definedName>
    <definedName name="Crédito" localSheetId="16">'Calculadora INC Agosto'!#REF!</definedName>
    <definedName name="Crédito" localSheetId="19">'Calculadora INC Julio'!#REF!</definedName>
    <definedName name="Crédito" localSheetId="22">'Calculadora INC Junio'!#REF!</definedName>
    <definedName name="Crédito" localSheetId="31">'Calculadora INC Marzo'!#REF!</definedName>
    <definedName name="Crédito" localSheetId="25">'Calculadora INC Mayo'!#REF!</definedName>
    <definedName name="Crédito" localSheetId="29">'Calculadora MCS Abril'!#REF!</definedName>
    <definedName name="Crédito" localSheetId="17">'Calculadora MCS Agosto'!#REF!</definedName>
    <definedName name="Crédito" localSheetId="35">'Calculadora MCS Febrero'!#REF!</definedName>
    <definedName name="Crédito" localSheetId="20">'Calculadora MCS Julio'!#REF!</definedName>
    <definedName name="Crédito" localSheetId="23">'Calculadora MCS Junio'!#REF!</definedName>
    <definedName name="Crédito" localSheetId="32">'Calculadora MCS Marzo'!#REF!</definedName>
    <definedName name="Crédito" localSheetId="26">'Calculadora MCS Mayo'!#REF!</definedName>
    <definedName name="Crédito">'Calculadora INC Febrero'!#REF!</definedName>
    <definedName name="Descuento_adicional" localSheetId="2">'Calculadora '!$F$18</definedName>
    <definedName name="Descuento_adicional" localSheetId="5">'Calculadora Cabina Diciembre'!$F$17</definedName>
    <definedName name="Descuento_adicional" localSheetId="8">'Calculadora Cabina Noviembre'!$F$17</definedName>
    <definedName name="Descuento_adicional" localSheetId="11">'Calculadora Cabina Octubre'!$F$17</definedName>
    <definedName name="Descuento_adicional" localSheetId="14">'Calculadora Cabina Septiembre'!$F$17</definedName>
    <definedName name="Descuento_adicional" localSheetId="3">'Calculadora Conec Diciembre'!$F$15</definedName>
    <definedName name="Descuento_adicional" localSheetId="0">'Calculadora Conec Enero'!$F$15</definedName>
    <definedName name="Descuento_adicional" localSheetId="6">'Calculadora Conec Noviembre'!$F$15</definedName>
    <definedName name="Descuento_adicional" localSheetId="9">'Calculadora Conec Octubre'!$F$14</definedName>
    <definedName name="Descuento_adicional" localSheetId="12">'Calculadora Conec Septiembre'!$F$14</definedName>
    <definedName name="Descuento_adicional" localSheetId="4">'Calculadora Corp Diciembre'!$F$22</definedName>
    <definedName name="Descuento_adicional" localSheetId="1">'Calculadora Corp Enero'!$F$21</definedName>
    <definedName name="Descuento_adicional" localSheetId="7">'Calculadora Corp Noviembre'!$F$22</definedName>
    <definedName name="Descuento_adicional" localSheetId="10">'Calculadora Corp Octubre'!$F$21</definedName>
    <definedName name="Descuento_adicional" localSheetId="13">'Calculadora Corp Septiembre'!$F$21</definedName>
    <definedName name="Descuento_adicional" localSheetId="28">'Calculadora INC Abril'!$F$24</definedName>
    <definedName name="Descuento_adicional" localSheetId="16">'Calculadora INC Agosto'!$F$24</definedName>
    <definedName name="Descuento_adicional" localSheetId="19">'Calculadora INC Julio'!$F$24</definedName>
    <definedName name="Descuento_adicional" localSheetId="22">'Calculadora INC Junio'!$F$24</definedName>
    <definedName name="Descuento_adicional" localSheetId="31">'Calculadora INC Marzo'!$F$24</definedName>
    <definedName name="Descuento_adicional" localSheetId="25">'Calculadora INC Mayo'!$F$24</definedName>
    <definedName name="Descuento_adicional" localSheetId="29">'Calculadora MCS Abril'!$F$22</definedName>
    <definedName name="Descuento_adicional" localSheetId="17">'Calculadora MCS Agosto'!$F$24</definedName>
    <definedName name="Descuento_adicional" localSheetId="35">'Calculadora MCS Febrero'!$F$22</definedName>
    <definedName name="Descuento_adicional" localSheetId="20">'Calculadora MCS Julio'!$F$24</definedName>
    <definedName name="Descuento_adicional" localSheetId="23">'Calculadora MCS Junio'!$F$24</definedName>
    <definedName name="Descuento_adicional" localSheetId="32">'Calculadora MCS Marzo'!$F$22</definedName>
    <definedName name="Descuento_adicional" localSheetId="26">'Calculadora MCS Mayo'!$F$24</definedName>
    <definedName name="Descuento_adicional">'Calculadora INC Febrero'!$F$24</definedName>
    <definedName name="Importe">'[1]Propuesta 2'!$C1*'[1]Propuesta 2'!$E1-IF('[1]Propuesta 2'!$C1*'[1]Propuesta 2'!$E1&gt;ImporteParaElDescuento,1,0)*'[1]Propuesta 2'!$C1*'[1]Propuesta 2'!$E1*PorcentajeDeDescuento</definedName>
    <definedName name="ImporteParaElDescuento">'[1]Propuesta 2'!#REF!</definedName>
    <definedName name="Impuesto" localSheetId="2">'Calculadora '!#REF!</definedName>
    <definedName name="Impuesto" localSheetId="5">'Calculadora Cabina Diciembre'!#REF!</definedName>
    <definedName name="Impuesto" localSheetId="8">'Calculadora Cabina Noviembre'!#REF!</definedName>
    <definedName name="Impuesto" localSheetId="11">'Calculadora Cabina Octubre'!#REF!</definedName>
    <definedName name="Impuesto" localSheetId="14">'Calculadora Cabina Septiembre'!#REF!</definedName>
    <definedName name="Impuesto" localSheetId="3">'Calculadora Conec Diciembre'!#REF!</definedName>
    <definedName name="Impuesto" localSheetId="0">'Calculadora Conec Enero'!#REF!</definedName>
    <definedName name="Impuesto" localSheetId="6">'Calculadora Conec Noviembre'!#REF!</definedName>
    <definedName name="Impuesto" localSheetId="9">'Calculadora Conec Octubre'!#REF!</definedName>
    <definedName name="Impuesto" localSheetId="12">'Calculadora Conec Septiembre'!#REF!</definedName>
    <definedName name="Impuesto" localSheetId="4">'Calculadora Corp Diciembre'!#REF!</definedName>
    <definedName name="Impuesto" localSheetId="1">'Calculadora Corp Enero'!#REF!</definedName>
    <definedName name="Impuesto" localSheetId="7">'Calculadora Corp Noviembre'!#REF!</definedName>
    <definedName name="Impuesto" localSheetId="10">'Calculadora Corp Octubre'!#REF!</definedName>
    <definedName name="Impuesto" localSheetId="13">'Calculadora Corp Septiembre'!#REF!</definedName>
    <definedName name="Impuesto" localSheetId="28">'Calculadora INC Abril'!#REF!</definedName>
    <definedName name="Impuesto" localSheetId="16">'Calculadora INC Agosto'!#REF!</definedName>
    <definedName name="Impuesto" localSheetId="19">'Calculadora INC Julio'!#REF!</definedName>
    <definedName name="Impuesto" localSheetId="22">'Calculadora INC Junio'!#REF!</definedName>
    <definedName name="Impuesto" localSheetId="31">'Calculadora INC Marzo'!#REF!</definedName>
    <definedName name="Impuesto" localSheetId="25">'Calculadora INC Mayo'!#REF!</definedName>
    <definedName name="Impuesto" localSheetId="29">'Calculadora MCS Abril'!#REF!</definedName>
    <definedName name="Impuesto" localSheetId="17">'Calculadora MCS Agosto'!#REF!</definedName>
    <definedName name="Impuesto" localSheetId="35">'Calculadora MCS Febrero'!#REF!</definedName>
    <definedName name="Impuesto" localSheetId="20">'Calculadora MCS Julio'!#REF!</definedName>
    <definedName name="Impuesto" localSheetId="23">'Calculadora MCS Junio'!#REF!</definedName>
    <definedName name="Impuesto" localSheetId="32">'Calculadora MCS Marzo'!#REF!</definedName>
    <definedName name="Impuesto" localSheetId="26">'Calculadora MCS Mayo'!#REF!</definedName>
    <definedName name="Impuesto">'Calculadora INC Febrero'!#REF!</definedName>
    <definedName name="PorcentajeDeDescuento">'[1]Propuesta 2'!#REF!</definedName>
    <definedName name="Saldo_pendiente" localSheetId="2">([0]!subtotal-IF('Calculadora '!Descuento_adicional&gt;0,'Calculadora '!Descuento_adicional*[0]!subtotal,0))+(IF('Calculadora '!Descuento_adicional&gt;0,[0]!subtotal-('Calculadora '!Descuento_adicional*[0]!subtotal),[0]!subtotal)*'Calculadora '!Impuesto)-'Calculadora '!Crédito</definedName>
    <definedName name="Saldo_pendiente" localSheetId="5">([0]!subtotal-IF('Calculadora Cabina Diciembre'!Descuento_adicional&gt;0,'Calculadora Cabina Diciembre'!Descuento_adicional*[0]!subtotal,0))+(IF('Calculadora Cabina Diciembre'!Descuento_adicional&gt;0,[0]!subtotal-('Calculadora Cabina Diciembre'!Descuento_adicional*[0]!subtotal),[0]!subtotal)*'Calculadora Cabina Diciembre'!Impuesto)-'Calculadora Cabina Diciembre'!Crédito</definedName>
    <definedName name="Saldo_pendiente" localSheetId="8">([0]!subtotal-IF('Calculadora Cabina Noviembre'!Descuento_adicional&gt;0,'Calculadora Cabina Noviembre'!Descuento_adicional*[0]!subtotal,0))+(IF('Calculadora Cabina Noviembre'!Descuento_adicional&gt;0,[0]!subtotal-('Calculadora Cabina Noviembre'!Descuento_adicional*[0]!subtotal),[0]!subtotal)*'Calculadora Cabina Noviembre'!Impuesto)-'Calculadora Cabina Noviembre'!Crédito</definedName>
    <definedName name="Saldo_pendiente" localSheetId="11">([0]!subtotal-IF('Calculadora Cabina Octubre'!Descuento_adicional&gt;0,'Calculadora Cabina Octubre'!Descuento_adicional*[0]!subtotal,0))+(IF('Calculadora Cabina Octubre'!Descuento_adicional&gt;0,[0]!subtotal-('Calculadora Cabina Octubre'!Descuento_adicional*[0]!subtotal),[0]!subtotal)*'Calculadora Cabina Octubre'!Impuesto)-'Calculadora Cabina Octubre'!Crédito</definedName>
    <definedName name="Saldo_pendiente" localSheetId="14">([0]!subtotal-IF('Calculadora Cabina Septiembre'!Descuento_adicional&gt;0,'Calculadora Cabina Septiembre'!Descuento_adicional*[0]!subtotal,0))+(IF('Calculadora Cabina Septiembre'!Descuento_adicional&gt;0,[0]!subtotal-('Calculadora Cabina Septiembre'!Descuento_adicional*[0]!subtotal),[0]!subtotal)*'Calculadora Cabina Septiembre'!Impuesto)-'Calculadora Cabina Septiembre'!Crédito</definedName>
    <definedName name="Saldo_pendiente" localSheetId="3">([0]!subtotal-IF('Calculadora Conec Diciembre'!Descuento_adicional&gt;0,'Calculadora Conec Diciembre'!Descuento_adicional*[0]!subtotal,0))+(IF('Calculadora Conec Diciembre'!Descuento_adicional&gt;0,[0]!subtotal-('Calculadora Conec Diciembre'!Descuento_adicional*[0]!subtotal),[0]!subtotal)*'Calculadora Conec Diciembre'!Impuesto)-'Calculadora Conec Diciembre'!Crédito</definedName>
    <definedName name="Saldo_pendiente" localSheetId="0">([0]!subtotal-IF('Calculadora Conec Enero'!Descuento_adicional&gt;0,'Calculadora Conec Enero'!Descuento_adicional*[0]!subtotal,0))+(IF('Calculadora Conec Enero'!Descuento_adicional&gt;0,[0]!subtotal-('Calculadora Conec Enero'!Descuento_adicional*[0]!subtotal),[0]!subtotal)*'Calculadora Conec Enero'!Impuesto)-'Calculadora Conec Enero'!Crédito</definedName>
    <definedName name="Saldo_pendiente" localSheetId="6">([0]!subtotal-IF('Calculadora Conec Noviembre'!Descuento_adicional&gt;0,'Calculadora Conec Noviembre'!Descuento_adicional*[0]!subtotal,0))+(IF('Calculadora Conec Noviembre'!Descuento_adicional&gt;0,[0]!subtotal-('Calculadora Conec Noviembre'!Descuento_adicional*[0]!subtotal),[0]!subtotal)*'Calculadora Conec Noviembre'!Impuesto)-'Calculadora Conec Noviembre'!Crédito</definedName>
    <definedName name="Saldo_pendiente" localSheetId="9">([0]!subtotal-IF('Calculadora Conec Octubre'!Descuento_adicional&gt;0,'Calculadora Conec Octubre'!Descuento_adicional*[0]!subtotal,0))+(IF('Calculadora Conec Octubre'!Descuento_adicional&gt;0,[0]!subtotal-('Calculadora Conec Octubre'!Descuento_adicional*[0]!subtotal),[0]!subtotal)*'Calculadora Conec Octubre'!Impuesto)-'Calculadora Conec Octubre'!Crédito</definedName>
    <definedName name="Saldo_pendiente" localSheetId="12">([0]!subtotal-IF('Calculadora Conec Septiembre'!Descuento_adicional&gt;0,'Calculadora Conec Septiembre'!Descuento_adicional*[0]!subtotal,0))+(IF('Calculadora Conec Septiembre'!Descuento_adicional&gt;0,[0]!subtotal-('Calculadora Conec Septiembre'!Descuento_adicional*[0]!subtotal),[0]!subtotal)*'Calculadora Conec Septiembre'!Impuesto)-'Calculadora Conec Septiembre'!Crédito</definedName>
    <definedName name="Saldo_pendiente" localSheetId="4">([0]!subtotal-IF('Calculadora Corp Diciembre'!Descuento_adicional&gt;0,'Calculadora Corp Diciembre'!Descuento_adicional*[0]!subtotal,0))+(IF('Calculadora Corp Diciembre'!Descuento_adicional&gt;0,[0]!subtotal-('Calculadora Corp Diciembre'!Descuento_adicional*[0]!subtotal),[0]!subtotal)*'Calculadora Corp Diciembre'!Impuesto)-'Calculadora Corp Diciembre'!Crédito</definedName>
    <definedName name="Saldo_pendiente" localSheetId="1">([0]!subtotal-IF('Calculadora Corp Enero'!Descuento_adicional&gt;0,'Calculadora Corp Enero'!Descuento_adicional*[0]!subtotal,0))+(IF('Calculadora Corp Enero'!Descuento_adicional&gt;0,[0]!subtotal-('Calculadora Corp Enero'!Descuento_adicional*[0]!subtotal),[0]!subtotal)*'Calculadora Corp Enero'!Impuesto)-'Calculadora Corp Enero'!Crédito</definedName>
    <definedName name="Saldo_pendiente" localSheetId="7">([0]!subtotal-IF('Calculadora Corp Noviembre'!Descuento_adicional&gt;0,'Calculadora Corp Noviembre'!Descuento_adicional*[0]!subtotal,0))+(IF('Calculadora Corp Noviembre'!Descuento_adicional&gt;0,[0]!subtotal-('Calculadora Corp Noviembre'!Descuento_adicional*[0]!subtotal),[0]!subtotal)*'Calculadora Corp Noviembre'!Impuesto)-'Calculadora Corp Noviembre'!Crédito</definedName>
    <definedName name="Saldo_pendiente" localSheetId="10">([0]!subtotal-IF('Calculadora Corp Octubre'!Descuento_adicional&gt;0,'Calculadora Corp Octubre'!Descuento_adicional*[0]!subtotal,0))+(IF('Calculadora Corp Octubre'!Descuento_adicional&gt;0,[0]!subtotal-('Calculadora Corp Octubre'!Descuento_adicional*[0]!subtotal),[0]!subtotal)*'Calculadora Corp Octubre'!Impuesto)-'Calculadora Corp Octubre'!Crédito</definedName>
    <definedName name="Saldo_pendiente" localSheetId="13">([0]!subtotal-IF('Calculadora Corp Septiembre'!Descuento_adicional&gt;0,'Calculadora Corp Septiembre'!Descuento_adicional*[0]!subtotal,0))+(IF('Calculadora Corp Septiembre'!Descuento_adicional&gt;0,[0]!subtotal-('Calculadora Corp Septiembre'!Descuento_adicional*[0]!subtotal),[0]!subtotal)*'Calculadora Corp Septiembre'!Impuesto)-'Calculadora Corp Septiembre'!Crédito</definedName>
    <definedName name="Saldo_pendiente" localSheetId="28">(subtotal-IF('Calculadora INC Abril'!Descuento_adicional&gt;0,'Calculadora INC Abril'!Descuento_adicional*subtotal,0))+(IF('Calculadora INC Abril'!Descuento_adicional&gt;0,subtotal-('Calculadora INC Abril'!Descuento_adicional*subtotal),subtotal)*'Calculadora INC Abril'!Impuesto)-'Calculadora INC Abril'!Crédito</definedName>
    <definedName name="Saldo_pendiente" localSheetId="16">(subtotal-IF('Calculadora INC Agosto'!Descuento_adicional&gt;0,'Calculadora INC Agosto'!Descuento_adicional*subtotal,0))+(IF('Calculadora INC Agosto'!Descuento_adicional&gt;0,subtotal-('Calculadora INC Agosto'!Descuento_adicional*subtotal),subtotal)*'Calculadora INC Agosto'!Impuesto)-'Calculadora INC Agosto'!Crédito</definedName>
    <definedName name="Saldo_pendiente" localSheetId="19">(subtotal-IF('Calculadora INC Julio'!Descuento_adicional&gt;0,'Calculadora INC Julio'!Descuento_adicional*subtotal,0))+(IF('Calculadora INC Julio'!Descuento_adicional&gt;0,subtotal-('Calculadora INC Julio'!Descuento_adicional*subtotal),subtotal)*'Calculadora INC Julio'!Impuesto)-'Calculadora INC Julio'!Crédito</definedName>
    <definedName name="Saldo_pendiente" localSheetId="22">(subtotal-IF('Calculadora INC Junio'!Descuento_adicional&gt;0,'Calculadora INC Junio'!Descuento_adicional*subtotal,0))+(IF('Calculadora INC Junio'!Descuento_adicional&gt;0,subtotal-('Calculadora INC Junio'!Descuento_adicional*subtotal),subtotal)*'Calculadora INC Junio'!Impuesto)-'Calculadora INC Junio'!Crédito</definedName>
    <definedName name="Saldo_pendiente" localSheetId="31">(subtotal-IF('Calculadora INC Marzo'!Descuento_adicional&gt;0,'Calculadora INC Marzo'!Descuento_adicional*subtotal,0))+(IF('Calculadora INC Marzo'!Descuento_adicional&gt;0,subtotal-('Calculadora INC Marzo'!Descuento_adicional*subtotal),subtotal)*'Calculadora INC Marzo'!Impuesto)-'Calculadora INC Marzo'!Crédito</definedName>
    <definedName name="Saldo_pendiente" localSheetId="25">(subtotal-IF('Calculadora INC Mayo'!Descuento_adicional&gt;0,'Calculadora INC Mayo'!Descuento_adicional*subtotal,0))+(IF('Calculadora INC Mayo'!Descuento_adicional&gt;0,subtotal-('Calculadora INC Mayo'!Descuento_adicional*subtotal),subtotal)*'Calculadora INC Mayo'!Impuesto)-'Calculadora INC Mayo'!Crédito</definedName>
    <definedName name="Saldo_pendiente" localSheetId="29">(subtotal-IF('Calculadora MCS Abril'!Descuento_adicional&gt;0,'Calculadora MCS Abril'!Descuento_adicional*subtotal,0))+(IF('Calculadora MCS Abril'!Descuento_adicional&gt;0,subtotal-('Calculadora MCS Abril'!Descuento_adicional*subtotal),subtotal)*'Calculadora MCS Abril'!Impuesto)-'Calculadora MCS Abril'!Crédito</definedName>
    <definedName name="Saldo_pendiente" localSheetId="17">(subtotal-IF('Calculadora MCS Agosto'!Descuento_adicional&gt;0,'Calculadora MCS Agosto'!Descuento_adicional*subtotal,0))+(IF('Calculadora MCS Agosto'!Descuento_adicional&gt;0,subtotal-('Calculadora MCS Agosto'!Descuento_adicional*subtotal),subtotal)*'Calculadora MCS Agosto'!Impuesto)-'Calculadora MCS Agosto'!Crédito</definedName>
    <definedName name="Saldo_pendiente" localSheetId="35">(subtotal-IF([0]!Descuento_adicional&gt;0,[0]!Descuento_adicional*subtotal,0))+(IF([0]!Descuento_adicional&gt;0,subtotal-([0]!Descuento_adicional*subtotal),subtotal)*'Calculadora MCS Febrero'!Impuesto)-'Calculadora MCS Febrero'!Crédito</definedName>
    <definedName name="Saldo_pendiente" localSheetId="20">(subtotal-IF([0]!Descuento_adicional&gt;0,[0]!Descuento_adicional*subtotal,0))+(IF([0]!Descuento_adicional&gt;0,subtotal-([0]!Descuento_adicional*subtotal),subtotal)*'Calculadora MCS Julio'!Impuesto)-'Calculadora MCS Julio'!Crédito</definedName>
    <definedName name="Saldo_pendiente" localSheetId="23">(subtotal-IF([0]!Descuento_adicional&gt;0,[0]!Descuento_adicional*subtotal,0))+(IF([0]!Descuento_adicional&gt;0,subtotal-([0]!Descuento_adicional*subtotal),subtotal)*'Calculadora MCS Junio'!Impuesto)-'Calculadora MCS Junio'!Crédito</definedName>
    <definedName name="Saldo_pendiente" localSheetId="32">(subtotal-IF([0]!Descuento_adicional&gt;0,[0]!Descuento_adicional*subtotal,0))+(IF([0]!Descuento_adicional&gt;0,subtotal-([0]!Descuento_adicional*subtotal),subtotal)*'Calculadora MCS Marzo'!Impuesto)-'Calculadora MCS Marzo'!Crédito</definedName>
    <definedName name="Saldo_pendiente" localSheetId="26">(subtotal-IF([0]!Descuento_adicional&gt;0,[0]!Descuento_adicional*subtotal,0))+(IF([0]!Descuento_adicional&gt;0,subtotal-([0]!Descuento_adicional*subtotal),subtotal)*'Calculadora MCS Mayo'!Impuesto)-'Calculadora MCS Mayo'!Crédito</definedName>
    <definedName name="Saldo_pendiente">(subtotal-IF(Descuento_adicional&gt;0,Descuento_adicional*subtotal,0))+(IF(Descuento_adicional&gt;0,subtotal-(Descuento_adicional*subtotal),subtotal)*Impuesto)-Crédito</definedName>
    <definedName name="subtotal">[2]!DetallesFactura[[#Totals],[Importe]]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5" roundtripDataChecksum="t8w7mPxs2La2WoAhuf4GqdnbiYBy/zKc4BMQQ8FO+a8="/>
    </ext>
  </extLst>
</workbook>
</file>

<file path=xl/calcChain.xml><?xml version="1.0" encoding="utf-8"?>
<calcChain xmlns="http://schemas.openxmlformats.org/spreadsheetml/2006/main">
  <c r="F13" i="49" l="1"/>
  <c r="F12" i="49"/>
  <c r="U54" i="23"/>
  <c r="U59" i="23"/>
  <c r="U58" i="23"/>
  <c r="U34" i="23"/>
  <c r="U8" i="23"/>
  <c r="U9" i="23"/>
  <c r="U10" i="23"/>
  <c r="U34" i="22"/>
  <c r="U8" i="22"/>
  <c r="U9" i="22"/>
  <c r="U10" i="22"/>
  <c r="G13" i="49"/>
  <c r="T8" i="23"/>
  <c r="T9" i="23"/>
  <c r="T10" i="23"/>
  <c r="T8" i="22"/>
  <c r="T9" i="22"/>
  <c r="T10" i="22"/>
  <c r="S8" i="23" l="1"/>
  <c r="S9" i="23"/>
  <c r="S10" i="23"/>
  <c r="S8" i="22"/>
  <c r="S9" i="22"/>
  <c r="S10" i="22"/>
  <c r="R8" i="22"/>
  <c r="R9" i="22"/>
  <c r="R10" i="22"/>
  <c r="R8" i="23"/>
  <c r="R9" i="23"/>
  <c r="R10" i="23"/>
  <c r="Q60" i="22"/>
  <c r="Q59" i="22"/>
  <c r="Q58" i="22"/>
  <c r="F16" i="49"/>
  <c r="Q8" i="22"/>
  <c r="Q9" i="22"/>
  <c r="Q10" i="22"/>
  <c r="Q8" i="23"/>
  <c r="Q9" i="23"/>
  <c r="Q10" i="23"/>
  <c r="P8" i="22"/>
  <c r="P9" i="22"/>
  <c r="P10" i="22"/>
  <c r="P8" i="23"/>
  <c r="P9" i="23"/>
  <c r="P10" i="23"/>
  <c r="O8" i="22"/>
  <c r="O9" i="22"/>
  <c r="O10" i="22"/>
  <c r="O8" i="23"/>
  <c r="O9" i="23"/>
  <c r="O10" i="23"/>
  <c r="N8" i="22"/>
  <c r="N9" i="22"/>
  <c r="N10" i="22"/>
  <c r="N8" i="23"/>
  <c r="N9" i="23"/>
  <c r="N10" i="23"/>
  <c r="M10" i="23"/>
  <c r="M9" i="23"/>
  <c r="M8" i="23"/>
  <c r="M8" i="22"/>
  <c r="M9" i="22"/>
  <c r="M10" i="22"/>
  <c r="G16" i="49" l="1"/>
  <c r="G15" i="49" l="1"/>
  <c r="G14" i="49"/>
  <c r="L34" i="23"/>
  <c r="L54" i="23"/>
  <c r="D34" i="23"/>
  <c r="L10" i="23"/>
  <c r="L9" i="23"/>
  <c r="L8" i="23"/>
  <c r="L10" i="22"/>
  <c r="L9" i="22"/>
  <c r="L8" i="22"/>
  <c r="D54" i="23"/>
  <c r="D51" i="23"/>
  <c r="D50" i="23"/>
  <c r="D49" i="23"/>
  <c r="D46" i="23"/>
  <c r="D45" i="23"/>
  <c r="D44" i="23"/>
  <c r="D43" i="23"/>
  <c r="D42" i="23"/>
  <c r="D41" i="23"/>
  <c r="D40" i="23"/>
  <c r="D39" i="23"/>
  <c r="D38" i="23"/>
  <c r="D54" i="22"/>
  <c r="D51" i="22"/>
  <c r="D50" i="22"/>
  <c r="D49" i="22"/>
  <c r="D46" i="22"/>
  <c r="D45" i="22"/>
  <c r="D44" i="22"/>
  <c r="D43" i="22"/>
  <c r="D42" i="22"/>
  <c r="D41" i="22"/>
  <c r="D40" i="22"/>
  <c r="D39" i="22"/>
  <c r="D38" i="22"/>
  <c r="AC84" i="25"/>
  <c r="AC83" i="25"/>
  <c r="AC82" i="25"/>
  <c r="AC81" i="25"/>
  <c r="AC80" i="25"/>
  <c r="AC79" i="25"/>
  <c r="AC70" i="25"/>
  <c r="AD70" i="25" s="1"/>
  <c r="AC69" i="25"/>
  <c r="AD69" i="25" s="1"/>
  <c r="AC68" i="25"/>
  <c r="AD68" i="25" s="1"/>
  <c r="AC67" i="25"/>
  <c r="AD67" i="25" s="1"/>
  <c r="AC66" i="25"/>
  <c r="AD66" i="25" s="1"/>
  <c r="AC65" i="25"/>
  <c r="AD65" i="25" s="1"/>
  <c r="AC64" i="25"/>
  <c r="AD64" i="25" s="1"/>
  <c r="AC62" i="25"/>
  <c r="AD62" i="25" s="1"/>
  <c r="AC61" i="25"/>
  <c r="AD61" i="25" s="1"/>
  <c r="AC60" i="25"/>
  <c r="AD60" i="25" s="1"/>
  <c r="AC59" i="25"/>
  <c r="AD59" i="25" s="1"/>
  <c r="AC57" i="25"/>
  <c r="AD57" i="25" s="1"/>
  <c r="AC56" i="25"/>
  <c r="AD56" i="25" s="1"/>
  <c r="AC55" i="25"/>
  <c r="AD55" i="25" s="1"/>
  <c r="AC54" i="25"/>
  <c r="AD54" i="25" s="1"/>
  <c r="AC53" i="25"/>
  <c r="AD53" i="25" s="1"/>
  <c r="AC52" i="25"/>
  <c r="AD52" i="25" s="1"/>
  <c r="AC51" i="25"/>
  <c r="AD51" i="25" s="1"/>
  <c r="AC49" i="25"/>
  <c r="AD49" i="25" s="1"/>
  <c r="AC48" i="25"/>
  <c r="AD48" i="25" s="1"/>
  <c r="AC47" i="25"/>
  <c r="AD47" i="25" s="1"/>
  <c r="AC46" i="25"/>
  <c r="AD46" i="25" s="1"/>
  <c r="AC45" i="25"/>
  <c r="AD45" i="25" s="1"/>
  <c r="AC44" i="25"/>
  <c r="AD44" i="25" s="1"/>
  <c r="AC43" i="25"/>
  <c r="AD43" i="25" s="1"/>
  <c r="AC41" i="25"/>
  <c r="AD41" i="25" s="1"/>
  <c r="AC40" i="25"/>
  <c r="AD40" i="25" s="1"/>
  <c r="AC39" i="25"/>
  <c r="AD39" i="25" s="1"/>
  <c r="AC37" i="25"/>
  <c r="AD37" i="25" s="1"/>
  <c r="AC36" i="25"/>
  <c r="AD36" i="25" s="1"/>
  <c r="AC35" i="25"/>
  <c r="AD35" i="25" s="1"/>
  <c r="AC34" i="25"/>
  <c r="AD34" i="25" s="1"/>
  <c r="AC33" i="25"/>
  <c r="AD33" i="25" s="1"/>
  <c r="AC32" i="25"/>
  <c r="AD32" i="25" s="1"/>
  <c r="AC30" i="25"/>
  <c r="AD30" i="25" s="1"/>
  <c r="AC29" i="25"/>
  <c r="AD29" i="25" s="1"/>
  <c r="AC28" i="25"/>
  <c r="AD28" i="25" s="1"/>
  <c r="AC27" i="25"/>
  <c r="AD27" i="25" s="1"/>
  <c r="AC26" i="25"/>
  <c r="AD26" i="25" s="1"/>
  <c r="AC25" i="25"/>
  <c r="AD25" i="25" s="1"/>
  <c r="AC24" i="25"/>
  <c r="AD24" i="25" s="1"/>
  <c r="AC23" i="25"/>
  <c r="AD23" i="25" s="1"/>
  <c r="AC22" i="25"/>
  <c r="AD22" i="25" s="1"/>
  <c r="AC21" i="25"/>
  <c r="AD21" i="25" s="1"/>
  <c r="AC20" i="25"/>
  <c r="AD20" i="25" s="1"/>
  <c r="AC19" i="25"/>
  <c r="AD19" i="25" s="1"/>
  <c r="AC18" i="25"/>
  <c r="AD18" i="25" s="1"/>
  <c r="AC17" i="25"/>
  <c r="AD17" i="25" s="1"/>
  <c r="AC16" i="25"/>
  <c r="AD16" i="25" s="1"/>
  <c r="AC14" i="25"/>
  <c r="AD14" i="25" s="1"/>
  <c r="AC13" i="25"/>
  <c r="AD13" i="25" s="1"/>
  <c r="AC12" i="25"/>
  <c r="AD12" i="25" s="1"/>
  <c r="AC84" i="24"/>
  <c r="AC83" i="24"/>
  <c r="AC82" i="24"/>
  <c r="AC81" i="24"/>
  <c r="AC80" i="24"/>
  <c r="AC79" i="24"/>
  <c r="AC70" i="24"/>
  <c r="AD70" i="24" s="1"/>
  <c r="AC69" i="24"/>
  <c r="AD69" i="24" s="1"/>
  <c r="AC68" i="24"/>
  <c r="AD68" i="24" s="1"/>
  <c r="AC67" i="24"/>
  <c r="AD67" i="24" s="1"/>
  <c r="AC66" i="24"/>
  <c r="AD66" i="24" s="1"/>
  <c r="AC65" i="24"/>
  <c r="AD65" i="24" s="1"/>
  <c r="AC64" i="24"/>
  <c r="AD64" i="24" s="1"/>
  <c r="AC62" i="24"/>
  <c r="AD62" i="24" s="1"/>
  <c r="AC61" i="24"/>
  <c r="AD61" i="24" s="1"/>
  <c r="AC60" i="24"/>
  <c r="AD60" i="24" s="1"/>
  <c r="AC59" i="24"/>
  <c r="AD59" i="24" s="1"/>
  <c r="AC57" i="24"/>
  <c r="AD57" i="24" s="1"/>
  <c r="AC56" i="24"/>
  <c r="AD56" i="24" s="1"/>
  <c r="AC55" i="24"/>
  <c r="AD55" i="24" s="1"/>
  <c r="AC54" i="24"/>
  <c r="AD54" i="24" s="1"/>
  <c r="AC53" i="24"/>
  <c r="AD53" i="24" s="1"/>
  <c r="AC52" i="24"/>
  <c r="AD52" i="24" s="1"/>
  <c r="AC51" i="24"/>
  <c r="AD51" i="24" s="1"/>
  <c r="AC49" i="24"/>
  <c r="AD49" i="24" s="1"/>
  <c r="AC48" i="24"/>
  <c r="AD48" i="24" s="1"/>
  <c r="AC47" i="24"/>
  <c r="AD47" i="24" s="1"/>
  <c r="AC46" i="24"/>
  <c r="AD46" i="24" s="1"/>
  <c r="AC45" i="24"/>
  <c r="AD45" i="24" s="1"/>
  <c r="AC44" i="24"/>
  <c r="AD44" i="24" s="1"/>
  <c r="AC43" i="24"/>
  <c r="AD43" i="24" s="1"/>
  <c r="AC41" i="24"/>
  <c r="AD41" i="24" s="1"/>
  <c r="AC40" i="24"/>
  <c r="AD40" i="24" s="1"/>
  <c r="AC39" i="24"/>
  <c r="AD39" i="24" s="1"/>
  <c r="AC37" i="24"/>
  <c r="AD37" i="24" s="1"/>
  <c r="AC36" i="24"/>
  <c r="AD36" i="24" s="1"/>
  <c r="AC35" i="24"/>
  <c r="AD35" i="24" s="1"/>
  <c r="AC34" i="24"/>
  <c r="AD34" i="24" s="1"/>
  <c r="AC33" i="24"/>
  <c r="AD33" i="24" s="1"/>
  <c r="AC32" i="24"/>
  <c r="AD32" i="24" s="1"/>
  <c r="AC30" i="24"/>
  <c r="AD30" i="24" s="1"/>
  <c r="AC29" i="24"/>
  <c r="AD29" i="24" s="1"/>
  <c r="AC28" i="24"/>
  <c r="AD28" i="24" s="1"/>
  <c r="AC27" i="24"/>
  <c r="AD27" i="24" s="1"/>
  <c r="AC26" i="24"/>
  <c r="AD26" i="24" s="1"/>
  <c r="AC25" i="24"/>
  <c r="AD25" i="24" s="1"/>
  <c r="AC24" i="24"/>
  <c r="AD24" i="24" s="1"/>
  <c r="AC23" i="24"/>
  <c r="AD23" i="24" s="1"/>
  <c r="AC22" i="24"/>
  <c r="AD22" i="24" s="1"/>
  <c r="AC21" i="24"/>
  <c r="AD21" i="24" s="1"/>
  <c r="AC20" i="24"/>
  <c r="AD20" i="24" s="1"/>
  <c r="AC19" i="24"/>
  <c r="AD19" i="24" s="1"/>
  <c r="AC18" i="24"/>
  <c r="AD18" i="24" s="1"/>
  <c r="AC17" i="24"/>
  <c r="AD17" i="24" s="1"/>
  <c r="AC16" i="24"/>
  <c r="AD16" i="24" s="1"/>
  <c r="AC14" i="24"/>
  <c r="AD14" i="24" s="1"/>
  <c r="AC13" i="24"/>
  <c r="AD13" i="24" s="1"/>
  <c r="AC12" i="24"/>
  <c r="AD12" i="24" s="1"/>
  <c r="G20" i="50"/>
  <c r="F16" i="51"/>
  <c r="G13" i="51"/>
  <c r="G14" i="51" s="1"/>
  <c r="G12" i="51"/>
  <c r="G6" i="51"/>
  <c r="F22" i="50"/>
  <c r="G19" i="50"/>
  <c r="G18" i="50"/>
  <c r="G17" i="50"/>
  <c r="G16" i="50"/>
  <c r="G15" i="50"/>
  <c r="G14" i="50"/>
  <c r="G13" i="50"/>
  <c r="G12" i="50"/>
  <c r="G6" i="50"/>
  <c r="G6" i="49"/>
  <c r="N31" i="46"/>
  <c r="N32" i="46"/>
  <c r="N30" i="46"/>
  <c r="F13" i="47"/>
  <c r="K16" i="50" l="1"/>
  <c r="K18" i="50" s="1"/>
  <c r="G21" i="46" l="1"/>
  <c r="F16" i="47"/>
  <c r="G13" i="47"/>
  <c r="G14" i="47" s="1"/>
  <c r="G12" i="47"/>
  <c r="G6" i="47"/>
  <c r="F23" i="46"/>
  <c r="G20" i="46"/>
  <c r="G19" i="46"/>
  <c r="G18" i="46"/>
  <c r="G17" i="46"/>
  <c r="G16" i="46"/>
  <c r="G15" i="46"/>
  <c r="G14" i="46"/>
  <c r="G13" i="46"/>
  <c r="G12" i="46"/>
  <c r="G6" i="46"/>
  <c r="F18" i="45"/>
  <c r="G13" i="45"/>
  <c r="I13" i="45" s="1"/>
  <c r="J13" i="45" s="1"/>
  <c r="G6" i="45"/>
  <c r="K16" i="46" l="1"/>
  <c r="K18" i="46" s="1"/>
  <c r="G14" i="44" l="1"/>
  <c r="G13" i="44"/>
  <c r="G21" i="43"/>
  <c r="G20" i="43"/>
  <c r="H14" i="42" l="1"/>
  <c r="F16" i="44"/>
  <c r="G12" i="44"/>
  <c r="G6" i="44"/>
  <c r="F23" i="43"/>
  <c r="G19" i="43"/>
  <c r="G18" i="43"/>
  <c r="G17" i="43"/>
  <c r="G16" i="43"/>
  <c r="G15" i="43"/>
  <c r="G14" i="43"/>
  <c r="G13" i="43"/>
  <c r="G12" i="43"/>
  <c r="G6" i="43"/>
  <c r="F18" i="42"/>
  <c r="G13" i="42"/>
  <c r="I13" i="42" s="1"/>
  <c r="J13" i="42" s="1"/>
  <c r="G6" i="42"/>
  <c r="K15" i="40"/>
  <c r="K20" i="40" s="1"/>
  <c r="K19" i="40"/>
  <c r="K18" i="40"/>
  <c r="K17" i="40"/>
  <c r="K16" i="40"/>
  <c r="F19" i="40"/>
  <c r="K16" i="43" l="1"/>
  <c r="K18" i="43" s="1"/>
  <c r="F15" i="41"/>
  <c r="G13" i="41"/>
  <c r="G12" i="41"/>
  <c r="G6" i="41"/>
  <c r="F22" i="40"/>
  <c r="G19" i="40"/>
  <c r="G18" i="40"/>
  <c r="G17" i="40"/>
  <c r="G16" i="40"/>
  <c r="G15" i="40"/>
  <c r="G14" i="40"/>
  <c r="G13" i="40"/>
  <c r="G12" i="40"/>
  <c r="G6" i="40"/>
  <c r="F18" i="39"/>
  <c r="G13" i="39"/>
  <c r="I13" i="39" s="1"/>
  <c r="J13" i="39" s="1"/>
  <c r="G6" i="39"/>
  <c r="G20" i="40" l="1"/>
  <c r="T15" i="22" l="1"/>
  <c r="T27" i="22"/>
  <c r="T54" i="22"/>
  <c r="F19" i="37" l="1"/>
  <c r="G19" i="37" s="1"/>
  <c r="H12" i="35"/>
  <c r="F15" i="38"/>
  <c r="G12" i="38"/>
  <c r="G13" i="38" s="1"/>
  <c r="G6" i="38"/>
  <c r="G13" i="37"/>
  <c r="G14" i="37"/>
  <c r="G15" i="37"/>
  <c r="G16" i="37"/>
  <c r="G17" i="37"/>
  <c r="G18" i="37"/>
  <c r="G12" i="37"/>
  <c r="F22" i="37"/>
  <c r="G6" i="37"/>
  <c r="F18" i="35"/>
  <c r="G13" i="35"/>
  <c r="I13" i="35" s="1"/>
  <c r="J13" i="35" s="1"/>
  <c r="G6" i="35"/>
  <c r="S15" i="22"/>
  <c r="S54" i="22"/>
  <c r="S60" i="22" s="1"/>
  <c r="S15" i="23"/>
  <c r="S27" i="23"/>
  <c r="S54" i="23"/>
  <c r="S60" i="23" s="1"/>
  <c r="N40" i="34"/>
  <c r="M40" i="34"/>
  <c r="L40" i="34"/>
  <c r="K40" i="34"/>
  <c r="J40" i="34"/>
  <c r="I40" i="34"/>
  <c r="H40" i="34"/>
  <c r="G40" i="34"/>
  <c r="F40" i="34"/>
  <c r="E40" i="34"/>
  <c r="D40" i="34"/>
  <c r="C40" i="34"/>
  <c r="N31" i="34"/>
  <c r="M31" i="34"/>
  <c r="L31" i="34"/>
  <c r="K31" i="34"/>
  <c r="J31" i="34"/>
  <c r="I31" i="34"/>
  <c r="H31" i="34"/>
  <c r="G31" i="34"/>
  <c r="F31" i="34"/>
  <c r="E31" i="34"/>
  <c r="D31" i="34"/>
  <c r="C31" i="34"/>
  <c r="N26" i="34"/>
  <c r="M26" i="34"/>
  <c r="L26" i="34"/>
  <c r="K26" i="34"/>
  <c r="J26" i="34"/>
  <c r="I26" i="34"/>
  <c r="G26" i="34"/>
  <c r="F26" i="34"/>
  <c r="E26" i="34"/>
  <c r="D26" i="34"/>
  <c r="C26" i="34"/>
  <c r="H13" i="34"/>
  <c r="H12" i="34"/>
  <c r="H26" i="34" s="1"/>
  <c r="H11" i="34"/>
  <c r="F13" i="24"/>
  <c r="F14" i="24" s="1"/>
  <c r="D13" i="24"/>
  <c r="F12" i="24"/>
  <c r="D12" i="24"/>
  <c r="U60" i="23"/>
  <c r="T54" i="23"/>
  <c r="T60" i="23" s="1"/>
  <c r="I54" i="23"/>
  <c r="H54" i="23"/>
  <c r="G54" i="23"/>
  <c r="I51" i="23"/>
  <c r="H51" i="23"/>
  <c r="G51" i="23"/>
  <c r="I34" i="23"/>
  <c r="H34" i="23"/>
  <c r="G34" i="23"/>
  <c r="C31" i="23"/>
  <c r="C30" i="23"/>
  <c r="U27" i="23"/>
  <c r="C26" i="23"/>
  <c r="C25" i="23"/>
  <c r="C24" i="23"/>
  <c r="C23" i="23"/>
  <c r="C22" i="23"/>
  <c r="C21" i="23"/>
  <c r="C20" i="23"/>
  <c r="C19" i="23"/>
  <c r="C18" i="23"/>
  <c r="W15" i="23"/>
  <c r="W25" i="23" s="1"/>
  <c r="W45" i="23" s="1"/>
  <c r="V15" i="23"/>
  <c r="U15" i="23"/>
  <c r="T15" i="23"/>
  <c r="K15" i="23"/>
  <c r="K26" i="23" s="1"/>
  <c r="K46" i="23" s="1"/>
  <c r="J15" i="23"/>
  <c r="I15" i="23"/>
  <c r="I17" i="23" s="1"/>
  <c r="I37" i="23" s="1"/>
  <c r="H15" i="23"/>
  <c r="H17" i="23" s="1"/>
  <c r="H37" i="23" s="1"/>
  <c r="G15" i="23"/>
  <c r="F15" i="23"/>
  <c r="W54" i="23"/>
  <c r="W60" i="23" s="1"/>
  <c r="V54" i="23"/>
  <c r="V60" i="23" s="1"/>
  <c r="R54" i="23"/>
  <c r="R60" i="23" s="1"/>
  <c r="Q54" i="23"/>
  <c r="Q60" i="23" s="1"/>
  <c r="P54" i="23"/>
  <c r="P60" i="23" s="1"/>
  <c r="O54" i="23"/>
  <c r="O60" i="23" s="1"/>
  <c r="N54" i="23"/>
  <c r="N60" i="23" s="1"/>
  <c r="M54" i="23"/>
  <c r="M60" i="23" s="1"/>
  <c r="L60" i="23"/>
  <c r="K10" i="23"/>
  <c r="K60" i="23" s="1"/>
  <c r="J10" i="23"/>
  <c r="J60" i="23" s="1"/>
  <c r="I10" i="23"/>
  <c r="I60" i="23" s="1"/>
  <c r="H10" i="23"/>
  <c r="H60" i="23" s="1"/>
  <c r="G10" i="23"/>
  <c r="G60" i="23" s="1"/>
  <c r="F10" i="23"/>
  <c r="F60" i="23" s="1"/>
  <c r="W27" i="23"/>
  <c r="W31" i="23" s="1"/>
  <c r="W51" i="23" s="1"/>
  <c r="V27" i="23"/>
  <c r="T27" i="23"/>
  <c r="R27" i="23"/>
  <c r="Q27" i="23"/>
  <c r="Q29" i="23" s="1"/>
  <c r="Q49" i="23" s="1"/>
  <c r="P27" i="23"/>
  <c r="O27" i="23"/>
  <c r="N27" i="23"/>
  <c r="M27" i="23"/>
  <c r="L27" i="23"/>
  <c r="K9" i="23"/>
  <c r="K27" i="23" s="1"/>
  <c r="J9" i="23"/>
  <c r="J27" i="23" s="1"/>
  <c r="J29" i="23" s="1"/>
  <c r="J49" i="23" s="1"/>
  <c r="I9" i="23"/>
  <c r="I27" i="23" s="1"/>
  <c r="I30" i="23" s="1"/>
  <c r="I50" i="23" s="1"/>
  <c r="H9" i="23"/>
  <c r="H27" i="23" s="1"/>
  <c r="H29" i="23" s="1"/>
  <c r="H49" i="23" s="1"/>
  <c r="G9" i="23"/>
  <c r="G27" i="23" s="1"/>
  <c r="F9" i="23"/>
  <c r="F27" i="23" s="1"/>
  <c r="R15" i="23"/>
  <c r="R22" i="23" s="1"/>
  <c r="R42" i="23" s="1"/>
  <c r="Q15" i="23"/>
  <c r="P15" i="23"/>
  <c r="O15" i="23"/>
  <c r="N15" i="23"/>
  <c r="M15" i="23"/>
  <c r="L15" i="23"/>
  <c r="K60" i="22"/>
  <c r="T60" i="22"/>
  <c r="I54" i="22"/>
  <c r="H54" i="22"/>
  <c r="G54" i="22"/>
  <c r="I51" i="22"/>
  <c r="H51" i="22"/>
  <c r="G51" i="22"/>
  <c r="I34" i="22"/>
  <c r="H34" i="22"/>
  <c r="G34" i="22"/>
  <c r="C31" i="22"/>
  <c r="C30" i="22"/>
  <c r="C26" i="22"/>
  <c r="C25" i="22"/>
  <c r="C24" i="22"/>
  <c r="C23" i="22"/>
  <c r="C22" i="22"/>
  <c r="C21" i="22"/>
  <c r="C20" i="22"/>
  <c r="C19" i="22"/>
  <c r="C18" i="22"/>
  <c r="H18" i="22" s="1"/>
  <c r="H38" i="22" s="1"/>
  <c r="W15" i="22"/>
  <c r="V15" i="22"/>
  <c r="V20" i="22" s="1"/>
  <c r="V40" i="22" s="1"/>
  <c r="U15" i="22"/>
  <c r="K15" i="22"/>
  <c r="K20" i="22" s="1"/>
  <c r="K40" i="22" s="1"/>
  <c r="J15" i="22"/>
  <c r="I15" i="22"/>
  <c r="I19" i="22" s="1"/>
  <c r="I39" i="22" s="1"/>
  <c r="H15" i="22"/>
  <c r="H17" i="22" s="1"/>
  <c r="H37" i="22" s="1"/>
  <c r="G15" i="22"/>
  <c r="F15" i="22"/>
  <c r="F20" i="22" s="1"/>
  <c r="F40" i="22" s="1"/>
  <c r="W54" i="22"/>
  <c r="W60" i="22" s="1"/>
  <c r="V54" i="22"/>
  <c r="V60" i="22" s="1"/>
  <c r="U54" i="22"/>
  <c r="U60" i="22" s="1"/>
  <c r="R54" i="22"/>
  <c r="R60" i="22" s="1"/>
  <c r="Q54" i="22"/>
  <c r="P54" i="22"/>
  <c r="P60" i="22" s="1"/>
  <c r="O54" i="22"/>
  <c r="O60" i="22" s="1"/>
  <c r="N54" i="22"/>
  <c r="N60" i="22" s="1"/>
  <c r="M54" i="22"/>
  <c r="M60" i="22" s="1"/>
  <c r="L54" i="22"/>
  <c r="L60" i="22" s="1"/>
  <c r="K10" i="22"/>
  <c r="J10" i="22"/>
  <c r="J60" i="22" s="1"/>
  <c r="I10" i="22"/>
  <c r="I60" i="22" s="1"/>
  <c r="H10" i="22"/>
  <c r="H60" i="22" s="1"/>
  <c r="G10" i="22"/>
  <c r="G60" i="22" s="1"/>
  <c r="F10" i="22"/>
  <c r="F60" i="22" s="1"/>
  <c r="W27" i="22"/>
  <c r="W29" i="22" s="1"/>
  <c r="W49" i="22" s="1"/>
  <c r="V27" i="22"/>
  <c r="V29" i="22" s="1"/>
  <c r="V49" i="22" s="1"/>
  <c r="U27" i="22"/>
  <c r="R27" i="22"/>
  <c r="Q27" i="22"/>
  <c r="Q30" i="22" s="1"/>
  <c r="Q50" i="22" s="1"/>
  <c r="P27" i="22"/>
  <c r="O27" i="22"/>
  <c r="N27" i="22"/>
  <c r="M27" i="22"/>
  <c r="L27" i="22"/>
  <c r="K9" i="22"/>
  <c r="K27" i="22" s="1"/>
  <c r="K31" i="22" s="1"/>
  <c r="J9" i="22"/>
  <c r="J27" i="22" s="1"/>
  <c r="I9" i="22"/>
  <c r="I27" i="22" s="1"/>
  <c r="I29" i="22" s="1"/>
  <c r="I49" i="22" s="1"/>
  <c r="H9" i="22"/>
  <c r="H27" i="22" s="1"/>
  <c r="H30" i="22" s="1"/>
  <c r="H50" i="22" s="1"/>
  <c r="G9" i="22"/>
  <c r="G27" i="22" s="1"/>
  <c r="F9" i="22"/>
  <c r="F27" i="22" s="1"/>
  <c r="R15" i="22"/>
  <c r="Q15" i="22"/>
  <c r="P15" i="22"/>
  <c r="O15" i="22"/>
  <c r="N15" i="22"/>
  <c r="M15" i="22"/>
  <c r="L15" i="22"/>
  <c r="F23" i="21"/>
  <c r="G19" i="21"/>
  <c r="C23" i="19" s="1"/>
  <c r="E23" i="19" s="1"/>
  <c r="G23" i="19" s="1"/>
  <c r="G18" i="21"/>
  <c r="C24" i="19" s="1"/>
  <c r="C25" i="19" s="1"/>
  <c r="G17" i="21"/>
  <c r="G16" i="21"/>
  <c r="C21" i="19" s="1"/>
  <c r="E21" i="19" s="1"/>
  <c r="G21" i="19" s="1"/>
  <c r="G15" i="21"/>
  <c r="G14" i="21"/>
  <c r="C19" i="19" s="1"/>
  <c r="E19" i="19" s="1"/>
  <c r="G13" i="21"/>
  <c r="H12" i="21"/>
  <c r="G6" i="21"/>
  <c r="F25" i="20"/>
  <c r="F22" i="20"/>
  <c r="G22" i="20" s="1"/>
  <c r="D12" i="19" s="1"/>
  <c r="G21" i="20"/>
  <c r="G20" i="20"/>
  <c r="G19" i="20"/>
  <c r="G18" i="20"/>
  <c r="D11" i="19" s="1"/>
  <c r="G17" i="20"/>
  <c r="G16" i="20"/>
  <c r="D9" i="19" s="1"/>
  <c r="G15" i="20"/>
  <c r="G14" i="20"/>
  <c r="G13" i="20"/>
  <c r="D4" i="19" s="1"/>
  <c r="H12" i="20"/>
  <c r="G6" i="20"/>
  <c r="C34" i="19"/>
  <c r="D25" i="19"/>
  <c r="G22" i="19"/>
  <c r="E22" i="19"/>
  <c r="C22" i="19"/>
  <c r="C20" i="19"/>
  <c r="E20" i="19" s="1"/>
  <c r="G20" i="19" s="1"/>
  <c r="C12" i="19"/>
  <c r="E11" i="19"/>
  <c r="G11" i="19" s="1"/>
  <c r="D10" i="19"/>
  <c r="E10" i="19" s="1"/>
  <c r="G10" i="19" s="1"/>
  <c r="E9" i="19"/>
  <c r="G9" i="19" s="1"/>
  <c r="D8" i="19"/>
  <c r="E8" i="19" s="1"/>
  <c r="G8" i="19" s="1"/>
  <c r="D7" i="19"/>
  <c r="E7" i="19" s="1"/>
  <c r="G7" i="19" s="1"/>
  <c r="D6" i="19"/>
  <c r="E6" i="19" s="1"/>
  <c r="G6" i="19" s="1"/>
  <c r="D5" i="19"/>
  <c r="C5" i="19"/>
  <c r="E5" i="19" s="1"/>
  <c r="G5" i="19" s="1"/>
  <c r="C4" i="19"/>
  <c r="E4" i="19" s="1"/>
  <c r="G4" i="19" s="1"/>
  <c r="F23" i="18"/>
  <c r="G19" i="18"/>
  <c r="C23" i="16" s="1"/>
  <c r="E23" i="16" s="1"/>
  <c r="G23" i="16" s="1"/>
  <c r="G18" i="18"/>
  <c r="G17" i="18"/>
  <c r="G16" i="18"/>
  <c r="G15" i="18"/>
  <c r="G14" i="18"/>
  <c r="G13" i="18"/>
  <c r="G6" i="18"/>
  <c r="F25" i="17"/>
  <c r="G22" i="17"/>
  <c r="F22" i="17"/>
  <c r="G21" i="17"/>
  <c r="G20" i="17"/>
  <c r="G19" i="17"/>
  <c r="D6" i="16" s="1"/>
  <c r="G18" i="17"/>
  <c r="D11" i="16" s="1"/>
  <c r="G17" i="17"/>
  <c r="G16" i="17"/>
  <c r="D9" i="16" s="1"/>
  <c r="E9" i="16" s="1"/>
  <c r="G9" i="16" s="1"/>
  <c r="G15" i="17"/>
  <c r="G14" i="17"/>
  <c r="G13" i="17"/>
  <c r="G6" i="17"/>
  <c r="C34" i="16"/>
  <c r="D25" i="16"/>
  <c r="G24" i="16"/>
  <c r="E24" i="16"/>
  <c r="C24" i="16"/>
  <c r="C22" i="16"/>
  <c r="E22" i="16" s="1"/>
  <c r="G22" i="16" s="1"/>
  <c r="C21" i="16"/>
  <c r="E21" i="16" s="1"/>
  <c r="G21" i="16" s="1"/>
  <c r="C20" i="16"/>
  <c r="E20" i="16" s="1"/>
  <c r="G20" i="16" s="1"/>
  <c r="E19" i="16"/>
  <c r="C19" i="16"/>
  <c r="D12" i="16"/>
  <c r="C12" i="16"/>
  <c r="E12" i="16" s="1"/>
  <c r="G12" i="16" s="1"/>
  <c r="E11" i="16"/>
  <c r="G11" i="16" s="1"/>
  <c r="D10" i="16"/>
  <c r="E10" i="16" s="1"/>
  <c r="G10" i="16" s="1"/>
  <c r="N9" i="16"/>
  <c r="D8" i="16"/>
  <c r="E8" i="16" s="1"/>
  <c r="G8" i="16" s="1"/>
  <c r="E7" i="16"/>
  <c r="G7" i="16" s="1"/>
  <c r="D7" i="16"/>
  <c r="E6" i="16"/>
  <c r="G6" i="16" s="1"/>
  <c r="D5" i="16"/>
  <c r="C5" i="16"/>
  <c r="E5" i="16" s="1"/>
  <c r="G5" i="16" s="1"/>
  <c r="D4" i="16"/>
  <c r="C4" i="16"/>
  <c r="E4" i="16" s="1"/>
  <c r="G4" i="16" s="1"/>
  <c r="F23" i="15"/>
  <c r="G19" i="15"/>
  <c r="G18" i="15"/>
  <c r="G17" i="15"/>
  <c r="G16" i="15"/>
  <c r="G15" i="15"/>
  <c r="G14" i="15"/>
  <c r="G13" i="15"/>
  <c r="C5" i="13" s="1"/>
  <c r="G6" i="15"/>
  <c r="F25" i="14"/>
  <c r="F22" i="14"/>
  <c r="G22" i="14" s="1"/>
  <c r="G21" i="14"/>
  <c r="G20" i="14"/>
  <c r="D7" i="13" s="1"/>
  <c r="E7" i="13" s="1"/>
  <c r="G7" i="13" s="1"/>
  <c r="G19" i="14"/>
  <c r="G18" i="14"/>
  <c r="G17" i="14"/>
  <c r="G16" i="14"/>
  <c r="G15" i="14"/>
  <c r="G14" i="14"/>
  <c r="G13" i="14"/>
  <c r="D4" i="13" s="1"/>
  <c r="G6" i="14"/>
  <c r="C36" i="13"/>
  <c r="D27" i="13"/>
  <c r="C26" i="13"/>
  <c r="E26" i="13" s="1"/>
  <c r="G26" i="13" s="1"/>
  <c r="E25" i="13"/>
  <c r="G25" i="13" s="1"/>
  <c r="C25" i="13"/>
  <c r="G24" i="13"/>
  <c r="C24" i="13"/>
  <c r="E24" i="13" s="1"/>
  <c r="C23" i="13"/>
  <c r="E23" i="13" s="1"/>
  <c r="G23" i="13" s="1"/>
  <c r="E32" i="13" s="1"/>
  <c r="G22" i="13"/>
  <c r="E22" i="13"/>
  <c r="C22" i="13"/>
  <c r="C21" i="13"/>
  <c r="E21" i="13" s="1"/>
  <c r="G21" i="13" s="1"/>
  <c r="E20" i="13"/>
  <c r="G20" i="13" s="1"/>
  <c r="C20" i="13"/>
  <c r="E19" i="13"/>
  <c r="G19" i="13" s="1"/>
  <c r="C19" i="13"/>
  <c r="C12" i="13"/>
  <c r="E12" i="13" s="1"/>
  <c r="G12" i="13" s="1"/>
  <c r="E11" i="13"/>
  <c r="G11" i="13" s="1"/>
  <c r="D11" i="13"/>
  <c r="E10" i="13"/>
  <c r="G10" i="13" s="1"/>
  <c r="D10" i="13"/>
  <c r="N9" i="13"/>
  <c r="D9" i="13"/>
  <c r="E9" i="13" s="1"/>
  <c r="G9" i="13" s="1"/>
  <c r="G8" i="13"/>
  <c r="E8" i="13"/>
  <c r="D6" i="13"/>
  <c r="E6" i="13" s="1"/>
  <c r="G6" i="13" s="1"/>
  <c r="E5" i="13"/>
  <c r="G5" i="13" s="1"/>
  <c r="D5" i="13"/>
  <c r="C4" i="13"/>
  <c r="F25" i="12"/>
  <c r="G21" i="12"/>
  <c r="G20" i="12"/>
  <c r="G19" i="12"/>
  <c r="G18" i="12"/>
  <c r="G17" i="12"/>
  <c r="G16" i="12"/>
  <c r="G15" i="12"/>
  <c r="G14" i="12"/>
  <c r="G13" i="12"/>
  <c r="C5" i="10" s="1"/>
  <c r="E5" i="10" s="1"/>
  <c r="G5" i="10" s="1"/>
  <c r="G6" i="12"/>
  <c r="F25" i="11"/>
  <c r="G22" i="11"/>
  <c r="D13" i="4" s="1"/>
  <c r="G21" i="11"/>
  <c r="G20" i="11"/>
  <c r="D7" i="10" s="1"/>
  <c r="E7" i="10" s="1"/>
  <c r="G7" i="10" s="1"/>
  <c r="G19" i="11"/>
  <c r="G18" i="11"/>
  <c r="G17" i="11"/>
  <c r="D10" i="10" s="1"/>
  <c r="E10" i="10" s="1"/>
  <c r="G10" i="10" s="1"/>
  <c r="G16" i="11"/>
  <c r="D9" i="10" s="1"/>
  <c r="E9" i="10" s="1"/>
  <c r="G9" i="10" s="1"/>
  <c r="G15" i="11"/>
  <c r="G14" i="11"/>
  <c r="D5" i="10" s="1"/>
  <c r="G13" i="11"/>
  <c r="G6" i="11"/>
  <c r="C36" i="10"/>
  <c r="D27" i="10"/>
  <c r="C26" i="10"/>
  <c r="E26" i="10" s="1"/>
  <c r="G26" i="10" s="1"/>
  <c r="E25" i="10"/>
  <c r="G25" i="10" s="1"/>
  <c r="C24" i="10"/>
  <c r="G23" i="10"/>
  <c r="C23" i="10"/>
  <c r="E23" i="10" s="1"/>
  <c r="E22" i="10"/>
  <c r="G22" i="10" s="1"/>
  <c r="C22" i="10"/>
  <c r="C21" i="10"/>
  <c r="E21" i="10" s="1"/>
  <c r="G21" i="10" s="1"/>
  <c r="G20" i="10"/>
  <c r="C20" i="10"/>
  <c r="E20" i="10" s="1"/>
  <c r="C19" i="10"/>
  <c r="E19" i="10" s="1"/>
  <c r="C12" i="10"/>
  <c r="D11" i="10"/>
  <c r="E11" i="10" s="1"/>
  <c r="G11" i="10" s="1"/>
  <c r="M9" i="10"/>
  <c r="D8" i="10"/>
  <c r="E8" i="10" s="1"/>
  <c r="G8" i="10" s="1"/>
  <c r="D6" i="10"/>
  <c r="E6" i="10" s="1"/>
  <c r="G6" i="10" s="1"/>
  <c r="D4" i="10"/>
  <c r="C4" i="10"/>
  <c r="E4" i="10" s="1"/>
  <c r="G4" i="10" s="1"/>
  <c r="F25" i="9"/>
  <c r="G21" i="9"/>
  <c r="G20" i="9"/>
  <c r="G19" i="9"/>
  <c r="C24" i="7" s="1"/>
  <c r="E24" i="7" s="1"/>
  <c r="G24" i="7" s="1"/>
  <c r="G18" i="9"/>
  <c r="C25" i="7" s="1"/>
  <c r="E25" i="7" s="1"/>
  <c r="G25" i="7" s="1"/>
  <c r="G17" i="9"/>
  <c r="C23" i="7" s="1"/>
  <c r="E23" i="7" s="1"/>
  <c r="G23" i="7" s="1"/>
  <c r="G16" i="9"/>
  <c r="C22" i="7" s="1"/>
  <c r="E22" i="7" s="1"/>
  <c r="G22" i="7" s="1"/>
  <c r="G15" i="9"/>
  <c r="G14" i="9"/>
  <c r="C20" i="7" s="1"/>
  <c r="G13" i="9"/>
  <c r="G6" i="9"/>
  <c r="F25" i="8"/>
  <c r="G22" i="8"/>
  <c r="G21" i="8"/>
  <c r="D9" i="7" s="1"/>
  <c r="E9" i="7" s="1"/>
  <c r="G9" i="7" s="1"/>
  <c r="F21" i="8"/>
  <c r="G20" i="8"/>
  <c r="G19" i="8"/>
  <c r="D7" i="7" s="1"/>
  <c r="E7" i="7" s="1"/>
  <c r="G7" i="7" s="1"/>
  <c r="G18" i="8"/>
  <c r="D12" i="7" s="1"/>
  <c r="E12" i="7" s="1"/>
  <c r="G12" i="7" s="1"/>
  <c r="G17" i="8"/>
  <c r="G16" i="8"/>
  <c r="D10" i="7" s="1"/>
  <c r="E10" i="7" s="1"/>
  <c r="G10" i="7" s="1"/>
  <c r="G15" i="8"/>
  <c r="G14" i="8"/>
  <c r="G13" i="8"/>
  <c r="G6" i="8"/>
  <c r="D44" i="7"/>
  <c r="C38" i="7"/>
  <c r="D29" i="7"/>
  <c r="C28" i="7"/>
  <c r="E28" i="7" s="1"/>
  <c r="G28" i="7" s="1"/>
  <c r="C27" i="7"/>
  <c r="E27" i="7" s="1"/>
  <c r="G27" i="7" s="1"/>
  <c r="E26" i="7"/>
  <c r="G26" i="7" s="1"/>
  <c r="G21" i="7"/>
  <c r="E21" i="7"/>
  <c r="C21" i="7"/>
  <c r="C13" i="7"/>
  <c r="G11" i="7"/>
  <c r="E11" i="7"/>
  <c r="D11" i="7"/>
  <c r="D8" i="7"/>
  <c r="E8" i="7" s="1"/>
  <c r="G8" i="7" s="1"/>
  <c r="C6" i="7"/>
  <c r="D5" i="7"/>
  <c r="C5" i="7"/>
  <c r="E5" i="7" s="1"/>
  <c r="G5" i="7" s="1"/>
  <c r="G4" i="7"/>
  <c r="E4" i="7"/>
  <c r="F25" i="6"/>
  <c r="G21" i="6"/>
  <c r="G20" i="6"/>
  <c r="G19" i="6"/>
  <c r="G18" i="6"/>
  <c r="G17" i="6"/>
  <c r="C24" i="1" s="1"/>
  <c r="E24" i="1" s="1"/>
  <c r="G24" i="1" s="1"/>
  <c r="G16" i="6"/>
  <c r="G15" i="6"/>
  <c r="C22" i="1" s="1"/>
  <c r="G14" i="6"/>
  <c r="G13" i="6"/>
  <c r="G6" i="6"/>
  <c r="F25" i="5"/>
  <c r="G22" i="5"/>
  <c r="F21" i="5"/>
  <c r="G21" i="5" s="1"/>
  <c r="D9" i="4" s="1"/>
  <c r="E9" i="4" s="1"/>
  <c r="G9" i="4" s="1"/>
  <c r="G20" i="5"/>
  <c r="D8" i="4" s="1"/>
  <c r="E8" i="4" s="1"/>
  <c r="G8" i="4" s="1"/>
  <c r="G19" i="5"/>
  <c r="D7" i="4" s="1"/>
  <c r="E7" i="4" s="1"/>
  <c r="G7" i="4" s="1"/>
  <c r="G18" i="5"/>
  <c r="D12" i="4" s="1"/>
  <c r="E12" i="4" s="1"/>
  <c r="G12" i="4" s="1"/>
  <c r="G17" i="5"/>
  <c r="G16" i="5"/>
  <c r="G15" i="5"/>
  <c r="G14" i="5"/>
  <c r="D6" i="4" s="1"/>
  <c r="E6" i="4" s="1"/>
  <c r="G6" i="4" s="1"/>
  <c r="G13" i="5"/>
  <c r="D5" i="4" s="1"/>
  <c r="G6" i="5"/>
  <c r="C40" i="4"/>
  <c r="D31" i="4"/>
  <c r="C30" i="4"/>
  <c r="E30" i="4" s="1"/>
  <c r="G30" i="4" s="1"/>
  <c r="C28" i="4"/>
  <c r="E28" i="4" s="1"/>
  <c r="G28" i="4" s="1"/>
  <c r="C27" i="4"/>
  <c r="E27" i="4" s="1"/>
  <c r="G27" i="4" s="1"/>
  <c r="E26" i="4"/>
  <c r="G26" i="4" s="1"/>
  <c r="C26" i="4"/>
  <c r="C25" i="4"/>
  <c r="E25" i="4" s="1"/>
  <c r="G25" i="4" s="1"/>
  <c r="C24" i="4"/>
  <c r="E24" i="4" s="1"/>
  <c r="G24" i="4" s="1"/>
  <c r="C23" i="4"/>
  <c r="E23" i="4" s="1"/>
  <c r="G23" i="4" s="1"/>
  <c r="C21" i="4"/>
  <c r="E21" i="4" s="1"/>
  <c r="G15" i="4"/>
  <c r="G14" i="4"/>
  <c r="C13" i="4"/>
  <c r="D11" i="4"/>
  <c r="E11" i="4" s="1"/>
  <c r="G11" i="4" s="1"/>
  <c r="E10" i="4"/>
  <c r="G10" i="4" s="1"/>
  <c r="D10" i="4"/>
  <c r="C6" i="4"/>
  <c r="C5" i="4"/>
  <c r="E5" i="4" s="1"/>
  <c r="G5" i="4" s="1"/>
  <c r="E4" i="4"/>
  <c r="G4" i="4" s="1"/>
  <c r="F25" i="3"/>
  <c r="G21" i="3"/>
  <c r="G20" i="3"/>
  <c r="G19" i="3"/>
  <c r="G18" i="3"/>
  <c r="G17" i="3"/>
  <c r="G16" i="3"/>
  <c r="G15" i="3"/>
  <c r="G14" i="3"/>
  <c r="G13" i="3"/>
  <c r="G6" i="3"/>
  <c r="F25" i="2"/>
  <c r="G22" i="2"/>
  <c r="G21" i="2"/>
  <c r="G20" i="2"/>
  <c r="G19" i="2"/>
  <c r="G18" i="2"/>
  <c r="G17" i="2"/>
  <c r="G16" i="2"/>
  <c r="G15" i="2"/>
  <c r="D6" i="1" s="1"/>
  <c r="G14" i="2"/>
  <c r="G13" i="2"/>
  <c r="G6" i="2"/>
  <c r="C37" i="1"/>
  <c r="C41" i="1" s="1"/>
  <c r="D32" i="1"/>
  <c r="C31" i="1"/>
  <c r="E31" i="1" s="1"/>
  <c r="G31" i="1" s="1"/>
  <c r="E30" i="1"/>
  <c r="G30" i="1" s="1"/>
  <c r="C30" i="1"/>
  <c r="C28" i="1"/>
  <c r="E28" i="1" s="1"/>
  <c r="G28" i="1" s="1"/>
  <c r="C27" i="1"/>
  <c r="E27" i="1" s="1"/>
  <c r="G27" i="1" s="1"/>
  <c r="C26" i="1"/>
  <c r="E26" i="1" s="1"/>
  <c r="G26" i="1" s="1"/>
  <c r="E25" i="1"/>
  <c r="G25" i="1" s="1"/>
  <c r="C25" i="1"/>
  <c r="C23" i="1"/>
  <c r="E23" i="1" s="1"/>
  <c r="G23" i="1" s="1"/>
  <c r="C21" i="1"/>
  <c r="E21" i="1" s="1"/>
  <c r="G15" i="1"/>
  <c r="G14" i="1"/>
  <c r="D13" i="1"/>
  <c r="C13" i="1"/>
  <c r="E13" i="1" s="1"/>
  <c r="G13" i="1" s="1"/>
  <c r="D12" i="1"/>
  <c r="E12" i="1" s="1"/>
  <c r="G12" i="1" s="1"/>
  <c r="D11" i="1"/>
  <c r="E11" i="1" s="1"/>
  <c r="G11" i="1" s="1"/>
  <c r="D10" i="1"/>
  <c r="E10" i="1" s="1"/>
  <c r="G10" i="1" s="1"/>
  <c r="D9" i="1"/>
  <c r="E9" i="1" s="1"/>
  <c r="G9" i="1" s="1"/>
  <c r="D8" i="1"/>
  <c r="E8" i="1" s="1"/>
  <c r="G8" i="1" s="1"/>
  <c r="E7" i="1"/>
  <c r="G7" i="1" s="1"/>
  <c r="D7" i="1"/>
  <c r="C6" i="1"/>
  <c r="D5" i="1"/>
  <c r="C5" i="1"/>
  <c r="E5" i="1" s="1"/>
  <c r="G5" i="1" s="1"/>
  <c r="G4" i="1"/>
  <c r="E4" i="1"/>
  <c r="C27" i="10" l="1"/>
  <c r="H21" i="23"/>
  <c r="H41" i="23" s="1"/>
  <c r="T23" i="23"/>
  <c r="T43" i="23" s="1"/>
  <c r="K22" i="23"/>
  <c r="K42" i="23" s="1"/>
  <c r="M30" i="23"/>
  <c r="M50" i="23" s="1"/>
  <c r="F22" i="23"/>
  <c r="F42" i="23" s="1"/>
  <c r="V26" i="23"/>
  <c r="V46" i="23" s="1"/>
  <c r="K25" i="23"/>
  <c r="K45" i="23" s="1"/>
  <c r="G30" i="23"/>
  <c r="G50" i="23" s="1"/>
  <c r="F17" i="23"/>
  <c r="F37" i="23" s="1"/>
  <c r="G23" i="23"/>
  <c r="G43" i="23" s="1"/>
  <c r="Q25" i="23"/>
  <c r="Q45" i="23" s="1"/>
  <c r="U22" i="23"/>
  <c r="U42" i="23" s="1"/>
  <c r="G24" i="23"/>
  <c r="G44" i="23" s="1"/>
  <c r="G17" i="23"/>
  <c r="G37" i="23" s="1"/>
  <c r="S20" i="23"/>
  <c r="S40" i="23" s="1"/>
  <c r="J25" i="23"/>
  <c r="J45" i="23" s="1"/>
  <c r="G22" i="23"/>
  <c r="G42" i="23" s="1"/>
  <c r="J30" i="23"/>
  <c r="J50" i="23" s="1"/>
  <c r="G26" i="23"/>
  <c r="G46" i="23" s="1"/>
  <c r="F21" i="23"/>
  <c r="F41" i="23" s="1"/>
  <c r="G25" i="23"/>
  <c r="G45" i="23" s="1"/>
  <c r="I25" i="23"/>
  <c r="I45" i="23" s="1"/>
  <c r="P25" i="23"/>
  <c r="P45" i="23" s="1"/>
  <c r="F17" i="22"/>
  <c r="F37" i="22" s="1"/>
  <c r="I25" i="22"/>
  <c r="I45" i="22" s="1"/>
  <c r="F26" i="22"/>
  <c r="F46" i="22" s="1"/>
  <c r="Q23" i="22"/>
  <c r="Q43" i="22" s="1"/>
  <c r="T26" i="22"/>
  <c r="T46" i="22" s="1"/>
  <c r="F25" i="22"/>
  <c r="F45" i="22" s="1"/>
  <c r="I22" i="22"/>
  <c r="I42" i="22" s="1"/>
  <c r="J29" i="22"/>
  <c r="J49" i="22" s="1"/>
  <c r="J31" i="22"/>
  <c r="I20" i="22"/>
  <c r="I40" i="22" s="1"/>
  <c r="K17" i="22"/>
  <c r="K37" i="22" s="1"/>
  <c r="O18" i="22"/>
  <c r="O38" i="22" s="1"/>
  <c r="F22" i="22"/>
  <c r="F42" i="22" s="1"/>
  <c r="K25" i="22"/>
  <c r="K45" i="22" s="1"/>
  <c r="R22" i="22"/>
  <c r="R42" i="22" s="1"/>
  <c r="U22" i="22"/>
  <c r="U42" i="22" s="1"/>
  <c r="K22" i="22"/>
  <c r="K42" i="22" s="1"/>
  <c r="K26" i="22"/>
  <c r="K46" i="22" s="1"/>
  <c r="M30" i="22"/>
  <c r="M50" i="22" s="1"/>
  <c r="S23" i="22"/>
  <c r="S43" i="22" s="1"/>
  <c r="L22" i="22"/>
  <c r="L42" i="22" s="1"/>
  <c r="G30" i="22"/>
  <c r="G50" i="22" s="1"/>
  <c r="G19" i="22"/>
  <c r="G39" i="22" s="1"/>
  <c r="W21" i="22"/>
  <c r="W41" i="22" s="1"/>
  <c r="U24" i="23"/>
  <c r="U44" i="23" s="1"/>
  <c r="W24" i="23"/>
  <c r="W44" i="23" s="1"/>
  <c r="W17" i="23"/>
  <c r="W37" i="23" s="1"/>
  <c r="S31" i="23"/>
  <c r="S51" i="23" s="1"/>
  <c r="S29" i="23"/>
  <c r="S49" i="23" s="1"/>
  <c r="W23" i="23"/>
  <c r="W43" i="23" s="1"/>
  <c r="U25" i="23"/>
  <c r="U45" i="23" s="1"/>
  <c r="T17" i="23"/>
  <c r="T37" i="23" s="1"/>
  <c r="P26" i="23"/>
  <c r="P46" i="23" s="1"/>
  <c r="Q23" i="23"/>
  <c r="Q43" i="23" s="1"/>
  <c r="R17" i="23"/>
  <c r="R37" i="23" s="1"/>
  <c r="Q21" i="23"/>
  <c r="Q41" i="23" s="1"/>
  <c r="R23" i="23"/>
  <c r="R43" i="23" s="1"/>
  <c r="R26" i="23"/>
  <c r="R46" i="23" s="1"/>
  <c r="T26" i="23"/>
  <c r="T46" i="23" s="1"/>
  <c r="T22" i="23"/>
  <c r="T42" i="23" s="1"/>
  <c r="T24" i="23"/>
  <c r="T44" i="23" s="1"/>
  <c r="T25" i="23"/>
  <c r="T45" i="23" s="1"/>
  <c r="W26" i="23"/>
  <c r="W46" i="23" s="1"/>
  <c r="V25" i="22"/>
  <c r="V45" i="22" s="1"/>
  <c r="N22" i="22"/>
  <c r="N42" i="22" s="1"/>
  <c r="N21" i="22"/>
  <c r="N41" i="22" s="1"/>
  <c r="P20" i="22"/>
  <c r="P40" i="22" s="1"/>
  <c r="P25" i="22"/>
  <c r="P45" i="22" s="1"/>
  <c r="O19" i="22"/>
  <c r="O39" i="22" s="1"/>
  <c r="V19" i="22"/>
  <c r="V39" i="22" s="1"/>
  <c r="V22" i="22"/>
  <c r="V42" i="22" s="1"/>
  <c r="U25" i="22"/>
  <c r="U45" i="22" s="1"/>
  <c r="O29" i="22"/>
  <c r="O49" i="22" s="1"/>
  <c r="O30" i="22"/>
  <c r="O50" i="22" s="1"/>
  <c r="P31" i="22"/>
  <c r="P51" i="22" s="1"/>
  <c r="P30" i="22"/>
  <c r="P50" i="22" s="1"/>
  <c r="P29" i="22"/>
  <c r="P49" i="22" s="1"/>
  <c r="P26" i="22"/>
  <c r="P46" i="22" s="1"/>
  <c r="N20" i="22"/>
  <c r="N40" i="22" s="1"/>
  <c r="Q26" i="22"/>
  <c r="Q46" i="22" s="1"/>
  <c r="M31" i="22"/>
  <c r="M51" i="22" s="1"/>
  <c r="P17" i="22"/>
  <c r="P37" i="22" s="1"/>
  <c r="V17" i="22"/>
  <c r="V37" i="22" s="1"/>
  <c r="O31" i="22"/>
  <c r="O51" i="22" s="1"/>
  <c r="E12" i="19"/>
  <c r="G12" i="19" s="1"/>
  <c r="E4" i="13"/>
  <c r="G4" i="13" s="1"/>
  <c r="E13" i="4"/>
  <c r="G13" i="4" s="1"/>
  <c r="F3" i="19"/>
  <c r="W30" i="23"/>
  <c r="W50" i="23" s="1"/>
  <c r="W29" i="23"/>
  <c r="W49" i="23" s="1"/>
  <c r="W59" i="23" s="1"/>
  <c r="U26" i="22"/>
  <c r="U46" i="22" s="1"/>
  <c r="U21" i="22"/>
  <c r="U41" i="22" s="1"/>
  <c r="U20" i="22"/>
  <c r="U40" i="22" s="1"/>
  <c r="T25" i="22"/>
  <c r="T45" i="22" s="1"/>
  <c r="T21" i="22"/>
  <c r="T41" i="22" s="1"/>
  <c r="G20" i="37"/>
  <c r="S26" i="22"/>
  <c r="S46" i="22" s="1"/>
  <c r="S22" i="22"/>
  <c r="S42" i="22" s="1"/>
  <c r="G21" i="4"/>
  <c r="G21" i="1"/>
  <c r="G19" i="10"/>
  <c r="E32" i="19"/>
  <c r="E34" i="10"/>
  <c r="E6" i="1"/>
  <c r="G6" i="1" s="1"/>
  <c r="E22" i="1"/>
  <c r="G22" i="1" s="1"/>
  <c r="E34" i="13"/>
  <c r="E36" i="13" s="1"/>
  <c r="E20" i="7"/>
  <c r="C29" i="7"/>
  <c r="G27" i="13"/>
  <c r="U29" i="22"/>
  <c r="U49" i="22" s="1"/>
  <c r="U31" i="22"/>
  <c r="U51" i="22" s="1"/>
  <c r="U30" i="22"/>
  <c r="U50" i="22" s="1"/>
  <c r="G19" i="19"/>
  <c r="K24" i="22"/>
  <c r="K44" i="22" s="1"/>
  <c r="I24" i="22"/>
  <c r="I44" i="22" s="1"/>
  <c r="F24" i="22"/>
  <c r="F44" i="22" s="1"/>
  <c r="V24" i="22"/>
  <c r="V44" i="22" s="1"/>
  <c r="U24" i="22"/>
  <c r="U44" i="22" s="1"/>
  <c r="R23" i="22"/>
  <c r="R43" i="22" s="1"/>
  <c r="R26" i="22"/>
  <c r="R46" i="22" s="1"/>
  <c r="R21" i="22"/>
  <c r="R41" i="22" s="1"/>
  <c r="R20" i="22"/>
  <c r="R40" i="22" s="1"/>
  <c r="R19" i="22"/>
  <c r="R39" i="22" s="1"/>
  <c r="R18" i="22"/>
  <c r="R38" i="22" s="1"/>
  <c r="R17" i="22"/>
  <c r="R37" i="22" s="1"/>
  <c r="V30" i="22"/>
  <c r="V50" i="22" s="1"/>
  <c r="V31" i="22"/>
  <c r="V51" i="22" s="1"/>
  <c r="J24" i="22"/>
  <c r="J44" i="22" s="1"/>
  <c r="E16" i="10"/>
  <c r="E24" i="10"/>
  <c r="G24" i="10" s="1"/>
  <c r="F31" i="22"/>
  <c r="F30" i="22"/>
  <c r="F50" i="22" s="1"/>
  <c r="F29" i="22"/>
  <c r="F49" i="22" s="1"/>
  <c r="Q24" i="22"/>
  <c r="Q44" i="22" s="1"/>
  <c r="I30" i="22"/>
  <c r="I50" i="22" s="1"/>
  <c r="I59" i="22" s="1"/>
  <c r="W23" i="22"/>
  <c r="W43" i="22" s="1"/>
  <c r="W20" i="22"/>
  <c r="W40" i="22" s="1"/>
  <c r="W26" i="22"/>
  <c r="W46" i="22" s="1"/>
  <c r="W25" i="22"/>
  <c r="W45" i="22" s="1"/>
  <c r="W22" i="22"/>
  <c r="W42" i="22" s="1"/>
  <c r="R24" i="22"/>
  <c r="R44" i="22" s="1"/>
  <c r="W19" i="22"/>
  <c r="W39" i="22" s="1"/>
  <c r="W24" i="22"/>
  <c r="W44" i="22" s="1"/>
  <c r="K30" i="23"/>
  <c r="K50" i="23" s="1"/>
  <c r="K29" i="23"/>
  <c r="K49" i="23" s="1"/>
  <c r="K31" i="23"/>
  <c r="U31" i="23"/>
  <c r="U51" i="23" s="1"/>
  <c r="U30" i="23"/>
  <c r="U50" i="23" s="1"/>
  <c r="U29" i="23"/>
  <c r="U49" i="23" s="1"/>
  <c r="D13" i="7"/>
  <c r="E13" i="7" s="1"/>
  <c r="G13" i="7" s="1"/>
  <c r="C25" i="16"/>
  <c r="E24" i="19"/>
  <c r="G24" i="19" s="1"/>
  <c r="L30" i="23"/>
  <c r="L50" i="23" s="1"/>
  <c r="L29" i="23"/>
  <c r="L49" i="23" s="1"/>
  <c r="L31" i="23"/>
  <c r="L51" i="23" s="1"/>
  <c r="E25" i="16"/>
  <c r="G23" i="22"/>
  <c r="G43" i="22" s="1"/>
  <c r="G18" i="22"/>
  <c r="G38" i="22" s="1"/>
  <c r="G17" i="22"/>
  <c r="G37" i="22" s="1"/>
  <c r="G26" i="22"/>
  <c r="G46" i="22" s="1"/>
  <c r="G25" i="22"/>
  <c r="G45" i="22" s="1"/>
  <c r="G24" i="22"/>
  <c r="G44" i="22" s="1"/>
  <c r="G22" i="22"/>
  <c r="G42" i="22" s="1"/>
  <c r="G20" i="22"/>
  <c r="G40" i="22" s="1"/>
  <c r="K18" i="23"/>
  <c r="K38" i="23" s="1"/>
  <c r="H18" i="23"/>
  <c r="H38" i="23" s="1"/>
  <c r="G18" i="23"/>
  <c r="G38" i="23" s="1"/>
  <c r="W18" i="23"/>
  <c r="W38" i="23" s="1"/>
  <c r="F3" i="16"/>
  <c r="G19" i="16"/>
  <c r="K30" i="22"/>
  <c r="K50" i="22" s="1"/>
  <c r="K29" i="22"/>
  <c r="K49" i="22" s="1"/>
  <c r="H21" i="22"/>
  <c r="H41" i="22" s="1"/>
  <c r="H25" i="22"/>
  <c r="H45" i="22" s="1"/>
  <c r="H24" i="22"/>
  <c r="H44" i="22" s="1"/>
  <c r="H23" i="22"/>
  <c r="H43" i="22" s="1"/>
  <c r="H22" i="22"/>
  <c r="H42" i="22" s="1"/>
  <c r="H19" i="22"/>
  <c r="H39" i="22" s="1"/>
  <c r="H20" i="22"/>
  <c r="H40" i="22" s="1"/>
  <c r="N20" i="23"/>
  <c r="N40" i="23" s="1"/>
  <c r="N23" i="23"/>
  <c r="N43" i="23" s="1"/>
  <c r="N19" i="23"/>
  <c r="N39" i="23" s="1"/>
  <c r="N18" i="23"/>
  <c r="N38" i="23" s="1"/>
  <c r="N17" i="23"/>
  <c r="N37" i="23" s="1"/>
  <c r="N24" i="23"/>
  <c r="N44" i="23" s="1"/>
  <c r="N22" i="23"/>
  <c r="N42" i="23" s="1"/>
  <c r="N21" i="23"/>
  <c r="N41" i="23" s="1"/>
  <c r="N26" i="23"/>
  <c r="N46" i="23" s="1"/>
  <c r="N25" i="23"/>
  <c r="N45" i="23" s="1"/>
  <c r="Q18" i="23"/>
  <c r="Q38" i="23" s="1"/>
  <c r="E32" i="16"/>
  <c r="L30" i="22"/>
  <c r="L50" i="22" s="1"/>
  <c r="L29" i="22"/>
  <c r="L49" i="22" s="1"/>
  <c r="L31" i="22"/>
  <c r="L51" i="22" s="1"/>
  <c r="K54" i="22"/>
  <c r="K34" i="22"/>
  <c r="L26" i="23"/>
  <c r="L46" i="23" s="1"/>
  <c r="L20" i="23"/>
  <c r="L40" i="23" s="1"/>
  <c r="L18" i="23"/>
  <c r="L38" i="23" s="1"/>
  <c r="L19" i="23"/>
  <c r="L39" i="23" s="1"/>
  <c r="L17" i="23"/>
  <c r="L37" i="23" s="1"/>
  <c r="L23" i="23"/>
  <c r="L43" i="23" s="1"/>
  <c r="L25" i="23"/>
  <c r="L45" i="23" s="1"/>
  <c r="L24" i="23"/>
  <c r="L44" i="23" s="1"/>
  <c r="L22" i="23"/>
  <c r="L42" i="23" s="1"/>
  <c r="L21" i="23"/>
  <c r="L41" i="23" s="1"/>
  <c r="O30" i="23"/>
  <c r="O50" i="23" s="1"/>
  <c r="O29" i="23"/>
  <c r="O49" i="23" s="1"/>
  <c r="O31" i="23"/>
  <c r="O51" i="23" s="1"/>
  <c r="H19" i="23"/>
  <c r="H39" i="23" s="1"/>
  <c r="G19" i="23"/>
  <c r="G39" i="23" s="1"/>
  <c r="W19" i="23"/>
  <c r="W39" i="23" s="1"/>
  <c r="R19" i="23"/>
  <c r="R39" i="23" s="1"/>
  <c r="J22" i="22"/>
  <c r="J42" i="22" s="1"/>
  <c r="J26" i="22"/>
  <c r="J46" i="22" s="1"/>
  <c r="J25" i="22"/>
  <c r="J45" i="22" s="1"/>
  <c r="J23" i="22"/>
  <c r="J43" i="22" s="1"/>
  <c r="J21" i="22"/>
  <c r="J41" i="22" s="1"/>
  <c r="J20" i="22"/>
  <c r="J40" i="22" s="1"/>
  <c r="J19" i="22"/>
  <c r="J39" i="22" s="1"/>
  <c r="J17" i="22"/>
  <c r="J37" i="22" s="1"/>
  <c r="W17" i="22"/>
  <c r="W37" i="22" s="1"/>
  <c r="M25" i="23"/>
  <c r="M45" i="23" s="1"/>
  <c r="M18" i="23"/>
  <c r="M38" i="23" s="1"/>
  <c r="M19" i="23"/>
  <c r="M39" i="23" s="1"/>
  <c r="M17" i="23"/>
  <c r="M37" i="23" s="1"/>
  <c r="M23" i="23"/>
  <c r="M43" i="23" s="1"/>
  <c r="M20" i="23"/>
  <c r="M40" i="23" s="1"/>
  <c r="M24" i="23"/>
  <c r="M44" i="23" s="1"/>
  <c r="M22" i="23"/>
  <c r="M42" i="23" s="1"/>
  <c r="M21" i="23"/>
  <c r="M41" i="23" s="1"/>
  <c r="M26" i="23"/>
  <c r="M46" i="23" s="1"/>
  <c r="P30" i="23"/>
  <c r="P50" i="23" s="1"/>
  <c r="P29" i="23"/>
  <c r="P49" i="23" s="1"/>
  <c r="P31" i="23"/>
  <c r="P51" i="23" s="1"/>
  <c r="S19" i="23"/>
  <c r="S39" i="23" s="1"/>
  <c r="C27" i="13"/>
  <c r="N30" i="22"/>
  <c r="N50" i="22" s="1"/>
  <c r="N29" i="22"/>
  <c r="N49" i="22" s="1"/>
  <c r="N31" i="22"/>
  <c r="N51" i="22" s="1"/>
  <c r="V18" i="22"/>
  <c r="V38" i="22" s="1"/>
  <c r="F18" i="22"/>
  <c r="F38" i="22" s="1"/>
  <c r="N18" i="22"/>
  <c r="N38" i="22" s="1"/>
  <c r="K18" i="22"/>
  <c r="K38" i="22" s="1"/>
  <c r="I18" i="22"/>
  <c r="I38" i="22" s="1"/>
  <c r="R25" i="22"/>
  <c r="R45" i="22" s="1"/>
  <c r="Q31" i="22"/>
  <c r="Q51" i="22" s="1"/>
  <c r="S23" i="23"/>
  <c r="S43" i="23" s="1"/>
  <c r="S18" i="23"/>
  <c r="S38" i="23" s="1"/>
  <c r="S17" i="23"/>
  <c r="S37" i="23" s="1"/>
  <c r="S26" i="23"/>
  <c r="S46" i="23" s="1"/>
  <c r="S22" i="23"/>
  <c r="S42" i="23" s="1"/>
  <c r="S25" i="23"/>
  <c r="S45" i="23" s="1"/>
  <c r="S24" i="23"/>
  <c r="S44" i="23" s="1"/>
  <c r="W20" i="23"/>
  <c r="W40" i="23" s="1"/>
  <c r="G20" i="23"/>
  <c r="G40" i="23" s="1"/>
  <c r="I20" i="23"/>
  <c r="I40" i="23" s="1"/>
  <c r="H20" i="23"/>
  <c r="H40" i="23" s="1"/>
  <c r="R20" i="23"/>
  <c r="R40" i="23" s="1"/>
  <c r="Q20" i="23"/>
  <c r="Q40" i="23" s="1"/>
  <c r="C22" i="4"/>
  <c r="L25" i="22"/>
  <c r="L45" i="22" s="1"/>
  <c r="L26" i="22"/>
  <c r="L46" i="22" s="1"/>
  <c r="L24" i="22"/>
  <c r="L44" i="22" s="1"/>
  <c r="L23" i="22"/>
  <c r="L43" i="22" s="1"/>
  <c r="L21" i="22"/>
  <c r="L41" i="22" s="1"/>
  <c r="L20" i="22"/>
  <c r="L40" i="22" s="1"/>
  <c r="L19" i="22"/>
  <c r="L39" i="22" s="1"/>
  <c r="L18" i="22"/>
  <c r="L38" i="22" s="1"/>
  <c r="L17" i="22"/>
  <c r="L37" i="22" s="1"/>
  <c r="N23" i="22"/>
  <c r="N43" i="22" s="1"/>
  <c r="I23" i="22"/>
  <c r="I43" i="22" s="1"/>
  <c r="F23" i="22"/>
  <c r="F43" i="22" s="1"/>
  <c r="V23" i="22"/>
  <c r="V43" i="22" s="1"/>
  <c r="O25" i="23"/>
  <c r="O45" i="23" s="1"/>
  <c r="O19" i="23"/>
  <c r="O39" i="23" s="1"/>
  <c r="O24" i="23"/>
  <c r="O44" i="23" s="1"/>
  <c r="O23" i="23"/>
  <c r="O43" i="23" s="1"/>
  <c r="O22" i="23"/>
  <c r="O42" i="23" s="1"/>
  <c r="O21" i="23"/>
  <c r="O41" i="23" s="1"/>
  <c r="O20" i="23"/>
  <c r="O40" i="23" s="1"/>
  <c r="O26" i="23"/>
  <c r="O46" i="23" s="1"/>
  <c r="O18" i="23"/>
  <c r="O38" i="23" s="1"/>
  <c r="O17" i="23"/>
  <c r="O37" i="23" s="1"/>
  <c r="R30" i="23"/>
  <c r="R50" i="23" s="1"/>
  <c r="R29" i="23"/>
  <c r="R49" i="23" s="1"/>
  <c r="R31" i="23"/>
  <c r="R51" i="23" s="1"/>
  <c r="D12" i="10"/>
  <c r="E12" i="10" s="1"/>
  <c r="G12" i="10" s="1"/>
  <c r="M21" i="22"/>
  <c r="M41" i="22" s="1"/>
  <c r="M26" i="22"/>
  <c r="M46" i="22" s="1"/>
  <c r="M25" i="22"/>
  <c r="M45" i="22" s="1"/>
  <c r="M24" i="22"/>
  <c r="M44" i="22" s="1"/>
  <c r="M23" i="22"/>
  <c r="M43" i="22" s="1"/>
  <c r="M22" i="22"/>
  <c r="M42" i="22" s="1"/>
  <c r="M20" i="22"/>
  <c r="M40" i="22" s="1"/>
  <c r="M19" i="22"/>
  <c r="M39" i="22" s="1"/>
  <c r="M18" i="22"/>
  <c r="M38" i="22" s="1"/>
  <c r="M17" i="22"/>
  <c r="M37" i="22" s="1"/>
  <c r="J18" i="22"/>
  <c r="J38" i="22" s="1"/>
  <c r="V21" i="22"/>
  <c r="V41" i="22" s="1"/>
  <c r="P21" i="22"/>
  <c r="P41" i="22" s="1"/>
  <c r="K21" i="22"/>
  <c r="K41" i="22" s="1"/>
  <c r="I21" i="22"/>
  <c r="I41" i="22" s="1"/>
  <c r="F21" i="22"/>
  <c r="F41" i="22" s="1"/>
  <c r="K23" i="22"/>
  <c r="K43" i="22" s="1"/>
  <c r="T31" i="23"/>
  <c r="T51" i="23" s="1"/>
  <c r="T30" i="23"/>
  <c r="T50" i="23" s="1"/>
  <c r="T29" i="23"/>
  <c r="T49" i="23" s="1"/>
  <c r="G21" i="22"/>
  <c r="G41" i="22" s="1"/>
  <c r="E27" i="13"/>
  <c r="O24" i="22"/>
  <c r="O44" i="22" s="1"/>
  <c r="O26" i="22"/>
  <c r="O46" i="22" s="1"/>
  <c r="O25" i="22"/>
  <c r="O45" i="22" s="1"/>
  <c r="O23" i="22"/>
  <c r="O43" i="22" s="1"/>
  <c r="O22" i="22"/>
  <c r="O42" i="22" s="1"/>
  <c r="O21" i="22"/>
  <c r="O41" i="22" s="1"/>
  <c r="O20" i="22"/>
  <c r="O40" i="22" s="1"/>
  <c r="O17" i="22"/>
  <c r="O37" i="22" s="1"/>
  <c r="R31" i="22"/>
  <c r="R51" i="22" s="1"/>
  <c r="R30" i="22"/>
  <c r="R50" i="22" s="1"/>
  <c r="R29" i="22"/>
  <c r="R49" i="22" s="1"/>
  <c r="Q25" i="22"/>
  <c r="Q45" i="22" s="1"/>
  <c r="Q18" i="22"/>
  <c r="Q38" i="22" s="1"/>
  <c r="Q22" i="22"/>
  <c r="Q42" i="22" s="1"/>
  <c r="Q21" i="22"/>
  <c r="Q41" i="22" s="1"/>
  <c r="Q20" i="22"/>
  <c r="Q40" i="22" s="1"/>
  <c r="Q19" i="22"/>
  <c r="Q39" i="22" s="1"/>
  <c r="Q17" i="22"/>
  <c r="Q37" i="22" s="1"/>
  <c r="W18" i="22"/>
  <c r="W38" i="22" s="1"/>
  <c r="K51" i="22"/>
  <c r="V29" i="23"/>
  <c r="V49" i="23" s="1"/>
  <c r="V31" i="23"/>
  <c r="V51" i="23" s="1"/>
  <c r="V30" i="23"/>
  <c r="V50" i="23" s="1"/>
  <c r="D6" i="7"/>
  <c r="E6" i="7" s="1"/>
  <c r="G6" i="7" s="1"/>
  <c r="T31" i="22"/>
  <c r="T51" i="22" s="1"/>
  <c r="T30" i="22"/>
  <c r="T50" i="22" s="1"/>
  <c r="T29" i="22"/>
  <c r="T49" i="22" s="1"/>
  <c r="F19" i="22"/>
  <c r="F39" i="22" s="1"/>
  <c r="K19" i="22"/>
  <c r="K39" i="22" s="1"/>
  <c r="U23" i="22"/>
  <c r="U43" i="22" s="1"/>
  <c r="H26" i="22"/>
  <c r="H46" i="22" s="1"/>
  <c r="Q29" i="22"/>
  <c r="Q49" i="22" s="1"/>
  <c r="F29" i="23"/>
  <c r="F49" i="23" s="1"/>
  <c r="F31" i="23"/>
  <c r="F30" i="23"/>
  <c r="F50" i="23" s="1"/>
  <c r="S21" i="23"/>
  <c r="S41" i="23" s="1"/>
  <c r="P24" i="23"/>
  <c r="P44" i="23" s="1"/>
  <c r="P17" i="23"/>
  <c r="P37" i="23" s="1"/>
  <c r="P19" i="23"/>
  <c r="P39" i="23" s="1"/>
  <c r="J51" i="22"/>
  <c r="Q19" i="23"/>
  <c r="Q39" i="23" s="1"/>
  <c r="Q22" i="23"/>
  <c r="Q42" i="23" s="1"/>
  <c r="Q17" i="23"/>
  <c r="Q37" i="23" s="1"/>
  <c r="P18" i="23"/>
  <c r="P38" i="23" s="1"/>
  <c r="R21" i="23"/>
  <c r="R41" i="23" s="1"/>
  <c r="D14" i="24"/>
  <c r="V26" i="22"/>
  <c r="V46" i="22" s="1"/>
  <c r="R24" i="23"/>
  <c r="R44" i="23" s="1"/>
  <c r="R18" i="23"/>
  <c r="R38" i="23" s="1"/>
  <c r="T18" i="23"/>
  <c r="T38" i="23" s="1"/>
  <c r="T21" i="23"/>
  <c r="T41" i="23" s="1"/>
  <c r="T19" i="23"/>
  <c r="T39" i="23" s="1"/>
  <c r="T20" i="23"/>
  <c r="T40" i="23" s="1"/>
  <c r="U21" i="23"/>
  <c r="U41" i="23" s="1"/>
  <c r="V23" i="23"/>
  <c r="V43" i="23" s="1"/>
  <c r="V24" i="23"/>
  <c r="V44" i="23" s="1"/>
  <c r="V25" i="23"/>
  <c r="V45" i="23" s="1"/>
  <c r="N26" i="22"/>
  <c r="N46" i="22" s="1"/>
  <c r="N19" i="22"/>
  <c r="N39" i="22" s="1"/>
  <c r="U23" i="23"/>
  <c r="U43" i="23" s="1"/>
  <c r="U17" i="23"/>
  <c r="U37" i="23" s="1"/>
  <c r="U26" i="23"/>
  <c r="U46" i="23" s="1"/>
  <c r="U18" i="23"/>
  <c r="U38" i="23" s="1"/>
  <c r="U19" i="23"/>
  <c r="U39" i="23" s="1"/>
  <c r="U20" i="23"/>
  <c r="U40" i="23" s="1"/>
  <c r="V21" i="23"/>
  <c r="V41" i="23" s="1"/>
  <c r="W22" i="23"/>
  <c r="W42" i="23" s="1"/>
  <c r="S27" i="22"/>
  <c r="N17" i="22"/>
  <c r="N37" i="22" s="1"/>
  <c r="G29" i="22"/>
  <c r="G49" i="22" s="1"/>
  <c r="V22" i="23"/>
  <c r="V42" i="23" s="1"/>
  <c r="V17" i="23"/>
  <c r="V37" i="23" s="1"/>
  <c r="V18" i="23"/>
  <c r="V38" i="23" s="1"/>
  <c r="V19" i="23"/>
  <c r="V39" i="23" s="1"/>
  <c r="V20" i="23"/>
  <c r="V40" i="23" s="1"/>
  <c r="W21" i="23"/>
  <c r="W41" i="23" s="1"/>
  <c r="G29" i="23"/>
  <c r="G49" i="23" s="1"/>
  <c r="G59" i="23" s="1"/>
  <c r="J31" i="23"/>
  <c r="H29" i="22"/>
  <c r="H49" i="22" s="1"/>
  <c r="H59" i="22" s="1"/>
  <c r="F23" i="23"/>
  <c r="F43" i="23" s="1"/>
  <c r="F24" i="23"/>
  <c r="F44" i="23" s="1"/>
  <c r="F25" i="23"/>
  <c r="F45" i="23" s="1"/>
  <c r="F26" i="23"/>
  <c r="F46" i="23" s="1"/>
  <c r="I29" i="23"/>
  <c r="I49" i="23" s="1"/>
  <c r="I59" i="23" s="1"/>
  <c r="H30" i="23"/>
  <c r="H50" i="23" s="1"/>
  <c r="H59" i="23" s="1"/>
  <c r="P18" i="22"/>
  <c r="P38" i="22" s="1"/>
  <c r="P19" i="22"/>
  <c r="P39" i="22" s="1"/>
  <c r="J30" i="22"/>
  <c r="J50" i="22" s="1"/>
  <c r="H22" i="23"/>
  <c r="H42" i="23" s="1"/>
  <c r="H25" i="23"/>
  <c r="H45" i="23" s="1"/>
  <c r="F18" i="23"/>
  <c r="F38" i="23" s="1"/>
  <c r="F19" i="23"/>
  <c r="F39" i="23" s="1"/>
  <c r="F20" i="23"/>
  <c r="F40" i="23" s="1"/>
  <c r="G21" i="23"/>
  <c r="G41" i="23" s="1"/>
  <c r="I22" i="23"/>
  <c r="I42" i="23" s="1"/>
  <c r="H23" i="23"/>
  <c r="H43" i="23" s="1"/>
  <c r="H24" i="23"/>
  <c r="H44" i="23" s="1"/>
  <c r="H26" i="23"/>
  <c r="H46" i="23" s="1"/>
  <c r="M31" i="23"/>
  <c r="M51" i="23" s="1"/>
  <c r="W31" i="22"/>
  <c r="W51" i="22" s="1"/>
  <c r="W30" i="22"/>
  <c r="W50" i="22" s="1"/>
  <c r="S19" i="22"/>
  <c r="S39" i="22" s="1"/>
  <c r="I21" i="23"/>
  <c r="I41" i="23" s="1"/>
  <c r="J22" i="23"/>
  <c r="J42" i="23" s="1"/>
  <c r="I23" i="23"/>
  <c r="I43" i="23" s="1"/>
  <c r="I24" i="23"/>
  <c r="I44" i="23" s="1"/>
  <c r="I26" i="23"/>
  <c r="I46" i="23" s="1"/>
  <c r="T24" i="22"/>
  <c r="T44" i="22" s="1"/>
  <c r="T17" i="22"/>
  <c r="T37" i="22" s="1"/>
  <c r="S17" i="22"/>
  <c r="S37" i="22" s="1"/>
  <c r="S18" i="22"/>
  <c r="S38" i="22" s="1"/>
  <c r="M29" i="22"/>
  <c r="M49" i="22" s="1"/>
  <c r="M59" i="22" s="1"/>
  <c r="J26" i="23"/>
  <c r="J46" i="23" s="1"/>
  <c r="J19" i="23"/>
  <c r="J39" i="23" s="1"/>
  <c r="J21" i="23"/>
  <c r="J41" i="23" s="1"/>
  <c r="J23" i="23"/>
  <c r="J43" i="23" s="1"/>
  <c r="J24" i="23"/>
  <c r="J44" i="23" s="1"/>
  <c r="M29" i="23"/>
  <c r="M49" i="23" s="1"/>
  <c r="U17" i="22"/>
  <c r="U37" i="22" s="1"/>
  <c r="T18" i="22"/>
  <c r="T38" i="22" s="1"/>
  <c r="T19" i="22"/>
  <c r="T39" i="22" s="1"/>
  <c r="S20" i="22"/>
  <c r="S40" i="22" s="1"/>
  <c r="P22" i="22"/>
  <c r="P42" i="22" s="1"/>
  <c r="N24" i="22"/>
  <c r="N44" i="22" s="1"/>
  <c r="N25" i="22"/>
  <c r="N45" i="22" s="1"/>
  <c r="K21" i="23"/>
  <c r="K41" i="23" s="1"/>
  <c r="K24" i="23"/>
  <c r="K44" i="23" s="1"/>
  <c r="J17" i="23"/>
  <c r="J37" i="23" s="1"/>
  <c r="I18" i="23"/>
  <c r="I38" i="23" s="1"/>
  <c r="I19" i="23"/>
  <c r="I39" i="23" s="1"/>
  <c r="J20" i="23"/>
  <c r="J40" i="23" s="1"/>
  <c r="K23" i="23"/>
  <c r="K43" i="23" s="1"/>
  <c r="N31" i="23"/>
  <c r="N51" i="23" s="1"/>
  <c r="N30" i="23"/>
  <c r="N50" i="23" s="1"/>
  <c r="N29" i="23"/>
  <c r="N49" i="23" s="1"/>
  <c r="Q31" i="23"/>
  <c r="Q51" i="23" s="1"/>
  <c r="U18" i="22"/>
  <c r="U38" i="22" s="1"/>
  <c r="U19" i="22"/>
  <c r="U39" i="22" s="1"/>
  <c r="T20" i="22"/>
  <c r="T40" i="22" s="1"/>
  <c r="S21" i="22"/>
  <c r="S41" i="22" s="1"/>
  <c r="P23" i="22"/>
  <c r="P43" i="22" s="1"/>
  <c r="P24" i="22"/>
  <c r="P44" i="22" s="1"/>
  <c r="K17" i="23"/>
  <c r="K37" i="23" s="1"/>
  <c r="J18" i="23"/>
  <c r="J38" i="23" s="1"/>
  <c r="K19" i="23"/>
  <c r="K39" i="23" s="1"/>
  <c r="K20" i="23"/>
  <c r="K40" i="23" s="1"/>
  <c r="Q30" i="23"/>
  <c r="Q50" i="23" s="1"/>
  <c r="I17" i="22"/>
  <c r="I37" i="22" s="1"/>
  <c r="I26" i="22"/>
  <c r="I46" i="22" s="1"/>
  <c r="T22" i="22"/>
  <c r="T42" i="22" s="1"/>
  <c r="T23" i="22"/>
  <c r="T43" i="22" s="1"/>
  <c r="S24" i="22"/>
  <c r="S44" i="22" s="1"/>
  <c r="S25" i="22"/>
  <c r="S45" i="22" s="1"/>
  <c r="P20" i="23"/>
  <c r="P40" i="23" s="1"/>
  <c r="P21" i="23"/>
  <c r="P41" i="23" s="1"/>
  <c r="P22" i="23"/>
  <c r="P42" i="23" s="1"/>
  <c r="P23" i="23"/>
  <c r="P43" i="23" s="1"/>
  <c r="Q24" i="23"/>
  <c r="Q44" i="23" s="1"/>
  <c r="R25" i="23"/>
  <c r="R45" i="23" s="1"/>
  <c r="Q26" i="23"/>
  <c r="Q46" i="23" s="1"/>
  <c r="S30" i="23"/>
  <c r="S50" i="23" s="1"/>
  <c r="J58" i="23" l="1"/>
  <c r="J59" i="22"/>
  <c r="G59" i="22"/>
  <c r="J54" i="22"/>
  <c r="J34" i="22"/>
  <c r="F58" i="23"/>
  <c r="I58" i="23"/>
  <c r="I61" i="23" s="1"/>
  <c r="G58" i="23"/>
  <c r="G61" i="23" s="1"/>
  <c r="K59" i="22"/>
  <c r="F58" i="22"/>
  <c r="K58" i="22"/>
  <c r="H58" i="22"/>
  <c r="H61" i="22" s="1"/>
  <c r="O59" i="22"/>
  <c r="S59" i="23"/>
  <c r="Q59" i="23"/>
  <c r="M59" i="23"/>
  <c r="T59" i="23"/>
  <c r="N59" i="23"/>
  <c r="T58" i="23"/>
  <c r="T61" i="23" s="1"/>
  <c r="R58" i="23"/>
  <c r="P59" i="23"/>
  <c r="O59" i="23"/>
  <c r="W58" i="23"/>
  <c r="W61" i="23" s="1"/>
  <c r="Q61" i="22"/>
  <c r="U58" i="22"/>
  <c r="W59" i="22"/>
  <c r="P59" i="22"/>
  <c r="N59" i="22"/>
  <c r="V59" i="22"/>
  <c r="T59" i="22"/>
  <c r="M58" i="22"/>
  <c r="M61" i="22" s="1"/>
  <c r="F12" i="17" s="1"/>
  <c r="G12" i="17" s="1"/>
  <c r="V58" i="22"/>
  <c r="P58" i="22"/>
  <c r="S58" i="23"/>
  <c r="C29" i="4"/>
  <c r="E29" i="4" s="1"/>
  <c r="G29" i="4" s="1"/>
  <c r="C29" i="1"/>
  <c r="G20" i="7"/>
  <c r="G29" i="7" s="1"/>
  <c r="E34" i="7" s="1"/>
  <c r="E38" i="7" s="1"/>
  <c r="E29" i="7"/>
  <c r="I58" i="22"/>
  <c r="I61" i="22" s="1"/>
  <c r="S58" i="22"/>
  <c r="F54" i="23"/>
  <c r="F51" i="23"/>
  <c r="F59" i="23" s="1"/>
  <c r="F34" i="23"/>
  <c r="G58" i="22"/>
  <c r="G61" i="22" s="1"/>
  <c r="K51" i="23"/>
  <c r="K59" i="23" s="1"/>
  <c r="K34" i="23"/>
  <c r="K54" i="23"/>
  <c r="L58" i="23"/>
  <c r="N58" i="23"/>
  <c r="J34" i="23"/>
  <c r="J54" i="23"/>
  <c r="J51" i="23"/>
  <c r="J59" i="23" s="1"/>
  <c r="J61" i="23" s="1"/>
  <c r="Q58" i="23"/>
  <c r="E22" i="4"/>
  <c r="C31" i="4"/>
  <c r="G25" i="16"/>
  <c r="E30" i="16"/>
  <c r="E34" i="16" s="1"/>
  <c r="F54" i="22"/>
  <c r="F51" i="22"/>
  <c r="F59" i="22" s="1"/>
  <c r="F34" i="22"/>
  <c r="T58" i="22"/>
  <c r="M58" i="23"/>
  <c r="L59" i="23"/>
  <c r="K58" i="23"/>
  <c r="R59" i="22"/>
  <c r="H58" i="23"/>
  <c r="H61" i="23" s="1"/>
  <c r="E25" i="19"/>
  <c r="E32" i="10"/>
  <c r="E36" i="10" s="1"/>
  <c r="G27" i="10"/>
  <c r="L59" i="22"/>
  <c r="E30" i="19"/>
  <c r="E34" i="19" s="1"/>
  <c r="G25" i="19"/>
  <c r="E27" i="10"/>
  <c r="V58" i="23"/>
  <c r="O58" i="22"/>
  <c r="R59" i="23"/>
  <c r="D34" i="22"/>
  <c r="L58" i="22"/>
  <c r="R58" i="22"/>
  <c r="U59" i="22"/>
  <c r="N58" i="22"/>
  <c r="V59" i="23"/>
  <c r="O58" i="23"/>
  <c r="J58" i="22"/>
  <c r="J61" i="22" s="1"/>
  <c r="P58" i="23"/>
  <c r="W58" i="22"/>
  <c r="S30" i="22"/>
  <c r="S50" i="22" s="1"/>
  <c r="S29" i="22"/>
  <c r="S49" i="22" s="1"/>
  <c r="S31" i="22"/>
  <c r="S51" i="22" s="1"/>
  <c r="F14" i="39" l="1"/>
  <c r="F12" i="5"/>
  <c r="G12" i="5" s="1"/>
  <c r="G23" i="5" s="1"/>
  <c r="F61" i="23"/>
  <c r="F61" i="22"/>
  <c r="K61" i="22"/>
  <c r="P61" i="23"/>
  <c r="F12" i="9" s="1"/>
  <c r="G12" i="9" s="1"/>
  <c r="G23" i="9" s="1"/>
  <c r="Q61" i="23"/>
  <c r="F12" i="6" s="1"/>
  <c r="G12" i="6" s="1"/>
  <c r="G23" i="6" s="1"/>
  <c r="S61" i="23"/>
  <c r="F14" i="35" s="1"/>
  <c r="O61" i="22"/>
  <c r="F12" i="11" s="1"/>
  <c r="G12" i="11" s="1"/>
  <c r="U61" i="22"/>
  <c r="F12" i="42" s="1"/>
  <c r="G12" i="42" s="1"/>
  <c r="H12" i="45" s="1"/>
  <c r="D3" i="4"/>
  <c r="D16" i="4" s="1"/>
  <c r="H12" i="2"/>
  <c r="M61" i="23"/>
  <c r="F12" i="18" s="1"/>
  <c r="G12" i="18" s="1"/>
  <c r="C3" i="16" s="1"/>
  <c r="R61" i="23"/>
  <c r="F12" i="3" s="1"/>
  <c r="G12" i="3" s="1"/>
  <c r="H14" i="35" s="1"/>
  <c r="U61" i="23"/>
  <c r="F14" i="42" s="1"/>
  <c r="I14" i="42" s="1"/>
  <c r="N61" i="23"/>
  <c r="F12" i="15" s="1"/>
  <c r="G12" i="15" s="1"/>
  <c r="G21" i="15" s="1"/>
  <c r="O61" i="23"/>
  <c r="C3" i="10" s="1"/>
  <c r="T34" i="23"/>
  <c r="S34" i="23"/>
  <c r="L61" i="23"/>
  <c r="F12" i="21" s="1"/>
  <c r="G12" i="21" s="1"/>
  <c r="V61" i="23"/>
  <c r="F14" i="45" s="1"/>
  <c r="W61" i="22"/>
  <c r="N61" i="22"/>
  <c r="F12" i="14" s="1"/>
  <c r="G12" i="14" s="1"/>
  <c r="D3" i="13" s="1"/>
  <c r="D14" i="13" s="1"/>
  <c r="H12" i="11"/>
  <c r="V61" i="22"/>
  <c r="F12" i="45" s="1"/>
  <c r="G12" i="45" s="1"/>
  <c r="G16" i="45" s="1"/>
  <c r="T61" i="22"/>
  <c r="P61" i="22"/>
  <c r="F12" i="8" s="1"/>
  <c r="G12" i="8" s="1"/>
  <c r="G23" i="8" s="1"/>
  <c r="H12" i="14"/>
  <c r="S34" i="22"/>
  <c r="T34" i="22"/>
  <c r="G23" i="17"/>
  <c r="D3" i="16"/>
  <c r="D14" i="16" s="1"/>
  <c r="G22" i="4"/>
  <c r="G31" i="4" s="1"/>
  <c r="E36" i="4" s="1"/>
  <c r="E40" i="4" s="1"/>
  <c r="E31" i="4"/>
  <c r="R61" i="22"/>
  <c r="F12" i="2" s="1"/>
  <c r="G12" i="2" s="1"/>
  <c r="O34" i="22"/>
  <c r="W34" i="22" s="1"/>
  <c r="P34" i="22"/>
  <c r="N34" i="22"/>
  <c r="V34" i="22" s="1"/>
  <c r="M34" i="22"/>
  <c r="L34" i="22"/>
  <c r="R34" i="22"/>
  <c r="Q34" i="22"/>
  <c r="S59" i="22"/>
  <c r="S61" i="22" s="1"/>
  <c r="F12" i="35" s="1"/>
  <c r="E29" i="1"/>
  <c r="C32" i="1"/>
  <c r="R34" i="23"/>
  <c r="P34" i="23"/>
  <c r="Q34" i="23"/>
  <c r="O34" i="23"/>
  <c r="W34" i="23" s="1"/>
  <c r="N34" i="23"/>
  <c r="V34" i="23" s="1"/>
  <c r="M34" i="23"/>
  <c r="K61" i="23"/>
  <c r="L61" i="22"/>
  <c r="F12" i="20" s="1"/>
  <c r="G12" i="20" s="1"/>
  <c r="D3" i="10"/>
  <c r="D14" i="10" s="1"/>
  <c r="I13" i="49" l="1"/>
  <c r="J13" i="49" s="1"/>
  <c r="F12" i="39"/>
  <c r="G12" i="39" s="1"/>
  <c r="C3" i="7"/>
  <c r="H12" i="6"/>
  <c r="G3" i="4" s="1"/>
  <c r="G16" i="4" s="1"/>
  <c r="C3" i="4"/>
  <c r="H12" i="3"/>
  <c r="H13" i="3" s="1"/>
  <c r="H14" i="3" s="1"/>
  <c r="G21" i="18"/>
  <c r="H12" i="15"/>
  <c r="H13" i="15" s="1"/>
  <c r="H14" i="15" s="1"/>
  <c r="H12" i="12"/>
  <c r="I14" i="35"/>
  <c r="J14" i="35" s="1"/>
  <c r="C3" i="1"/>
  <c r="C16" i="1" s="1"/>
  <c r="H14" i="39"/>
  <c r="I14" i="39" s="1"/>
  <c r="J14" i="39" s="1"/>
  <c r="H13" i="14"/>
  <c r="H14" i="14" s="1"/>
  <c r="H12" i="18"/>
  <c r="H13" i="18" s="1"/>
  <c r="H14" i="18" s="1"/>
  <c r="G14" i="42"/>
  <c r="G16" i="42" s="1"/>
  <c r="G20" i="42" s="1"/>
  <c r="H20" i="42" s="1"/>
  <c r="G23" i="3"/>
  <c r="C3" i="13"/>
  <c r="E3" i="13" s="1"/>
  <c r="F12" i="12"/>
  <c r="G12" i="12" s="1"/>
  <c r="G23" i="14"/>
  <c r="I12" i="45"/>
  <c r="J12" i="45" s="1"/>
  <c r="I12" i="39"/>
  <c r="J12" i="39" s="1"/>
  <c r="D3" i="7"/>
  <c r="D15" i="7" s="1"/>
  <c r="H12" i="5"/>
  <c r="H13" i="5" s="1"/>
  <c r="H14" i="5" s="1"/>
  <c r="G21" i="45"/>
  <c r="H21" i="45" s="1"/>
  <c r="G20" i="45"/>
  <c r="H20" i="45" s="1"/>
  <c r="G16" i="39"/>
  <c r="H12" i="42"/>
  <c r="I12" i="42" s="1"/>
  <c r="J12" i="42" s="1"/>
  <c r="I12" i="35"/>
  <c r="G12" i="35"/>
  <c r="E3" i="4"/>
  <c r="C16" i="4"/>
  <c r="G21" i="21"/>
  <c r="C3" i="19"/>
  <c r="H13" i="21"/>
  <c r="H14" i="21" s="1"/>
  <c r="G29" i="1"/>
  <c r="G32" i="1" s="1"/>
  <c r="E37" i="1" s="1"/>
  <c r="E41" i="1" s="1"/>
  <c r="E32" i="1"/>
  <c r="C14" i="10"/>
  <c r="E3" i="10"/>
  <c r="H12" i="17"/>
  <c r="H13" i="17" s="1"/>
  <c r="H14" i="17" s="1"/>
  <c r="H13" i="20"/>
  <c r="H14" i="20" s="1"/>
  <c r="G23" i="20"/>
  <c r="D3" i="19"/>
  <c r="D14" i="19" s="1"/>
  <c r="H12" i="8"/>
  <c r="H13" i="8" s="1"/>
  <c r="H14" i="8" s="1"/>
  <c r="H13" i="11"/>
  <c r="H14" i="11" s="1"/>
  <c r="G23" i="11"/>
  <c r="F3" i="1"/>
  <c r="C15" i="7"/>
  <c r="E3" i="16"/>
  <c r="C14" i="16"/>
  <c r="G23" i="2"/>
  <c r="D3" i="1"/>
  <c r="D16" i="1" s="1"/>
  <c r="H13" i="2"/>
  <c r="H14" i="2" s="1"/>
  <c r="G12" i="49" l="1"/>
  <c r="I12" i="49"/>
  <c r="J12" i="49" s="1"/>
  <c r="G23" i="49"/>
  <c r="H23" i="49" s="1"/>
  <c r="G22" i="49"/>
  <c r="H22" i="49" s="1"/>
  <c r="G17" i="49"/>
  <c r="K3" i="4"/>
  <c r="N25" i="1"/>
  <c r="H13" i="6"/>
  <c r="H14" i="6" s="1"/>
  <c r="H13" i="12"/>
  <c r="H14" i="12" s="1"/>
  <c r="H14" i="45"/>
  <c r="I14" i="45" s="1"/>
  <c r="J14" i="45" s="1"/>
  <c r="G21" i="42"/>
  <c r="H21" i="42" s="1"/>
  <c r="J14" i="42"/>
  <c r="G23" i="12"/>
  <c r="C14" i="13"/>
  <c r="H12" i="9"/>
  <c r="H13" i="9" s="1"/>
  <c r="H14" i="9" s="1"/>
  <c r="J12" i="35"/>
  <c r="E3" i="7"/>
  <c r="E15" i="7" s="1"/>
  <c r="E3" i="1"/>
  <c r="G3" i="1" s="1"/>
  <c r="G20" i="39"/>
  <c r="H20" i="39" s="1"/>
  <c r="G21" i="39"/>
  <c r="G16" i="35"/>
  <c r="G20" i="35" s="1"/>
  <c r="H20" i="35" s="1"/>
  <c r="H3" i="10"/>
  <c r="G3" i="10"/>
  <c r="E14" i="10"/>
  <c r="F3" i="10"/>
  <c r="F4" i="10" s="1"/>
  <c r="F5" i="10" s="1"/>
  <c r="G3" i="13"/>
  <c r="E14" i="13"/>
  <c r="E14" i="16"/>
  <c r="F4" i="16"/>
  <c r="F5" i="16" s="1"/>
  <c r="G3" i="16"/>
  <c r="F3" i="13" s="1"/>
  <c r="F4" i="13" s="1"/>
  <c r="F5" i="13" s="1"/>
  <c r="D37" i="4"/>
  <c r="F37" i="4" s="1"/>
  <c r="D36" i="4"/>
  <c r="D38" i="4"/>
  <c r="F38" i="4" s="1"/>
  <c r="D50" i="4" s="1"/>
  <c r="D51" i="4" s="1"/>
  <c r="C14" i="19"/>
  <c r="E3" i="19"/>
  <c r="H3" i="4"/>
  <c r="E16" i="4"/>
  <c r="H5" i="4" s="1"/>
  <c r="H24" i="49" l="1"/>
  <c r="H3" i="7"/>
  <c r="G3" i="7"/>
  <c r="G15" i="7" s="1"/>
  <c r="H3" i="1"/>
  <c r="J3" i="1" s="1"/>
  <c r="J9" i="1" s="1"/>
  <c r="F3" i="4"/>
  <c r="F4" i="4" s="1"/>
  <c r="F5" i="4" s="1"/>
  <c r="F4" i="7"/>
  <c r="F5" i="7" s="1"/>
  <c r="F4" i="1"/>
  <c r="F5" i="1" s="1"/>
  <c r="E16" i="1"/>
  <c r="H5" i="1" s="1"/>
  <c r="D32" i="16"/>
  <c r="F32" i="16" s="1"/>
  <c r="D31" i="16"/>
  <c r="F31" i="16" s="1"/>
  <c r="G14" i="16"/>
  <c r="D30" i="16"/>
  <c r="G14" i="13"/>
  <c r="D34" i="13"/>
  <c r="F34" i="13" s="1"/>
  <c r="D33" i="13"/>
  <c r="F33" i="13" s="1"/>
  <c r="D32" i="13"/>
  <c r="J3" i="4"/>
  <c r="J9" i="4" s="1"/>
  <c r="I3" i="4"/>
  <c r="I9" i="4" s="1"/>
  <c r="F4" i="19"/>
  <c r="F5" i="19" s="1"/>
  <c r="E14" i="19"/>
  <c r="G3" i="19"/>
  <c r="J3" i="7"/>
  <c r="J9" i="7" s="1"/>
  <c r="I3" i="7"/>
  <c r="I9" i="7" s="1"/>
  <c r="I36" i="4"/>
  <c r="I37" i="4" s="1"/>
  <c r="F36" i="4"/>
  <c r="D40" i="4"/>
  <c r="D36" i="7"/>
  <c r="F36" i="7" s="1"/>
  <c r="H5" i="7"/>
  <c r="D34" i="7"/>
  <c r="D35" i="7"/>
  <c r="F35" i="7" s="1"/>
  <c r="K3" i="1"/>
  <c r="G16" i="1"/>
  <c r="K4" i="1"/>
  <c r="G14" i="10"/>
  <c r="D33" i="10"/>
  <c r="F33" i="10" s="1"/>
  <c r="D32" i="10"/>
  <c r="H4" i="10"/>
  <c r="F17" i="10"/>
  <c r="D34" i="10"/>
  <c r="F34" i="10" s="1"/>
  <c r="I3" i="10"/>
  <c r="I8" i="10" s="1"/>
  <c r="J3" i="10"/>
  <c r="J8" i="10" s="1"/>
  <c r="I3" i="1" l="1"/>
  <c r="I9" i="1" s="1"/>
  <c r="F32" i="10"/>
  <c r="F36" i="10" s="1"/>
  <c r="I32" i="10"/>
  <c r="I33" i="10" s="1"/>
  <c r="D36" i="10"/>
  <c r="G14" i="19"/>
  <c r="D32" i="19"/>
  <c r="F32" i="19" s="1"/>
  <c r="D30" i="19"/>
  <c r="D31" i="19"/>
  <c r="F31" i="19" s="1"/>
  <c r="D39" i="1"/>
  <c r="F39" i="1" s="1"/>
  <c r="D38" i="1"/>
  <c r="F38" i="1" s="1"/>
  <c r="D37" i="1"/>
  <c r="D36" i="13"/>
  <c r="F32" i="13"/>
  <c r="F36" i="13" s="1"/>
  <c r="I34" i="7"/>
  <c r="I35" i="7" s="1"/>
  <c r="F34" i="7"/>
  <c r="F38" i="7" s="1"/>
  <c r="D38" i="7"/>
  <c r="F30" i="16"/>
  <c r="F34" i="16" s="1"/>
  <c r="D34" i="16"/>
  <c r="D44" i="4"/>
  <c r="D48" i="4" s="1"/>
  <c r="D53" i="4" s="1"/>
  <c r="F40" i="4"/>
  <c r="D41" i="1" l="1"/>
  <c r="I37" i="1"/>
  <c r="I38" i="1" s="1"/>
  <c r="F37" i="1"/>
  <c r="D34" i="19"/>
  <c r="F30" i="19"/>
  <c r="F34" i="19" s="1"/>
  <c r="D45" i="1" l="1"/>
  <c r="D49" i="1" s="1"/>
  <c r="F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Laura Vinazco </author>
  </authors>
  <commentList>
    <comment ref="F13" authorId="0" shapeId="0" xr:uid="{6E1C2206-95F0-8D44-BA80-DE147553F0E8}">
      <text>
        <r>
          <rPr>
            <b/>
            <sz val="10"/>
            <color rgb="FF000000"/>
            <rFont val="Tahoma"/>
            <family val="2"/>
          </rPr>
          <t>Laura Vinazco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Incluye el ajuste de los 50 dolares facturados de mas en Dic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Laura Vinazco </author>
  </authors>
  <commentList>
    <comment ref="G16" authorId="0" shapeId="0" xr:uid="{1E13FF77-552D-BB49-A97B-8A9721AC88AD}">
      <text>
        <r>
          <rPr>
            <b/>
            <sz val="10"/>
            <color rgb="FF000000"/>
            <rFont val="Tahoma"/>
            <family val="2"/>
          </rPr>
          <t>Laura Vinazco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Datatek
</t>
        </r>
        <r>
          <rPr>
            <sz val="10"/>
            <color rgb="FF000000"/>
            <rFont val="Tahoma"/>
            <family val="2"/>
          </rPr>
          <t xml:space="preserve">Claro SIP
</t>
        </r>
        <r>
          <rPr>
            <sz val="10"/>
            <color rgb="FF000000"/>
            <rFont val="Tahoma"/>
            <family val="2"/>
          </rPr>
          <t xml:space="preserve">WorldNet
</t>
        </r>
        <r>
          <rPr>
            <sz val="10"/>
            <color rgb="FF000000"/>
            <rFont val="Tahoma"/>
            <family val="2"/>
          </rPr>
          <t xml:space="preserve">Neptuno
</t>
        </r>
        <r>
          <rPr>
            <sz val="10"/>
            <color rgb="FF000000"/>
            <rFont val="Tahoma"/>
            <family val="2"/>
          </rPr>
          <t>Comisiones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lvinazco</author>
  </authors>
  <commentList>
    <comment ref="G14" authorId="0" shapeId="0" xr:uid="{827CDC23-3575-C94C-8823-38984A4824DC}">
      <text>
        <r>
          <rPr>
            <b/>
            <sz val="9"/>
            <color rgb="FF000000"/>
            <rFont val="Tahoma"/>
            <family val="2"/>
          </rPr>
          <t>lvinazco: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 factura la misma cabina del mes anterior por disminución mayor al 5%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lvinazco</author>
  </authors>
  <commentList>
    <comment ref="G14" authorId="0" shapeId="0" xr:uid="{AD8D73C5-05BC-C046-91C6-D6F8A1579E4A}">
      <text>
        <r>
          <rPr>
            <b/>
            <sz val="9"/>
            <color rgb="FF000000"/>
            <rFont val="Tahoma"/>
            <family val="2"/>
          </rPr>
          <t>lvinazco: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 factura la misma cabina del mes anterior por disminución mayor al 5%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lvinazco</author>
  </authors>
  <commentList>
    <comment ref="G14" authorId="0" shapeId="0" xr:uid="{D1EA1CBB-3AE0-3A40-A663-FD62415C5FB6}">
      <text>
        <r>
          <rPr>
            <b/>
            <sz val="9"/>
            <color rgb="FF000000"/>
            <rFont val="Tahoma"/>
            <family val="2"/>
          </rPr>
          <t>lvinazco: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 factura la misma cabina del mes anterior por disminución mayor al 5%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lvinazco</author>
  </authors>
  <commentList>
    <comment ref="G14" authorId="0" shapeId="0" xr:uid="{1AA2F53B-4F36-40D7-95C1-F440A0D5F26D}">
      <text>
        <r>
          <rPr>
            <b/>
            <sz val="9"/>
            <color rgb="FF000000"/>
            <rFont val="Tahoma"/>
            <family val="2"/>
          </rPr>
          <t>lvinazco: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 factura la misma cabina del mes anterior por disminución mayor al 5%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======
ID#AAABUhcJyLk
Diana Bedoya    (2024-08-27 21:49:31)
$22,000 Equipo Contable PR
      $860.00 Persona Comercial  
      $750.00 Ingreso Nuevo
$23,610.00 Total
MCS  $18.553</t>
        </r>
      </text>
    </comment>
    <comment ref="E1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ID#AAABUhcJyNo
lvinazco    (2024-08-27 21:49:31)
Se cobra el servicio de Geolocalizacion - Junio</t>
        </r>
      </text>
    </comment>
    <comment ref="E1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ID#AAABUhcJyNA
lvinazco    (2024-08-27 21:49:31)
Se refacturan los servicios de Whatapp Mayo, junio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s4gRtZIkVFMJhztI9L8DnwJjDoQ=="/>
    </ext>
  </extL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======
ID#AAABUhcJyOA
lvinazco    (2024-08-27 21:49:31)
Cada licencia de Gmail tiene un costo de 12,50 usd en 2024</t>
        </r>
      </text>
    </comment>
    <comment ref="F1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======
ID#AAABUhcJyN0
lvinazco    (2024-08-27 21:49:31)
Bilbioteca SAP Junio - Julio</t>
        </r>
      </text>
    </comment>
    <comment ref="F1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======
ID#AAABUhcJyL8
Andrea Lopez    (2024-08-27 21:49:31)
$1.260 usd anuales</t>
        </r>
      </text>
    </comment>
    <comment ref="F1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ID#AAABUhcJyQM
Andrea Lopez    (2024-08-27 21:49:31)
$1.050 usd anuales</t>
        </r>
      </text>
    </comment>
    <comment ref="F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ID#AAABUhcJyO4
Andrea Lopez    (2024-08-27 21:49:31)
$4.200 usd anuales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a2twu/jKx+k2yMZvVjV0QRHE05g=="/>
    </ext>
  </extL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======
ID#AAABUhcJyNU
lvinazco    (2024-08-27 21:49:31)
Liliana 3.965
Guillermo Tamayo 15.000</t>
        </r>
      </text>
    </comment>
    <comment ref="F1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======
ID#AAABUhcJyMQ
Diana Bedoya    (2024-08-27 21:49:31)
Incremento salarial Liliana Caro del 7% de sus honorarios 2023 a partir de Marzo 2024</t>
        </r>
      </text>
    </comment>
    <comment ref="D18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ID#AAABUhcJyQk
Diana Bedoya    (2024-08-27 21:49:31)
$30.000 Bono GT 23
$5.947 Bono LC 23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otM34Uf+0zII3Zg/4OOec9MxVjw=="/>
    </ext>
  </extL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3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======
ID#AAABUhcJyLU
lvinazco    (2024-08-27 21:49:31)
Se factura la cabina del mes anterior por politica de disminucion mayor al 5%</t>
        </r>
      </text>
    </comment>
    <comment ref="D9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======
ID#AAABUhcJyNs
Diana Bedoya    (2024-08-27 21:49:31)
$22,000 Equipo Contable PR
      $860.00 Persona Comercial  
      $140.00 Horas Extras
$23,000.00 Total
MCS  $17.051</t>
        </r>
      </text>
    </comment>
    <comment ref="E1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======
ID#AAABUhcJyQI
lvinazco    (2024-08-27 21:49:31)
Se refacturan los servicios de geolocalizacion de febrero, Marzo, Abril, Mayo y Junio</t>
        </r>
      </text>
    </comment>
    <comment ref="E1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======
ID#AAABUhcJyQg
lvinazco    (2024-08-27 21:49:31)
Se refacturan los servicios de Enero, febrero, marzo y abril de WhatsApp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5fIiYQKfOm6aTN8LWlOXHZm5KwA=="/>
    </ext>
  </extL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3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======
ID#AAABUhcJyLE
lvinazco    (2024-08-27 21:49:31)
Cada licencia de Gmail tiene un costo de 12,50 usd en 2024</t>
        </r>
      </text>
    </comment>
    <comment ref="F15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======
ID#AAABUhcJyOc
lvinazco    (2024-08-27 21:49:31)
Bilbioteca SAP Junio - Julio</t>
        </r>
      </text>
    </comment>
    <comment ref="F16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======
ID#AAABUhcJyPc
Andrea Lopez    (2024-08-27 21:49:31)
$1.260 usd anuales</t>
        </r>
      </text>
    </comment>
    <comment ref="F17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======
ID#AAABUhcJyN4
Andrea Lopez    (2024-08-27 21:49:31)
$1.050 usd anuales</t>
        </r>
      </text>
    </comment>
    <comment ref="F18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======
ID#AAABUhcJyQA
Andrea Lopez    (2024-08-27 21:49:31)
$4.200 usd anuales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BElhGXEqVC6ZzC5pfPaOwu+6dag=="/>
    </ext>
  </extL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======
ID#AAABUhcJyMk
lvinazco    (2024-08-27 21:49:31)
Liliana 3.965
Guillermo Tamayo 15.000</t>
        </r>
      </text>
    </comment>
    <comment ref="F1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======
ID#AAABUhcJyPk
Diana Bedoya    (2024-08-27 21:49:31)
Incremento salarial Liliana Caro del 7% de sus honorarios 2023 a partir de Marzo 2024</t>
        </r>
      </text>
    </comment>
    <comment ref="D18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======
ID#AAABUhcJyO8
Diana Bedoya    (2024-08-27 21:49:31)
$30.000 Bono GT 23
$5.947 Bono LC 23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y4vLhbiiCS5OdoYFGY391z77F7A=="/>
    </ext>
  </extL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9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======
ID#AAABUhcJyLg
Diana Bedoya    (2024-08-27 21:49:31)
$22,000 Equipo Contable PR
      $860.00 Persona Comercial  
      $140.00 Horas Extras
$23,000.00 Total
MCS  $17.051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pfzok/8Y3N6C6NKoEYUiYVMMSvw=="/>
    </ext>
  </extL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3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======
ID#AAABUhcJyPg
lvinazco    (2024-08-27 21:49:31)
Cada licencia de Gmail tiene un costo de 12,50 usd en 2024</t>
        </r>
      </text>
    </comment>
    <comment ref="F16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======
ID#AAABUhcJyME
Andrea Lopez    (2024-08-27 21:49:31)
$1.260 usd anuales</t>
        </r>
      </text>
    </comment>
    <comment ref="F17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======
ID#AAABUhcJyL0
Andrea Lopez    (2024-08-27 21:49:31)
$1.050 usd anuales</t>
        </r>
      </text>
    </comment>
    <comment ref="F18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======
ID#AAABUhcJyMc
Andrea Lopez    (2024-08-27 21:49:31)
$4.200 usd anuales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oJpsAJwMxo5bXjRaq1eV2eW+kng=="/>
    </ext>
  </extL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======
ID#AAABUhcJyP4
lvinazco    (2024-08-27 21:49:31)
Liliana 3.965
Guillermo Tamayo 15.000</t>
        </r>
      </text>
    </comment>
    <comment ref="F1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======
ID#AAABUhcJyM8
Diana Bedoya    (2024-08-27 21:49:31)
Incremento salarial Liliana Caro del 7% de sus honorarios 2023 a partir de Marzo 2024</t>
        </r>
      </text>
    </comment>
    <comment ref="D18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======
ID#AAABUhcJyQo
Diana Bedoya    (2024-08-27 21:49:31)
$30.000 Bono GT 23
$5.947 Bono LC 23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aelrPDpKpPYZT25YCzRe4+DQk8Q=="/>
    </ext>
  </extL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8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======
ID#AAABUhcJyQQ
Diana Bedoya    (2024-08-27 21:49:31)
$22,000 Equipo Contable PR
      $860.00 Persona Comercial  
      $140.00 Horas Extras
$23,000.00 Total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diVzHwIlGZcP6PDFcZCATuY4Zeg=="/>
    </ext>
  </extL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3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======
ID#AAABUhcJyQU
lvinazco    (2024-08-27 21:49:31)
Cada licencia de Gmail tiene un costo de 12,50 usd en 2024</t>
        </r>
      </text>
    </comment>
    <comment ref="F16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======
ID#AAABUhcJyM4
Andrea Lopez    (2024-08-27 21:49:31)
$1.260 usd anuales</t>
        </r>
      </text>
    </comment>
    <comment ref="F17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======
ID#AAABUhcJyNg
Andrea Lopez    (2024-08-27 21:49:31)
$1.050 usd anuales</t>
        </r>
      </text>
    </comment>
    <comment ref="F18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======
ID#AAABUhcJyNE
Andrea Lopez    (2024-08-27 21:49:31)
$4.200 usd anuales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wsW1b7Dwk14TOK5mIwzXEpnd+Cg=="/>
    </ext>
  </extL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4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======
ID#AAABUhcJyPA
lvinazco    (2024-08-27 21:49:31)
Liliana 3.965
Guillermo Tamayo 15.000</t>
        </r>
      </text>
    </comment>
    <comment ref="F14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======
ID#AAABUhcJyMo
Diana Bedoya    (2024-08-27 21:49:31)
Incremento salarial Liliana Caro del 7% de sus honorarios 2023 a partir de Marzo 2024</t>
        </r>
      </text>
    </comment>
    <comment ref="D18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======
ID#AAABUhcJyNk
Diana Bedoya    (2024-08-27 21:49:31)
$30.000 Bono GT 23
$5.947 Bono LC 23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yxPWV6YucVK7XYUoQJ/ksmxppsw=="/>
    </ext>
  </extL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8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======
ID#AAABUhcJyMU
Diana Bedoya    (2024-08-27 21:49:31)
$22,000 Equipo Contable PR
      $860.00 Persona Comercial  
      $140.00 Horas Extras
$23,000.00 Total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TWynh9709rwzq2ztaKlLidp4W8A=="/>
    </ext>
  </extL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3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======
ID#AAABUhcJyMs
lvinazco    (2024-08-27 21:49:31)
Cada licencia de Gmail tiene un costo de 12,50 usd en 2024</t>
        </r>
      </text>
    </comment>
    <comment ref="F16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======
ID#AAABUhcJyLs
Andrea Lopez    (2024-08-27 21:49:31)
$1.260 usd anuales</t>
        </r>
      </text>
    </comment>
    <comment ref="F17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======
ID#AAABUhcJyOk
Andrea Lopez    (2024-08-27 21:49:31)
$1.050 usd anuales</t>
        </r>
      </text>
    </comment>
    <comment ref="F18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======
ID#AAABUhcJyOs
Andrea Lopez    (2024-08-27 21:49:31)
$4.200 usd anuales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8ehrwnaaWrLz7K0BWoLyCseiDHg=="/>
    </ext>
  </extL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4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======
ID#AAABUhcJyPM
lvinazco    (2024-08-27 21:49:31)
Liliana 3.965
Guillermo Tamayo 15.000</t>
        </r>
      </text>
    </comment>
    <comment ref="F14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======
ID#AAABUhcJyPw
Diana Bedoya    (2024-08-27 21:49:31)
Incremento salarial Liliana Caro del 7% de sus honorarios 2023 a partir de Marzo 2024</t>
        </r>
      </text>
    </comment>
    <comment ref="D18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======
ID#AAABUhcJyNc
Diana Bedoya    (2024-08-27 21:49:31)
$30.000 Bono GT 23
$5.947 Bono LC 23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gvpzNKlXlC3gua85HvaSBv2zMng=="/>
    </ext>
  </extL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8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======
ID#AAABUhcJyNM
Diana Bedoya    (2024-08-27 21:49:31)
$22,000 Equipo Contable PR
      $860.00 Persona Comercial  
      $140.00 Horas Extras
$23,000.00 Total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2q9tmjsp306K6oyMRIljN1Eqm0w=="/>
    </ext>
  </extL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3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======
ID#AAABUhcJyPE
lvinazco    (2024-08-27 21:49:31)
Cada licencia de Gmail tiene un costo de 12,50 usd en 2024</t>
        </r>
      </text>
    </comment>
    <comment ref="F16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======
ID#AAABUhcJyLo
Andrea Lopez    (2024-08-27 21:49:31)
$1.260 usd anuales</t>
        </r>
      </text>
    </comment>
    <comment ref="F17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======
ID#AAABUhcJyQE
Andrea Lopez    (2024-08-27 21:49:31)
$1.050 usd anuales</t>
        </r>
      </text>
    </comment>
    <comment ref="F18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======
ID#AAABUhcJyP8
Andrea Lopez    (2024-08-27 21:49:31)
$4.200 usd anuales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9kjtOFTYsqdwS04j6YI1Z8MchWw=="/>
    </ext>
  </extL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4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======
ID#AAABUhcJyMw
lvinazco    (2024-08-27 21:49:31)
Liliana 3.965
Guillermo Tamayo 15.000</t>
        </r>
      </text>
    </comment>
    <comment ref="F14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======
ID#AAABUhcJyOg
Diana Bedoya    (2024-08-27 21:49:31)
Incremento salarial Liliana Caro del 7% de sus honorarios 2023 a partir de Marzo 2024</t>
        </r>
      </text>
    </comment>
    <comment ref="D18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======
ID#AAABUhcJyOU
Diana Bedoya    (2024-08-27 21:49:31)
$30.000 Bono GT 23
$5.947 Bono LC 23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xB7fgdGK7hGTaylduC4OKyBKoCw=="/>
    </ext>
  </extL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3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======
ID#AAABUhcJyOQ
lvinazco    (2024-08-27 21:49:31)
Pendiente Revision - Ajustar en la factura de Marxo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oSYDqCqaBmtUVmi/ggJfIinB1fw=="/>
    </ext>
  </extL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3" authorId="0" shapeId="0" xr:uid="{00000000-0006-0000-1300-000004000000}">
      <text>
        <r>
          <rPr>
            <sz val="11"/>
            <color theme="1"/>
            <rFont val="Calibri"/>
            <family val="2"/>
            <scheme val="minor"/>
          </rPr>
          <t>======
ID#AAABUhcJyLM
lvinazco    (2024-08-27 21:49:31)
Cada licencia de Gmail tiene un costo de 12,50 usd en 2024</t>
        </r>
      </text>
    </comment>
    <comment ref="F16" authorId="0" shapeId="0" xr:uid="{00000000-0006-0000-1300-000002000000}">
      <text>
        <r>
          <rPr>
            <sz val="11"/>
            <color theme="1"/>
            <rFont val="Calibri"/>
            <family val="2"/>
            <scheme val="minor"/>
          </rPr>
          <t>======
ID#AAABUhcJyNY
Andrea Lopez    (2024-08-27 21:49:31)
$1.260 usd anuales</t>
        </r>
      </text>
    </comment>
    <comment ref="F17" authorId="0" shapeId="0" xr:uid="{00000000-0006-0000-1300-000003000000}">
      <text>
        <r>
          <rPr>
            <sz val="11"/>
            <color theme="1"/>
            <rFont val="Calibri"/>
            <family val="2"/>
            <scheme val="minor"/>
          </rPr>
          <t>======
ID#AAABUhcJyM0
Andrea Lopez    (2024-08-27 21:49:31)
$1.050 usd anuales</t>
        </r>
      </text>
    </comment>
    <comment ref="F18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======
ID#AAABUhcJyO0
Andrea Lopez    (2024-08-27 21:49:31)
$4.200 usd anuales</t>
        </r>
      </text>
    </comment>
    <comment ref="F22" authorId="0" shapeId="0" xr:uid="{00000000-0006-0000-1300-000005000000}">
      <text>
        <r>
          <rPr>
            <sz val="11"/>
            <color theme="1"/>
            <rFont val="Calibri"/>
            <family val="2"/>
            <scheme val="minor"/>
          </rPr>
          <t>======
ID#AAABUhcJyLI
lvinazco    (2024-08-27 21:49:31)
Anticipo de 1.000 dolares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9GNPq8oI4wIa96SWBA/Fs5ff6dw=="/>
    </ext>
  </extL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4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======
ID#AAABUhcJyOo
lvinazco    (2024-08-27 21:49:31)
Liliana 3.965
Guillermo Tamayo 15.000</t>
        </r>
      </text>
    </comment>
    <comment ref="D18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======
ID#AAABUhcJyMg
Diana Bedoya    (2024-08-27 21:49:31)
$30.000 Bono GT 23
$5.947 Bono LC 23</t>
        </r>
      </text>
    </comment>
    <comment ref="F19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======
ID#AAABUhcJyQc
lvinazco    (2024-08-27 21:49:31)
Pendiente Revision - Ajustar en la factura de Marxo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6JMJrHjzO7tmyxR4YkWYQcc/OPQ=="/>
    </ext>
  </extL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1500-000001000000}">
      <text>
        <r>
          <rPr>
            <sz val="11"/>
            <color theme="1"/>
            <rFont val="Calibri"/>
            <family val="2"/>
            <scheme val="minor"/>
          </rPr>
          <t>======
ID#AAABUhcJyNw
PABLO RUIZ    (2024-08-27 21:49:31)
Cuantas llamadas por servicio concluido. Este es una estimación pero debe ser calculada por cada filial.</t>
        </r>
      </text>
    </comment>
    <comment ref="E10" authorId="0" shapeId="0" xr:uid="{00000000-0006-0000-1500-000002000000}">
      <text>
        <r>
          <rPr>
            <sz val="11"/>
            <color theme="1"/>
            <rFont val="Calibri"/>
            <family val="2"/>
            <scheme val="minor"/>
          </rPr>
          <t>======
ID#AAABUhcJyMA
PABLO RUIZ    (2024-08-27 21:49:31)
Que porcentaje de los servicios concluidos representan los Cancelados posterior.
Cuantas llamadas por servicio concluido. Este es una estimación pero debe ser calculada por cada filial.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Tp43/7K1XcjPTsTuU8hIAgzY49w=="/>
    </ext>
  </extL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1600-000002000000}">
      <text>
        <r>
          <rPr>
            <sz val="11"/>
            <color theme="1"/>
            <rFont val="Calibri"/>
            <family val="2"/>
            <scheme val="minor"/>
          </rPr>
          <t>======
ID#AAABUhcJyOE
PABLO RUIZ    (2024-08-27 21:49:31)
Cuantas llamadas por servicio concluido. Este es una estimación pero debe ser calculada por cada filial.</t>
        </r>
      </text>
    </comment>
    <comment ref="E10" authorId="0" shapeId="0" xr:uid="{00000000-0006-0000-1600-000001000000}">
      <text>
        <r>
          <rPr>
            <sz val="11"/>
            <color theme="1"/>
            <rFont val="Calibri"/>
            <family val="2"/>
            <scheme val="minor"/>
          </rPr>
          <t>======
ID#AAABUhcJyPU
PABLO RUIZ    (2024-08-27 21:49:31)
Que porcentaje de los servicios concluidos representan los Cancelados posterior.
Cuantas llamadas por servicio concluido. Este es una estimación pero debe ser calculada por cada filial.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MD4fejLwQrXtDQG1lP/MC0DX3dQ=="/>
    </ext>
  </extL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7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======
ID#AAABUhcJyNQ
ASelzer    (2024-08-27 21:49:31)
CON PROVEEDOR CONCLUIDO</t>
        </r>
      </text>
    </comment>
    <comment ref="B2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======
ID#AAABUhcJyPo
Alexdander    (2024-08-27 21:49:31)
Servicios x facturar concluidos</t>
        </r>
      </text>
    </comment>
    <comment ref="B23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======
ID#AAABUhcJyPY
Alexdander    (2024-08-27 21:49:31)
Concluidos</t>
        </r>
      </text>
    </comment>
    <comment ref="B37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======
ID#AAABUhcJyLY
Alexdander    (2024-08-27 21:49:31)
C + CP, incluye materiales de internos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VOAMQFaA54PlkIMHthv3JLyBJcQ=="/>
    </ext>
  </extL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7" authorId="0" shapeId="0" xr:uid="{00000000-0006-0000-1800-000003000000}">
      <text>
        <r>
          <rPr>
            <sz val="11"/>
            <color theme="1"/>
            <rFont val="Calibri"/>
            <family val="2"/>
            <scheme val="minor"/>
          </rPr>
          <t>======
ID#AAABUhcJyMY
ASelzer    (2024-08-27 21:49:31)
CON PROVEEDOR CONCLUIDO</t>
        </r>
      </text>
    </comment>
    <comment ref="B22" authorId="0" shapeId="0" xr:uid="{00000000-0006-0000-1800-000002000000}">
      <text>
        <r>
          <rPr>
            <sz val="11"/>
            <color theme="1"/>
            <rFont val="Calibri"/>
            <family val="2"/>
            <scheme val="minor"/>
          </rPr>
          <t>======
ID#AAABUhcJyN8
Alexdander    (2024-08-27 21:49:31)
Servicios x facturar concluidos</t>
        </r>
      </text>
    </comment>
    <comment ref="B23" authorId="0" shapeId="0" xr:uid="{00000000-0006-0000-1800-000001000000}">
      <text>
        <r>
          <rPr>
            <sz val="11"/>
            <color theme="1"/>
            <rFont val="Calibri"/>
            <family val="2"/>
            <scheme val="minor"/>
          </rPr>
          <t>======
ID#AAABUhcJyOM
Alexdander    (2024-08-27 21:49:31)
Concluidos</t>
        </r>
      </text>
    </comment>
    <comment ref="B37" authorId="0" shapeId="0" xr:uid="{00000000-0006-0000-1800-000004000000}">
      <text>
        <r>
          <rPr>
            <sz val="11"/>
            <color theme="1"/>
            <rFont val="Calibri"/>
            <family val="2"/>
            <scheme val="minor"/>
          </rPr>
          <t>======
ID#AAABUhcJyL4
Alexdander    (2024-08-27 21:49:31)
C + CP, incluye materiales de internos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kNhMJxb1HsGBhdReN94TrGOhN3Q=="/>
    </ext>
  </extL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7" authorId="0" shapeId="0" xr:uid="{00000000-0006-0000-2100-000004000000}">
      <text>
        <r>
          <rPr>
            <sz val="11"/>
            <color theme="1"/>
            <rFont val="Calibri"/>
            <family val="2"/>
            <scheme val="minor"/>
          </rPr>
          <t>======
ID#AAABUhcJyOI
lvinazco    (2024-08-27 21:49:31)
Incluye biblioteca SAP Junio y julio</t>
        </r>
      </text>
    </comment>
    <comment ref="H11" authorId="0" shapeId="0" xr:uid="{00000000-0006-0000-2100-000002000000}">
      <text>
        <r>
          <rPr>
            <sz val="11"/>
            <color theme="1"/>
            <rFont val="Calibri"/>
            <family val="2"/>
            <scheme val="minor"/>
          </rPr>
          <t>======
ID#AAABUhcJyPQ
lvinazco    (2024-08-27 21:49:31)
Se factura el concepto correspondiente al mes de enero</t>
        </r>
      </text>
    </comment>
    <comment ref="H12" authorId="0" shapeId="0" xr:uid="{00000000-0006-0000-2100-000006000000}">
      <text>
        <r>
          <rPr>
            <sz val="11"/>
            <color theme="1"/>
            <rFont val="Calibri"/>
            <family val="2"/>
            <scheme val="minor"/>
          </rPr>
          <t>======
ID#AAABUhcJyMI
lvinazco    (2024-08-27 21:49:31)
Se factura el concepto correspondiente al mes de enero</t>
        </r>
      </text>
    </comment>
    <comment ref="H13" authorId="0" shapeId="0" xr:uid="{00000000-0006-0000-2100-000007000000}">
      <text>
        <r>
          <rPr>
            <sz val="11"/>
            <color theme="1"/>
            <rFont val="Calibri"/>
            <family val="2"/>
            <scheme val="minor"/>
          </rPr>
          <t>======
ID#AAABUhcJyLc
lvinazco    (2024-08-27 21:49:31)
Se factura el concepto correspondiente al mes de enero</t>
        </r>
      </text>
    </comment>
    <comment ref="F24" authorId="0" shapeId="0" xr:uid="{00000000-0006-0000-2100-000005000000}">
      <text>
        <r>
          <rPr>
            <sz val="11"/>
            <color theme="1"/>
            <rFont val="Calibri"/>
            <family val="2"/>
            <scheme val="minor"/>
          </rPr>
          <t>======
ID#AAABUhcJyNI
lvinazco    (2024-08-27 21:49:31)
Llamadas Outbound PR INC 
Febrero $4.802,61
Marzo $4.838,79
Abril $4.739,71
Mayo $4.521,32</t>
        </r>
      </text>
    </comment>
    <comment ref="H24" authorId="0" shapeId="0" xr:uid="{00000000-0006-0000-2100-000008000000}">
      <text>
        <r>
          <rPr>
            <sz val="11"/>
            <color theme="1"/>
            <rFont val="Calibri"/>
            <family val="2"/>
            <scheme val="minor"/>
          </rPr>
          <t>======
ID#AAABUhcJyLQ
lvinazco    (2024-08-27 21:49:31)
Llamadas Outbound PR MCS 
Marzo $11.238
Abril $10.842</t>
        </r>
      </text>
    </comment>
    <comment ref="H25" authorId="0" shapeId="0" xr:uid="{00000000-0006-0000-2100-000003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ID#AAABUhcJyPI
</t>
        </r>
        <r>
          <rPr>
            <sz val="11"/>
            <color rgb="FF000000"/>
            <rFont val="Calibri"/>
            <family val="2"/>
          </rPr>
          <t xml:space="preserve">lvinazco    (2024-08-27 21:49:31)
</t>
        </r>
        <r>
          <rPr>
            <sz val="11"/>
            <color rgb="FF000000"/>
            <rFont val="Calibri"/>
            <family val="2"/>
          </rPr>
          <t xml:space="preserve">Maplink Febrero, marzo, abril, mayo $4.459
</t>
        </r>
        <r>
          <rPr>
            <sz val="11"/>
            <color rgb="FF000000"/>
            <rFont val="Calibri"/>
            <family val="2"/>
          </rPr>
          <t>Alo Global enero, Febrero, marzo, abril $924</t>
        </r>
      </text>
    </comment>
    <comment ref="I25" authorId="0" shapeId="0" xr:uid="{00000000-0006-0000-2100-000001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ID#AAABUhcJyQY
</t>
        </r>
        <r>
          <rPr>
            <sz val="11"/>
            <color rgb="FF000000"/>
            <rFont val="Calibri"/>
            <family val="2"/>
          </rPr>
          <t xml:space="preserve">lvinazco    (2024-08-27 21:49:31)
</t>
        </r>
        <r>
          <rPr>
            <sz val="11"/>
            <color rgb="FF000000"/>
            <rFont val="Calibri"/>
            <family val="2"/>
          </rPr>
          <t xml:space="preserve">Maplink  julio $929
</t>
        </r>
        <r>
          <rPr>
            <sz val="11"/>
            <color rgb="FF000000"/>
            <rFont val="Calibri"/>
            <family val="2"/>
          </rPr>
          <t>Alo Global mayo y junio $247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PPGlC7fd6B9JfWDFKujJ3gnSy3g=="/>
    </ext>
  </extLst>
</comments>
</file>

<file path=xl/sharedStrings.xml><?xml version="1.0" encoding="utf-8"?>
<sst xmlns="http://schemas.openxmlformats.org/spreadsheetml/2006/main" count="1212" uniqueCount="255">
  <si>
    <t>INGRESO</t>
  </si>
  <si>
    <t>MCS</t>
  </si>
  <si>
    <t>INC</t>
  </si>
  <si>
    <t>TOTAL</t>
  </si>
  <si>
    <t>Cabina Mes Anterior</t>
  </si>
  <si>
    <t>Cabina Total</t>
  </si>
  <si>
    <t>COL</t>
  </si>
  <si>
    <t>GT</t>
  </si>
  <si>
    <t>CABINA</t>
  </si>
  <si>
    <t>Colombia</t>
  </si>
  <si>
    <t>Fee Corporativo</t>
  </si>
  <si>
    <t>Guatemala</t>
  </si>
  <si>
    <t>Gmail</t>
  </si>
  <si>
    <t>SAP-ODOO</t>
  </si>
  <si>
    <t>MPLS</t>
  </si>
  <si>
    <t>TASA</t>
  </si>
  <si>
    <t>Calidad</t>
  </si>
  <si>
    <t>Ruby*9007</t>
  </si>
  <si>
    <t>Apoyo Contable</t>
  </si>
  <si>
    <t>Rp*25169007</t>
  </si>
  <si>
    <t>Strategic management</t>
  </si>
  <si>
    <t>Ruby9007</t>
  </si>
  <si>
    <t>Factorial</t>
  </si>
  <si>
    <t>Rp*9007</t>
  </si>
  <si>
    <t>Estrategia Tributaria</t>
  </si>
  <si>
    <t xml:space="preserve">Compras Colombia </t>
  </si>
  <si>
    <t>Conectividad Maplink</t>
  </si>
  <si>
    <t>Conectividad Alo Global</t>
  </si>
  <si>
    <t>TOTAL INGRESO</t>
  </si>
  <si>
    <t>DESCUENTOS</t>
  </si>
  <si>
    <t>Legales</t>
  </si>
  <si>
    <t>Pereira</t>
  </si>
  <si>
    <t>Datateck</t>
  </si>
  <si>
    <t>Claro SIP Julio</t>
  </si>
  <si>
    <t>Worldnet  lineas tel adicionales</t>
  </si>
  <si>
    <t>Comision PR (transcita)</t>
  </si>
  <si>
    <t>Legales Bono GT &amp; LC Cuota 8/12</t>
  </si>
  <si>
    <t>Almacenamiento de Llamadas</t>
  </si>
  <si>
    <t>Salario Ana Borland</t>
  </si>
  <si>
    <t>Salario Ana Borland Cuota 2/6</t>
  </si>
  <si>
    <t>Neptuno</t>
  </si>
  <si>
    <t>Amex Ana Borland</t>
  </si>
  <si>
    <t>Total Ingreso</t>
  </si>
  <si>
    <t>Descuentos</t>
  </si>
  <si>
    <t>Total Factura</t>
  </si>
  <si>
    <t>Col</t>
  </si>
  <si>
    <t>Mex</t>
  </si>
  <si>
    <t>Se relizaron 3 facturas por Colombia</t>
  </si>
  <si>
    <t>Cabina Colombia</t>
  </si>
  <si>
    <t>Personal MCS 100%</t>
  </si>
  <si>
    <t>Ajuste llamadas outbound marzo</t>
  </si>
  <si>
    <t>Ajuste llamadas outbound abril</t>
  </si>
  <si>
    <t>Addiuva Enterprises                                                                                     Ayuda sin fronteras</t>
  </si>
  <si>
    <t>Fecha:</t>
  </si>
  <si>
    <t>Item</t>
  </si>
  <si>
    <t>Concepto</t>
  </si>
  <si>
    <t>Cantidad</t>
  </si>
  <si>
    <t>Subtotal</t>
  </si>
  <si>
    <t>Total</t>
  </si>
  <si>
    <t>Cabina mes anterior</t>
  </si>
  <si>
    <t>Cabina</t>
  </si>
  <si>
    <t>ODOO</t>
  </si>
  <si>
    <t>Biblioteca SAP</t>
  </si>
  <si>
    <t>Compras Colombia</t>
  </si>
  <si>
    <t>Claro SIP Mayo</t>
  </si>
  <si>
    <t>Comision PR (Transcita)</t>
  </si>
  <si>
    <t>Gastos Ana Borland</t>
  </si>
  <si>
    <t>Legales Bono GT &amp; LC Cuota 7/12</t>
  </si>
  <si>
    <t>Salario Ana Borland Cuota 1/6</t>
  </si>
  <si>
    <t>Se realizaron 3 facturas por Colombia</t>
  </si>
  <si>
    <t>Ajuste llamadas outbound marzo (factura de abril)</t>
  </si>
  <si>
    <t>Ajuste llamadas outbound abril (factura de mayo)</t>
  </si>
  <si>
    <t>Por Guatemala</t>
  </si>
  <si>
    <t>Legales Bono GT &amp; LC Cuota 5/12</t>
  </si>
  <si>
    <t>Claro SIP Enero</t>
  </si>
  <si>
    <t>Legales Bono GT &amp; LC Cuota 6/12</t>
  </si>
  <si>
    <t>Se relizaron 2 facturas por Colombia</t>
  </si>
  <si>
    <t>Legales Bono GT &amp; LC Cuota 4/12</t>
  </si>
  <si>
    <t>Definir a que sociedad va ir el descuento</t>
  </si>
  <si>
    <t>Ingreso de persona nueva equipo comercial</t>
  </si>
  <si>
    <t>Legales Bono GT &amp; LC Cuota 3/12</t>
  </si>
  <si>
    <t>Legales Bono GT &amp; LC Cuota 1/12</t>
  </si>
  <si>
    <t>Legales Bono GT &amp; LC Cuota 2/12</t>
  </si>
  <si>
    <t>SERVICIOS DE CABINA</t>
  </si>
  <si>
    <t>Tipo de cobro</t>
  </si>
  <si>
    <t>Servicios Concluidos</t>
  </si>
  <si>
    <t>Total de llamadas Validas</t>
  </si>
  <si>
    <t>Servicios Cancelados Posterior</t>
  </si>
  <si>
    <t>CANTIDADES</t>
  </si>
  <si>
    <t>Rangos Servicios concluidos</t>
  </si>
  <si>
    <t>Servicios concluidos</t>
  </si>
  <si>
    <t>Rangos Llamadas</t>
  </si>
  <si>
    <t>Llamadas</t>
  </si>
  <si>
    <t>Precio Unitario por Servicios Concluidos</t>
  </si>
  <si>
    <t>VALORES EN USD</t>
  </si>
  <si>
    <t>Precios Servicios Concluidos</t>
  </si>
  <si>
    <t>Precios Llamadas</t>
  </si>
  <si>
    <t>Tipo de cobro usd</t>
  </si>
  <si>
    <t>Total usd</t>
  </si>
  <si>
    <t>Filial</t>
  </si>
  <si>
    <t>PUERTO RICO</t>
  </si>
  <si>
    <t>TIPO DE CAMBIO USD $</t>
  </si>
  <si>
    <t>MES</t>
  </si>
  <si>
    <t>Acumulados</t>
  </si>
  <si>
    <t>Promedio</t>
  </si>
  <si>
    <t>MODULO CARTERA EN RIESGO</t>
  </si>
  <si>
    <t>Cartera en Riesgo</t>
  </si>
  <si>
    <t>Ingresos del Mes Técnico</t>
  </si>
  <si>
    <t>Ingreso / Afiliado</t>
  </si>
  <si>
    <t>COMPORTAMIENTO DE SERVICIOS</t>
  </si>
  <si>
    <t>Total de Asistencia Solicitadas</t>
  </si>
  <si>
    <t>Total Servicios Concluidos (C)</t>
  </si>
  <si>
    <t xml:space="preserve">% Servicios Concluidos </t>
  </si>
  <si>
    <t>Servicios (C) con Costo</t>
  </si>
  <si>
    <t xml:space="preserve">    Servicios (C) Locales</t>
  </si>
  <si>
    <t xml:space="preserve">    Servicios (C) Foraneos</t>
  </si>
  <si>
    <t>Servicios (C) Adicionales</t>
  </si>
  <si>
    <t>Servicios (C) en Conexión</t>
  </si>
  <si>
    <t>Servicios (C) por el CAT - Referencias</t>
  </si>
  <si>
    <t>Servicios (C) por Internos</t>
  </si>
  <si>
    <t>Servicios (C) por Externos</t>
  </si>
  <si>
    <t>Servicios Cancelado Posterior (CP)</t>
  </si>
  <si>
    <t>% Servicios Cancelado Posterior</t>
  </si>
  <si>
    <t>Servicios Cancelado al Momento (CM)</t>
  </si>
  <si>
    <t>% Servicios Cancelado al Momento</t>
  </si>
  <si>
    <t>COMPORTAMIENTO DE SINIESTRALIDAD</t>
  </si>
  <si>
    <t>Costo Siniestralidad Serv. (C) - Locales</t>
  </si>
  <si>
    <t>Costo Siniestralidad Serv. (C) - Foraneos</t>
  </si>
  <si>
    <t>Costo Siniestralidad Internos</t>
  </si>
  <si>
    <t>Costo Siniestralidad Externos</t>
  </si>
  <si>
    <t>Costo Siniestralidad Serv. (CP)</t>
  </si>
  <si>
    <t>Costo Siniestralidad Total</t>
  </si>
  <si>
    <t>LLAMADAS TOTALES</t>
  </si>
  <si>
    <t>Frecuencia Natural Llamadas Inbound, %</t>
  </si>
  <si>
    <t>Llamadas al CAT, %</t>
  </si>
  <si>
    <t>LLAMADAS PROVEEDORES</t>
  </si>
  <si>
    <t>Total de llamadas validas Proveedores</t>
  </si>
  <si>
    <t>327</t>
  </si>
  <si>
    <t>Llamadas atendidas Proveedores</t>
  </si>
  <si>
    <t xml:space="preserve">319 </t>
  </si>
  <si>
    <t>Tiempo promedio conversación Proveedores</t>
  </si>
  <si>
    <t>Llamadas atendidas &lt; 15 seg. Proveedores</t>
  </si>
  <si>
    <t>295</t>
  </si>
  <si>
    <t>Abandonos mayores a 5 seg. Proveedores</t>
  </si>
  <si>
    <t>7</t>
  </si>
  <si>
    <t>% Indice de abandono Proveedores</t>
  </si>
  <si>
    <t>Nivel de servicio &lt; 15 seg. Proveedores</t>
  </si>
  <si>
    <t>LLAMADAS CABINA DE EMERGENCIA CLIENTE</t>
  </si>
  <si>
    <t>Total de llamadas validas Clientes CAT</t>
  </si>
  <si>
    <t>Llamadas atendidas Clientes CAT</t>
  </si>
  <si>
    <t>Tiempo promedio conversación Clientes CAT</t>
  </si>
  <si>
    <t>Llamadas atendidas &lt; 15 seg. Cliente CAT</t>
  </si>
  <si>
    <t>Abandonos mayores a 5 seg. Clientes CAT</t>
  </si>
  <si>
    <t>158</t>
  </si>
  <si>
    <t>% Indice de abandono Clientes CAT</t>
  </si>
  <si>
    <t>Nivel de servicio &lt; 15 seg. Clientes CAT</t>
  </si>
  <si>
    <t>PRODUCTIVIDAD COORDINADORES CAT</t>
  </si>
  <si>
    <t>Dotacion de coordinadores efectivos</t>
  </si>
  <si>
    <t>Servicios solicitados X coordinador</t>
  </si>
  <si>
    <t>Servicios concluidos X coordinador</t>
  </si>
  <si>
    <t>Llamadas atendidas X coordinador</t>
  </si>
  <si>
    <t>ATENCION DE LLAMADAS SAC</t>
  </si>
  <si>
    <t>Total de llamadas validas SAC</t>
  </si>
  <si>
    <t>Llamadas atendidas SAC</t>
  </si>
  <si>
    <t>Tiempo promedio conversación SAC</t>
  </si>
  <si>
    <t>Llamadas atendidas &lt; 15 seg. SAC</t>
  </si>
  <si>
    <t>Abandonos mayores a 5 seg. SAC</t>
  </si>
  <si>
    <t>% Indice de abandono SAC</t>
  </si>
  <si>
    <t>Nivel de servicio &lt; 15 seg. SAC</t>
  </si>
  <si>
    <t>PRODUCTIVIDAD AGENTES SAC</t>
  </si>
  <si>
    <t>Dotacion de agentes SAC efectivos</t>
  </si>
  <si>
    <t>Llamadas atendidas X agente</t>
  </si>
  <si>
    <t xml:space="preserve">SEGUIMIENTO LLAMADAS OUTBOUND </t>
  </si>
  <si>
    <t xml:space="preserve">Llamadas Outbound Afiliado </t>
  </si>
  <si>
    <t xml:space="preserve">Lllamadas Outbound Proveedor </t>
  </si>
  <si>
    <t xml:space="preserve">Llamadas Outbound Totales </t>
  </si>
  <si>
    <t>RESULTADOS DE VARIABLES DEL MES</t>
  </si>
  <si>
    <t>% Frecuencia</t>
  </si>
  <si>
    <t>% Frecuencia con Costo</t>
  </si>
  <si>
    <t>% Siniestralidad Total</t>
  </si>
  <si>
    <t>% de servicios concluidos con internos</t>
  </si>
  <si>
    <t>% de servicios suceptibles con internos</t>
  </si>
  <si>
    <t>Costo Promedio X Serv. C. Total USD $</t>
  </si>
  <si>
    <t xml:space="preserve">MCS </t>
  </si>
  <si>
    <t>20158</t>
  </si>
  <si>
    <t>19707</t>
  </si>
  <si>
    <t>14399</t>
  </si>
  <si>
    <t>341</t>
  </si>
  <si>
    <t>2%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</si>
  <si>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</si>
  <si>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</si>
  <si>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</si>
  <si>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</si>
  <si>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</si>
  <si>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</si>
  <si>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</si>
  <si>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</si>
  <si>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</si>
  <si>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</si>
  <si>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</si>
  <si>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</si>
  <si>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Servicios de Cabina</t>
  </si>
  <si>
    <t>Fee Corporativo INC</t>
  </si>
  <si>
    <t>Fee Corporativo Smart</t>
  </si>
  <si>
    <t>Odoo / Sap</t>
  </si>
  <si>
    <t>Legales Bono GT &amp; LC</t>
  </si>
  <si>
    <t>Ajuste Llamadas Outbound</t>
  </si>
  <si>
    <t>Conectividad</t>
  </si>
  <si>
    <t>Personal MCS</t>
  </si>
  <si>
    <t>México</t>
  </si>
  <si>
    <t>#REF!</t>
  </si>
  <si>
    <t>Cabina INC</t>
  </si>
  <si>
    <t>Calidad INC</t>
  </si>
  <si>
    <t>Cabina Smart</t>
  </si>
  <si>
    <t>Variación</t>
  </si>
  <si>
    <t>%Variación</t>
  </si>
  <si>
    <t>Odoo</t>
  </si>
  <si>
    <t>Contabilidad - Filial PR</t>
  </si>
  <si>
    <t>** Pendiente facturar el concepto de Conectividad de Maplink y Alo Global de julio y agosto**</t>
  </si>
  <si>
    <t>Incluye el MPLS por 3.539</t>
  </si>
  <si>
    <t>**Detalle: Tener en cuenta que este concepto se incluyo en la cabina de Colombia</t>
  </si>
  <si>
    <t>USD 0</t>
  </si>
  <si>
    <t>USD 0,00</t>
  </si>
  <si>
    <t>USD 63.827</t>
  </si>
  <si>
    <t>USD 67.246</t>
  </si>
  <si>
    <t>USD 5.357</t>
  </si>
  <si>
    <t>USD 125.716</t>
  </si>
  <si>
    <t>USD 1.960</t>
  </si>
  <si>
    <t>USD 133.033</t>
  </si>
  <si>
    <t>Incluye el MPLS por 3.539 - Conectividad</t>
  </si>
  <si>
    <t>** Pendiente facturar el concepto de Conectividad de Maplink y Alo Global de julio, agosto, septiembre**</t>
  </si>
  <si>
    <t>Nomina PR</t>
  </si>
  <si>
    <t>DETALLE CONTABILIDAD</t>
  </si>
  <si>
    <t>Audifonos</t>
  </si>
  <si>
    <t>Papeleria</t>
  </si>
  <si>
    <t>Vacaciones Lina</t>
  </si>
  <si>
    <t>Vacaciones Diana B</t>
  </si>
  <si>
    <t>Premios MCS</t>
  </si>
  <si>
    <t>** Pendiente facturar el concepto de Conectividad de Octubre**</t>
  </si>
  <si>
    <t>CONCEPTOS CORP</t>
  </si>
  <si>
    <t>Licencias</t>
  </si>
  <si>
    <t>pagado x Carmen</t>
  </si>
  <si>
    <t>voccare</t>
  </si>
  <si>
    <t>addiuva</t>
  </si>
  <si>
    <t>ikatech</t>
  </si>
  <si>
    <t>**Pendiente incluir este detalle, no tenemos todavia facturas**</t>
  </si>
  <si>
    <t>Confirmado</t>
  </si>
  <si>
    <t>1,7%</t>
  </si>
  <si>
    <t>0,63%</t>
  </si>
  <si>
    <t>A 31 de Diciembre 2025 (expresado en ML)</t>
  </si>
  <si>
    <t>REPORTE EJECUTIVO OPERACIÓN VOCCARE 2025</t>
  </si>
  <si>
    <t>Valores a Facturar</t>
  </si>
  <si>
    <t>Pendiente</t>
  </si>
  <si>
    <t>Se incluye CALIDAD, CONECTIVIDAD Y DESCUENTOS en Colombia</t>
  </si>
  <si>
    <t xml:space="preserve">Descuentos Corporativos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</si>
</sst>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5">
    <numFmt numFmtId="6" formatCode="&quot;$&quot;\ #,##0;[Red]\-&quot;$&quot;\ #,##0"/>
    <numFmt numFmtId="8" formatCode="&quot;$&quot;\ #,##0.00;[Red]\-&quot;$&quot;\ #,##0.00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_-;\-&quot;$&quot;* #,##0_-;_-&quot;$&quot;* &quot;-&quot;_-;_-@_-"/>
    <numFmt numFmtId="165" formatCode="_-&quot;$&quot;* #,##0.00_-;\-&quot;$&quot;* #,##0.00_-;_-&quot;$&quot;* &quot;-&quot;??_-;_-@_-"/>
    <numFmt numFmtId="166" formatCode="_-* #,##0.00_-;\-* #,##0.00_-;_-* &quot;-&quot;??_-;_-@"/>
    <numFmt numFmtId="167" formatCode="_(* #,##0_);_(* \(#,##0\);_(* &quot;-&quot;??_);_(@_)"/>
    <numFmt numFmtId="168" formatCode="[$$-240A]\ #,##0"/>
    <numFmt numFmtId="169" formatCode="0.0%"/>
    <numFmt numFmtId="170" formatCode="d/m/yyyy"/>
    <numFmt numFmtId="171" formatCode="[&lt;=9999999]###\-####;\(###\)\ ###\-####"/>
    <numFmt numFmtId="172" formatCode="_-[$$-409]* #,##0.00_ ;_-[$$-409]* \-#,##0.00\ ;_-[$$-409]* &quot;-&quot;??_ ;_-@_ "/>
    <numFmt numFmtId="173" formatCode="_-&quot;$&quot;* #,##0.00_-;\-&quot;$&quot;* #,##0.00_-;_-&quot;$&quot;* &quot;-&quot;??_-;_-@"/>
    <numFmt numFmtId="174" formatCode="_-* #,##0.00\ &quot;€&quot;_-;\-* #,##0.00\ &quot;€&quot;_-;_-* &quot;-&quot;??\ &quot;€&quot;_-;_-@"/>
    <numFmt numFmtId="175" formatCode="_-* #,##0_-;\-* #,##0_-;_-* &quot;-&quot;??_-;_-@"/>
    <numFmt numFmtId="176" formatCode="#,##0_ ;[Red]\-#,##0\ "/>
    <numFmt numFmtId="177" formatCode="_-* #,##0_-;\-* #,##0_-;_-* &quot;-&quot;_-;_-@"/>
    <numFmt numFmtId="178" formatCode="_-* #,##0\ _$_-;\-* #,##0\ _$_-;_-* &quot;-&quot;\ _$_-;_-@"/>
    <numFmt numFmtId="179" formatCode="[$$-240A]\ #,##0.00"/>
    <numFmt numFmtId="180" formatCode="[$$-540A]#,##0.00"/>
    <numFmt numFmtId="181" formatCode="[$USD]\ #,##0.00"/>
    <numFmt numFmtId="182" formatCode="[$USD]\ #,##0"/>
    <numFmt numFmtId="183" formatCode="#,##0.0"/>
  </numFmts>
  <fonts count="4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36"/>
      <color rgb="FFE7E6E6"/>
      <name val="Arial"/>
      <family val="2"/>
    </font>
    <font>
      <sz val="11"/>
      <name val="Calibri"/>
      <family val="2"/>
    </font>
    <font>
      <b/>
      <i/>
      <sz val="14"/>
      <color rgb="FF222A35"/>
      <name val="Calibri"/>
      <family val="2"/>
    </font>
    <font>
      <b/>
      <sz val="14"/>
      <color rgb="FF222A35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2"/>
      <color theme="0"/>
      <name val="Calibri"/>
      <family val="2"/>
    </font>
    <font>
      <b/>
      <sz val="11"/>
      <color rgb="FFFF0000"/>
      <name val="Calibri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</font>
    <font>
      <sz val="8"/>
      <color theme="0"/>
      <name val="Arial"/>
      <family val="2"/>
    </font>
    <font>
      <i/>
      <sz val="10"/>
      <color rgb="FFF2F2F2"/>
      <name val="Calibri"/>
      <family val="2"/>
    </font>
    <font>
      <sz val="10"/>
      <color theme="1"/>
      <name val="Calibri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b/>
      <sz val="14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8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rgb="FF435CC8"/>
        <bgColor rgb="FF435CC8"/>
      </patternFill>
    </fill>
    <fill>
      <patternFill patternType="solid">
        <fgColor rgb="FFE75CE0"/>
        <bgColor rgb="FFE75CE0"/>
      </patternFill>
    </fill>
    <fill>
      <patternFill patternType="solid">
        <fgColor rgb="FF8B46CD"/>
        <bgColor rgb="FF8B46CD"/>
      </patternFill>
    </fill>
    <fill>
      <patternFill patternType="solid">
        <fgColor theme="0"/>
        <bgColor theme="0"/>
      </patternFill>
    </fill>
    <fill>
      <patternFill patternType="solid">
        <fgColor rgb="FFFFD965"/>
        <bgColor rgb="FFFFD965"/>
      </patternFill>
    </fill>
    <fill>
      <patternFill patternType="solid">
        <fgColor rgb="FFD9E2F3"/>
        <bgColor rgb="FFD9E2F3"/>
      </patternFill>
    </fill>
    <fill>
      <patternFill patternType="solid">
        <fgColor rgb="FFBFBFBF"/>
        <bgColor rgb="FFBFBFBF"/>
      </patternFill>
    </fill>
    <fill>
      <patternFill patternType="solid">
        <fgColor rgb="FF8B4595"/>
        <bgColor rgb="FF8B4595"/>
      </patternFill>
    </fill>
    <fill>
      <patternFill patternType="solid">
        <fgColor rgb="FFF4DCF2"/>
        <bgColor rgb="FFF4DCF2"/>
      </patternFill>
    </fill>
    <fill>
      <patternFill patternType="solid">
        <fgColor rgb="FFB981AA"/>
        <bgColor rgb="FFB981AA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rgb="FFF4DCF2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B981AA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9">
    <border>
      <left/>
      <right/>
      <top/>
      <bottom/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7030A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tted">
        <color rgb="FF435CC8"/>
      </left>
      <right style="dotted">
        <color rgb="FF435CC8"/>
      </right>
      <top style="dotted">
        <color rgb="FF435CC8"/>
      </top>
      <bottom style="dotted">
        <color rgb="FF435CC8"/>
      </bottom>
      <diagonal/>
    </border>
    <border>
      <left style="dotted">
        <color rgb="FF435CC8"/>
      </left>
      <right/>
      <top style="dotted">
        <color rgb="FF435CC8"/>
      </top>
      <bottom/>
      <diagonal/>
    </border>
    <border>
      <left/>
      <right style="dotted">
        <color rgb="FF435CC8"/>
      </right>
      <top style="dotted">
        <color rgb="FF435CC8"/>
      </top>
      <bottom/>
      <diagonal/>
    </border>
    <border>
      <left style="dotted">
        <color rgb="FF435CC8"/>
      </left>
      <right/>
      <top/>
      <bottom/>
      <diagonal/>
    </border>
    <border>
      <left/>
      <right style="dotted">
        <color rgb="FF435CC8"/>
      </right>
      <top/>
      <bottom/>
      <diagonal/>
    </border>
    <border>
      <left style="dotted">
        <color rgb="FF435CC8"/>
      </left>
      <right/>
      <top/>
      <bottom style="dotted">
        <color rgb="FF435CC8"/>
      </bottom>
      <diagonal/>
    </border>
    <border>
      <left/>
      <right style="dotted">
        <color rgb="FF435CC8"/>
      </right>
      <top/>
      <bottom style="dotted">
        <color rgb="FF435CC8"/>
      </bottom>
      <diagonal/>
    </border>
    <border>
      <left style="dotted">
        <color rgb="FF435CC8"/>
      </left>
      <right style="dotted">
        <color rgb="FF435CC8"/>
      </right>
      <top style="dotted">
        <color rgb="FF435CC8"/>
      </top>
      <bottom/>
      <diagonal/>
    </border>
    <border>
      <left/>
      <right/>
      <top style="dotted">
        <color rgb="FF435CC8"/>
      </top>
      <bottom/>
      <diagonal/>
    </border>
    <border>
      <left style="dotted">
        <color rgb="FF435CC8"/>
      </left>
      <right style="dotted">
        <color rgb="FF435CC8"/>
      </right>
      <top/>
      <bottom/>
      <diagonal/>
    </border>
    <border>
      <left style="dotted">
        <color rgb="FF435CC8"/>
      </left>
      <right/>
      <top/>
      <bottom/>
      <diagonal/>
    </border>
    <border>
      <left/>
      <right style="dotted">
        <color rgb="FF435CC8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tted">
        <color rgb="FF435CC8"/>
      </left>
      <right/>
      <top/>
      <bottom/>
      <diagonal/>
    </border>
    <border>
      <left/>
      <right style="dotted">
        <color rgb="FF435CC8"/>
      </right>
      <top/>
      <bottom/>
      <diagonal/>
    </border>
    <border>
      <left style="dotted">
        <color rgb="FF435CC8"/>
      </left>
      <right style="dotted">
        <color rgb="FF435CC8"/>
      </right>
      <top/>
      <bottom style="dotted">
        <color rgb="FF435CC8"/>
      </bottom>
      <diagonal/>
    </border>
    <border>
      <left style="dotted">
        <color rgb="FF435CC8"/>
      </left>
      <right/>
      <top/>
      <bottom style="dotted">
        <color rgb="FF435CC8"/>
      </bottom>
      <diagonal/>
    </border>
    <border>
      <left/>
      <right style="dotted">
        <color rgb="FF435CC8"/>
      </right>
      <top/>
      <bottom style="dotted">
        <color rgb="FF435CC8"/>
      </bottom>
      <diagonal/>
    </border>
    <border>
      <left/>
      <right/>
      <top/>
      <bottom style="dotted">
        <color rgb="FF435CC8"/>
      </bottom>
      <diagonal/>
    </border>
    <border>
      <left/>
      <right/>
      <top/>
      <bottom style="dotted">
        <color rgb="FF435CC8"/>
      </bottom>
      <diagonal/>
    </border>
    <border>
      <left style="dotted">
        <color rgb="FF435CC8"/>
      </left>
      <right/>
      <top style="dotted">
        <color rgb="FF435CC8"/>
      </top>
      <bottom/>
      <diagonal/>
    </border>
    <border>
      <left/>
      <right style="dotted">
        <color rgb="FF435CC8"/>
      </right>
      <top style="dotted">
        <color rgb="FF435CC8"/>
      </top>
      <bottom/>
      <diagonal/>
    </border>
    <border>
      <left/>
      <right/>
      <top style="dotted">
        <color rgb="FF435CC8"/>
      </top>
      <bottom/>
      <diagonal/>
    </border>
    <border>
      <left/>
      <right/>
      <top style="dotted">
        <color rgb="FF435CC8"/>
      </top>
      <bottom/>
      <diagonal/>
    </border>
    <border>
      <left/>
      <right/>
      <top/>
      <bottom/>
      <diagonal/>
    </border>
    <border>
      <left style="medium">
        <color rgb="FFB981AA"/>
      </left>
      <right/>
      <top style="medium">
        <color rgb="FFB981AA"/>
      </top>
      <bottom/>
      <diagonal/>
    </border>
    <border>
      <left/>
      <right/>
      <top style="medium">
        <color rgb="FFB981AA"/>
      </top>
      <bottom/>
      <diagonal/>
    </border>
    <border>
      <left/>
      <right style="medium">
        <color rgb="FFB981AA"/>
      </right>
      <top style="medium">
        <color rgb="FFB981AA"/>
      </top>
      <bottom/>
      <diagonal/>
    </border>
    <border>
      <left style="medium">
        <color rgb="FFB981AA"/>
      </left>
      <right/>
      <top/>
      <bottom style="medium">
        <color rgb="FFB981AA"/>
      </bottom>
      <diagonal/>
    </border>
    <border>
      <left/>
      <right/>
      <top/>
      <bottom style="medium">
        <color rgb="FFB981AA"/>
      </bottom>
      <diagonal/>
    </border>
    <border>
      <left/>
      <right style="medium">
        <color rgb="FFB981AA"/>
      </right>
      <top/>
      <bottom style="medium">
        <color rgb="FFB981AA"/>
      </bottom>
      <diagonal/>
    </border>
    <border>
      <left style="medium">
        <color rgb="FF8B4595"/>
      </left>
      <right style="medium">
        <color rgb="FF8B4595"/>
      </right>
      <top style="medium">
        <color rgb="FF8B4595"/>
      </top>
      <bottom style="medium">
        <color rgb="FF8B4595"/>
      </bottom>
      <diagonal/>
    </border>
    <border>
      <left style="medium">
        <color rgb="FFB981AA"/>
      </left>
      <right style="medium">
        <color rgb="FFB981AA"/>
      </right>
      <top style="medium">
        <color rgb="FFB981AA"/>
      </top>
      <bottom style="medium">
        <color rgb="FFB981AA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8B4595"/>
      </left>
      <right/>
      <top style="medium">
        <color rgb="FF8B4595"/>
      </top>
      <bottom/>
      <diagonal/>
    </border>
    <border>
      <left/>
      <right/>
      <top style="medium">
        <color rgb="FF8B4595"/>
      </top>
      <bottom/>
      <diagonal/>
    </border>
    <border>
      <left/>
      <right style="medium">
        <color rgb="FF8B4595"/>
      </right>
      <top style="medium">
        <color rgb="FF8B4595"/>
      </top>
      <bottom/>
      <diagonal/>
    </border>
    <border>
      <left style="medium">
        <color rgb="FF8B4595"/>
      </left>
      <right/>
      <top/>
      <bottom style="medium">
        <color rgb="FF8B4595"/>
      </bottom>
      <diagonal/>
    </border>
    <border>
      <left/>
      <right/>
      <top/>
      <bottom style="medium">
        <color rgb="FF8B4595"/>
      </bottom>
      <diagonal/>
    </border>
    <border>
      <left/>
      <right style="medium">
        <color rgb="FF8B4595"/>
      </right>
      <top/>
      <bottom style="medium">
        <color rgb="FF8B4595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59" applyFont="0" applyFill="0" applyBorder="0" applyAlignment="0" applyProtection="0"/>
    <xf numFmtId="41" fontId="37" fillId="0" borderId="0" applyFont="0" applyFill="0" applyBorder="0" applyAlignment="0" applyProtection="0"/>
    <xf numFmtId="164" fontId="38" fillId="0" borderId="0" applyFont="0" applyFill="0" applyBorder="0" applyAlignment="0" applyProtection="0"/>
  </cellStyleXfs>
  <cellXfs count="34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166" fontId="5" fillId="0" borderId="0" xfId="0" applyNumberFormat="1" applyFont="1"/>
    <xf numFmtId="167" fontId="5" fillId="0" borderId="0" xfId="0" applyNumberFormat="1" applyFont="1"/>
    <xf numFmtId="167" fontId="5" fillId="2" borderId="1" xfId="0" applyNumberFormat="1" applyFont="1" applyFill="1" applyBorder="1"/>
    <xf numFmtId="9" fontId="5" fillId="0" borderId="0" xfId="0" applyNumberFormat="1" applyFont="1"/>
    <xf numFmtId="168" fontId="5" fillId="0" borderId="0" xfId="0" applyNumberFormat="1" applyFont="1"/>
    <xf numFmtId="166" fontId="3" fillId="0" borderId="2" xfId="0" applyNumberFormat="1" applyFont="1" applyBorder="1"/>
    <xf numFmtId="166" fontId="3" fillId="2" borderId="3" xfId="0" applyNumberFormat="1" applyFont="1" applyFill="1" applyBorder="1"/>
    <xf numFmtId="166" fontId="3" fillId="0" borderId="0" xfId="0" applyNumberFormat="1" applyFont="1"/>
    <xf numFmtId="166" fontId="5" fillId="2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7" fillId="3" borderId="1" xfId="0" applyFont="1" applyFill="1" applyBorder="1"/>
    <xf numFmtId="167" fontId="8" fillId="3" borderId="1" xfId="0" applyNumberFormat="1" applyFont="1" applyFill="1" applyBorder="1" applyAlignment="1">
      <alignment horizontal="center"/>
    </xf>
    <xf numFmtId="9" fontId="3" fillId="3" borderId="1" xfId="0" applyNumberFormat="1" applyFont="1" applyFill="1" applyBorder="1"/>
    <xf numFmtId="168" fontId="5" fillId="3" borderId="1" xfId="0" applyNumberFormat="1" applyFont="1" applyFill="1" applyBorder="1"/>
    <xf numFmtId="169" fontId="3" fillId="3" borderId="1" xfId="0" applyNumberFormat="1" applyFont="1" applyFill="1" applyBorder="1"/>
    <xf numFmtId="168" fontId="3" fillId="3" borderId="1" xfId="0" applyNumberFormat="1" applyFont="1" applyFill="1" applyBorder="1"/>
    <xf numFmtId="0" fontId="9" fillId="0" borderId="0" xfId="0" applyFont="1"/>
    <xf numFmtId="168" fontId="10" fillId="0" borderId="0" xfId="0" applyNumberFormat="1" applyFont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1" xfId="0" applyFont="1" applyBorder="1"/>
    <xf numFmtId="0" fontId="12" fillId="0" borderId="13" xfId="0" applyFont="1" applyBorder="1"/>
    <xf numFmtId="0" fontId="14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/>
    </xf>
    <xf numFmtId="170" fontId="5" fillId="0" borderId="0" xfId="0" applyNumberFormat="1" applyFont="1" applyAlignment="1">
      <alignment horizontal="left" vertical="center"/>
    </xf>
    <xf numFmtId="170" fontId="5" fillId="0" borderId="16" xfId="0" applyNumberFormat="1" applyFont="1" applyBorder="1" applyAlignment="1">
      <alignment horizontal="left" vertical="center"/>
    </xf>
    <xf numFmtId="171" fontId="5" fillId="0" borderId="15" xfId="0" applyNumberFormat="1" applyFont="1" applyBorder="1" applyAlignment="1">
      <alignment horizontal="left" vertical="center"/>
    </xf>
    <xf numFmtId="171" fontId="5" fillId="0" borderId="0" xfId="0" applyNumberFormat="1" applyFont="1" applyAlignment="1">
      <alignment horizontal="left" vertical="center"/>
    </xf>
    <xf numFmtId="171" fontId="3" fillId="0" borderId="15" xfId="0" applyNumberFormat="1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4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172" fontId="5" fillId="0" borderId="0" xfId="0" applyNumberFormat="1" applyFont="1" applyAlignment="1">
      <alignment horizontal="center" vertical="center"/>
    </xf>
    <xf numFmtId="173" fontId="5" fillId="0" borderId="0" xfId="0" applyNumberFormat="1" applyFont="1" applyAlignment="1">
      <alignment horizontal="center" vertical="center"/>
    </xf>
    <xf numFmtId="6" fontId="5" fillId="0" borderId="16" xfId="0" applyNumberFormat="1" applyFont="1" applyBorder="1" applyAlignment="1">
      <alignment horizontal="center" vertical="center"/>
    </xf>
    <xf numFmtId="3" fontId="7" fillId="0" borderId="0" xfId="0" applyNumberFormat="1" applyFont="1" applyAlignment="1">
      <alignment horizontal="center"/>
    </xf>
    <xf numFmtId="166" fontId="7" fillId="0" borderId="16" xfId="0" applyNumberFormat="1" applyFont="1" applyBorder="1" applyAlignment="1">
      <alignment horizontal="center"/>
    </xf>
    <xf numFmtId="10" fontId="5" fillId="0" borderId="16" xfId="0" applyNumberFormat="1" applyFont="1" applyBorder="1" applyAlignment="1">
      <alignment horizontal="right" vertical="center"/>
    </xf>
    <xf numFmtId="0" fontId="7" fillId="0" borderId="0" xfId="0" applyFont="1" applyAlignment="1">
      <alignment horizontal="center"/>
    </xf>
    <xf numFmtId="173" fontId="5" fillId="0" borderId="16" xfId="0" applyNumberFormat="1" applyFont="1" applyBorder="1" applyAlignment="1">
      <alignment horizontal="center" vertical="center"/>
    </xf>
    <xf numFmtId="172" fontId="5" fillId="5" borderId="1" xfId="0" applyNumberFormat="1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5" fillId="0" borderId="16" xfId="0" applyFont="1" applyBorder="1"/>
    <xf numFmtId="0" fontId="3" fillId="0" borderId="21" xfId="0" applyFont="1" applyBorder="1" applyAlignment="1">
      <alignment horizontal="left" vertical="center" wrapText="1"/>
    </xf>
    <xf numFmtId="9" fontId="5" fillId="0" borderId="21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17" fillId="0" borderId="24" xfId="0" applyFont="1" applyBorder="1" applyAlignment="1">
      <alignment horizontal="left" vertical="center"/>
    </xf>
    <xf numFmtId="174" fontId="17" fillId="0" borderId="24" xfId="0" applyNumberFormat="1" applyFont="1" applyBorder="1" applyAlignment="1">
      <alignment horizontal="right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5" xfId="0" applyFont="1" applyBorder="1"/>
    <xf numFmtId="166" fontId="5" fillId="0" borderId="16" xfId="0" applyNumberFormat="1" applyFont="1" applyBorder="1" applyAlignment="1">
      <alignment horizontal="center" vertical="center"/>
    </xf>
    <xf numFmtId="175" fontId="5" fillId="0" borderId="0" xfId="0" applyNumberFormat="1" applyFont="1"/>
    <xf numFmtId="9" fontId="5" fillId="0" borderId="16" xfId="0" applyNumberFormat="1" applyFont="1" applyBorder="1" applyAlignment="1">
      <alignment horizontal="right" vertical="center"/>
    </xf>
    <xf numFmtId="173" fontId="5" fillId="5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68" fontId="3" fillId="0" borderId="0" xfId="0" applyNumberFormat="1" applyFont="1"/>
    <xf numFmtId="6" fontId="5" fillId="0" borderId="0" xfId="0" applyNumberFormat="1" applyFont="1"/>
    <xf numFmtId="0" fontId="18" fillId="0" borderId="0" xfId="0" applyFont="1"/>
    <xf numFmtId="0" fontId="5" fillId="5" borderId="1" xfId="0" applyFont="1" applyFill="1" applyBorder="1"/>
    <xf numFmtId="0" fontId="19" fillId="0" borderId="0" xfId="0" applyFont="1"/>
    <xf numFmtId="0" fontId="20" fillId="0" borderId="0" xfId="0" applyFont="1"/>
    <xf numFmtId="0" fontId="21" fillId="7" borderId="1" xfId="0" applyFont="1" applyFill="1" applyBorder="1"/>
    <xf numFmtId="0" fontId="22" fillId="7" borderId="1" xfId="0" applyFont="1" applyFill="1" applyBorder="1"/>
    <xf numFmtId="0" fontId="23" fillId="7" borderId="1" xfId="0" applyFont="1" applyFill="1" applyBorder="1"/>
    <xf numFmtId="17" fontId="24" fillId="7" borderId="34" xfId="0" applyNumberFormat="1" applyFont="1" applyFill="1" applyBorder="1" applyAlignment="1">
      <alignment horizontal="center"/>
    </xf>
    <xf numFmtId="0" fontId="25" fillId="0" borderId="0" xfId="0" applyFont="1"/>
    <xf numFmtId="0" fontId="19" fillId="9" borderId="34" xfId="0" applyFont="1" applyFill="1" applyBorder="1"/>
    <xf numFmtId="0" fontId="19" fillId="0" borderId="34" xfId="0" applyFont="1" applyBorder="1"/>
    <xf numFmtId="176" fontId="19" fillId="9" borderId="34" xfId="0" applyNumberFormat="1" applyFont="1" applyFill="1" applyBorder="1" applyAlignment="1">
      <alignment horizontal="center"/>
    </xf>
    <xf numFmtId="0" fontId="19" fillId="2" borderId="34" xfId="0" applyFont="1" applyFill="1" applyBorder="1" applyAlignment="1">
      <alignment horizontal="center"/>
    </xf>
    <xf numFmtId="9" fontId="19" fillId="10" borderId="34" xfId="0" applyNumberFormat="1" applyFont="1" applyFill="1" applyBorder="1" applyAlignment="1">
      <alignment horizontal="center"/>
    </xf>
    <xf numFmtId="177" fontId="19" fillId="0" borderId="0" xfId="0" applyNumberFormat="1" applyFont="1"/>
    <xf numFmtId="0" fontId="19" fillId="0" borderId="35" xfId="0" applyFont="1" applyBorder="1"/>
    <xf numFmtId="0" fontId="19" fillId="0" borderId="36" xfId="0" applyFont="1" applyBorder="1"/>
    <xf numFmtId="0" fontId="19" fillId="0" borderId="42" xfId="0" applyFont="1" applyBorder="1"/>
    <xf numFmtId="3" fontId="19" fillId="0" borderId="42" xfId="0" applyNumberFormat="1" applyFont="1" applyBorder="1"/>
    <xf numFmtId="176" fontId="19" fillId="9" borderId="48" xfId="0" applyNumberFormat="1" applyFont="1" applyFill="1" applyBorder="1" applyAlignment="1">
      <alignment horizontal="center"/>
    </xf>
    <xf numFmtId="176" fontId="19" fillId="9" borderId="49" xfId="0" applyNumberFormat="1" applyFont="1" applyFill="1" applyBorder="1" applyAlignment="1">
      <alignment horizontal="center"/>
    </xf>
    <xf numFmtId="176" fontId="19" fillId="9" borderId="1" xfId="0" applyNumberFormat="1" applyFont="1" applyFill="1" applyBorder="1" applyAlignment="1">
      <alignment horizontal="center"/>
    </xf>
    <xf numFmtId="176" fontId="21" fillId="9" borderId="49" xfId="0" applyNumberFormat="1" applyFont="1" applyFill="1" applyBorder="1" applyAlignment="1">
      <alignment horizontal="center"/>
    </xf>
    <xf numFmtId="0" fontId="19" fillId="0" borderId="37" xfId="0" applyFont="1" applyBorder="1"/>
    <xf numFmtId="0" fontId="19" fillId="0" borderId="38" xfId="0" applyFont="1" applyBorder="1"/>
    <xf numFmtId="3" fontId="19" fillId="0" borderId="0" xfId="0" applyNumberFormat="1" applyFont="1"/>
    <xf numFmtId="176" fontId="19" fillId="9" borderId="51" xfId="0" applyNumberFormat="1" applyFont="1" applyFill="1" applyBorder="1" applyAlignment="1">
      <alignment horizontal="center"/>
    </xf>
    <xf numFmtId="176" fontId="21" fillId="9" borderId="52" xfId="0" applyNumberFormat="1" applyFont="1" applyFill="1" applyBorder="1" applyAlignment="1">
      <alignment horizontal="center"/>
    </xf>
    <xf numFmtId="0" fontId="19" fillId="0" borderId="53" xfId="0" applyFont="1" applyBorder="1"/>
    <xf numFmtId="176" fontId="19" fillId="9" borderId="54" xfId="0" applyNumberFormat="1" applyFont="1" applyFill="1" applyBorder="1" applyAlignment="1">
      <alignment horizontal="center"/>
    </xf>
    <xf numFmtId="176" fontId="19" fillId="9" borderId="52" xfId="0" applyNumberFormat="1" applyFont="1" applyFill="1" applyBorder="1" applyAlignment="1">
      <alignment horizontal="center"/>
    </xf>
    <xf numFmtId="178" fontId="19" fillId="0" borderId="0" xfId="0" applyNumberFormat="1" applyFont="1"/>
    <xf numFmtId="0" fontId="19" fillId="0" borderId="39" xfId="0" applyFont="1" applyBorder="1"/>
    <xf numFmtId="4" fontId="28" fillId="10" borderId="52" xfId="0" applyNumberFormat="1" applyFont="1" applyFill="1" applyBorder="1" applyAlignment="1">
      <alignment horizontal="center"/>
    </xf>
    <xf numFmtId="8" fontId="19" fillId="0" borderId="0" xfId="0" applyNumberFormat="1" applyFont="1"/>
    <xf numFmtId="8" fontId="19" fillId="0" borderId="53" xfId="0" applyNumberFormat="1" applyFont="1" applyBorder="1"/>
    <xf numFmtId="8" fontId="28" fillId="10" borderId="54" xfId="0" applyNumberFormat="1" applyFont="1" applyFill="1" applyBorder="1"/>
    <xf numFmtId="179" fontId="19" fillId="9" borderId="49" xfId="0" applyNumberFormat="1" applyFont="1" applyFill="1" applyBorder="1" applyAlignment="1">
      <alignment horizontal="center"/>
    </xf>
    <xf numFmtId="180" fontId="19" fillId="9" borderId="49" xfId="0" applyNumberFormat="1" applyFont="1" applyFill="1" applyBorder="1" applyAlignment="1">
      <alignment horizontal="center"/>
    </xf>
    <xf numFmtId="180" fontId="19" fillId="9" borderId="52" xfId="0" applyNumberFormat="1" applyFont="1" applyFill="1" applyBorder="1" applyAlignment="1">
      <alignment horizontal="center"/>
    </xf>
    <xf numFmtId="6" fontId="19" fillId="9" borderId="34" xfId="0" applyNumberFormat="1" applyFont="1" applyFill="1" applyBorder="1"/>
    <xf numFmtId="0" fontId="27" fillId="9" borderId="34" xfId="0" applyFont="1" applyFill="1" applyBorder="1"/>
    <xf numFmtId="0" fontId="27" fillId="0" borderId="0" xfId="0" applyFont="1"/>
    <xf numFmtId="6" fontId="27" fillId="9" borderId="34" xfId="0" applyNumberFormat="1" applyFont="1" applyFill="1" applyBorder="1"/>
    <xf numFmtId="6" fontId="19" fillId="0" borderId="0" xfId="0" applyNumberFormat="1" applyFont="1"/>
    <xf numFmtId="0" fontId="5" fillId="9" borderId="1" xfId="0" applyFont="1" applyFill="1" applyBorder="1"/>
    <xf numFmtId="0" fontId="29" fillId="9" borderId="1" xfId="0" applyFont="1" applyFill="1" applyBorder="1" applyAlignment="1">
      <alignment horizontal="center"/>
    </xf>
    <xf numFmtId="0" fontId="3" fillId="9" borderId="1" xfId="0" applyFont="1" applyFill="1" applyBorder="1"/>
    <xf numFmtId="0" fontId="10" fillId="13" borderId="1" xfId="0" applyFont="1" applyFill="1" applyBorder="1"/>
    <xf numFmtId="0" fontId="10" fillId="9" borderId="1" xfId="0" applyFont="1" applyFill="1" applyBorder="1"/>
    <xf numFmtId="0" fontId="10" fillId="0" borderId="0" xfId="0" applyFont="1"/>
    <xf numFmtId="181" fontId="5" fillId="0" borderId="66" xfId="0" applyNumberFormat="1" applyFont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179" fontId="5" fillId="9" borderId="1" xfId="0" applyNumberFormat="1" applyFont="1" applyFill="1" applyBorder="1"/>
    <xf numFmtId="0" fontId="5" fillId="0" borderId="67" xfId="0" applyFont="1" applyBorder="1" applyAlignment="1">
      <alignment horizontal="center"/>
    </xf>
    <xf numFmtId="17" fontId="10" fillId="13" borderId="67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68" xfId="0" applyFont="1" applyBorder="1"/>
    <xf numFmtId="0" fontId="5" fillId="9" borderId="68" xfId="0" applyFont="1" applyFill="1" applyBorder="1"/>
    <xf numFmtId="3" fontId="5" fillId="14" borderId="68" xfId="0" applyNumberFormat="1" applyFont="1" applyFill="1" applyBorder="1" applyAlignment="1">
      <alignment horizontal="right" vertical="center"/>
    </xf>
    <xf numFmtId="0" fontId="5" fillId="9" borderId="68" xfId="0" applyFont="1" applyFill="1" applyBorder="1" applyAlignment="1">
      <alignment horizontal="center"/>
    </xf>
    <xf numFmtId="3" fontId="10" fillId="15" borderId="68" xfId="0" applyNumberFormat="1" applyFont="1" applyFill="1" applyBorder="1" applyAlignment="1">
      <alignment horizontal="center" vertical="center"/>
    </xf>
    <xf numFmtId="3" fontId="5" fillId="9" borderId="1" xfId="0" applyNumberFormat="1" applyFont="1" applyFill="1" applyBorder="1"/>
    <xf numFmtId="182" fontId="5" fillId="14" borderId="68" xfId="0" applyNumberFormat="1" applyFont="1" applyFill="1" applyBorder="1" applyAlignment="1">
      <alignment horizontal="right" vertical="center"/>
    </xf>
    <xf numFmtId="182" fontId="5" fillId="9" borderId="68" xfId="0" applyNumberFormat="1" applyFont="1" applyFill="1" applyBorder="1" applyAlignment="1">
      <alignment horizontal="center"/>
    </xf>
    <xf numFmtId="182" fontId="10" fillId="15" borderId="68" xfId="0" applyNumberFormat="1" applyFont="1" applyFill="1" applyBorder="1" applyAlignment="1">
      <alignment horizontal="center" vertical="center"/>
    </xf>
    <xf numFmtId="181" fontId="5" fillId="14" borderId="68" xfId="0" applyNumberFormat="1" applyFont="1" applyFill="1" applyBorder="1" applyAlignment="1">
      <alignment horizontal="right" vertical="center"/>
    </xf>
    <xf numFmtId="181" fontId="10" fillId="15" borderId="68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3" fontId="5" fillId="9" borderId="68" xfId="0" applyNumberFormat="1" applyFont="1" applyFill="1" applyBorder="1" applyAlignment="1">
      <alignment horizontal="center"/>
    </xf>
    <xf numFmtId="0" fontId="5" fillId="16" borderId="1" xfId="0" applyFont="1" applyFill="1" applyBorder="1"/>
    <xf numFmtId="0" fontId="5" fillId="16" borderId="68" xfId="0" applyFont="1" applyFill="1" applyBorder="1"/>
    <xf numFmtId="3" fontId="5" fillId="16" borderId="68" xfId="0" applyNumberFormat="1" applyFont="1" applyFill="1" applyBorder="1" applyAlignment="1">
      <alignment horizontal="right" vertical="center"/>
    </xf>
    <xf numFmtId="3" fontId="5" fillId="16" borderId="68" xfId="0" applyNumberFormat="1" applyFont="1" applyFill="1" applyBorder="1" applyAlignment="1">
      <alignment horizontal="center"/>
    </xf>
    <xf numFmtId="3" fontId="10" fillId="16" borderId="68" xfId="0" applyNumberFormat="1" applyFont="1" applyFill="1" applyBorder="1" applyAlignment="1">
      <alignment horizontal="center" vertical="center"/>
    </xf>
    <xf numFmtId="169" fontId="5" fillId="14" borderId="68" xfId="0" applyNumberFormat="1" applyFont="1" applyFill="1" applyBorder="1" applyAlignment="1">
      <alignment horizontal="right" vertical="center"/>
    </xf>
    <xf numFmtId="169" fontId="10" fillId="15" borderId="68" xfId="0" applyNumberFormat="1" applyFont="1" applyFill="1" applyBorder="1" applyAlignment="1">
      <alignment horizontal="center" vertical="center"/>
    </xf>
    <xf numFmtId="0" fontId="5" fillId="9" borderId="68" xfId="0" applyFont="1" applyFill="1" applyBorder="1" applyAlignment="1">
      <alignment horizontal="center" vertical="center"/>
    </xf>
    <xf numFmtId="0" fontId="30" fillId="16" borderId="68" xfId="0" applyFont="1" applyFill="1" applyBorder="1"/>
    <xf numFmtId="0" fontId="5" fillId="16" borderId="68" xfId="0" applyFont="1" applyFill="1" applyBorder="1" applyAlignment="1">
      <alignment horizontal="center" vertical="center"/>
    </xf>
    <xf numFmtId="0" fontId="30" fillId="0" borderId="68" xfId="0" applyFont="1" applyBorder="1"/>
    <xf numFmtId="0" fontId="30" fillId="9" borderId="68" xfId="0" applyFont="1" applyFill="1" applyBorder="1"/>
    <xf numFmtId="9" fontId="5" fillId="14" borderId="68" xfId="0" applyNumberFormat="1" applyFont="1" applyFill="1" applyBorder="1" applyAlignment="1">
      <alignment horizontal="right" vertical="center"/>
    </xf>
    <xf numFmtId="0" fontId="5" fillId="0" borderId="68" xfId="0" applyFont="1" applyBorder="1" applyAlignment="1">
      <alignment horizontal="center" vertical="center"/>
    </xf>
    <xf numFmtId="0" fontId="30" fillId="0" borderId="68" xfId="0" applyFont="1" applyBorder="1" applyAlignment="1">
      <alignment vertical="center"/>
    </xf>
    <xf numFmtId="0" fontId="30" fillId="9" borderId="68" xfId="0" applyFont="1" applyFill="1" applyBorder="1" applyAlignment="1">
      <alignment vertical="center"/>
    </xf>
    <xf numFmtId="3" fontId="5" fillId="17" borderId="68" xfId="0" applyNumberFormat="1" applyFont="1" applyFill="1" applyBorder="1" applyAlignment="1">
      <alignment horizontal="right" vertical="center"/>
    </xf>
    <xf numFmtId="3" fontId="5" fillId="9" borderId="68" xfId="0" applyNumberFormat="1" applyFont="1" applyFill="1" applyBorder="1" applyAlignment="1">
      <alignment horizontal="right" vertical="center"/>
    </xf>
    <xf numFmtId="4" fontId="5" fillId="17" borderId="68" xfId="0" applyNumberFormat="1" applyFont="1" applyFill="1" applyBorder="1" applyAlignment="1">
      <alignment horizontal="right" vertical="center"/>
    </xf>
    <xf numFmtId="183" fontId="10" fillId="15" borderId="68" xfId="0" applyNumberFormat="1" applyFont="1" applyFill="1" applyBorder="1" applyAlignment="1">
      <alignment horizontal="center" vertical="center"/>
    </xf>
    <xf numFmtId="9" fontId="5" fillId="17" borderId="68" xfId="0" applyNumberFormat="1" applyFont="1" applyFill="1" applyBorder="1" applyAlignment="1">
      <alignment horizontal="right" vertical="center"/>
    </xf>
    <xf numFmtId="9" fontId="5" fillId="9" borderId="68" xfId="0" applyNumberFormat="1" applyFont="1" applyFill="1" applyBorder="1" applyAlignment="1">
      <alignment horizontal="right" vertical="center"/>
    </xf>
    <xf numFmtId="10" fontId="10" fillId="15" borderId="68" xfId="0" applyNumberFormat="1" applyFont="1" applyFill="1" applyBorder="1" applyAlignment="1">
      <alignment horizontal="center" vertical="center"/>
    </xf>
    <xf numFmtId="0" fontId="30" fillId="9" borderId="1" xfId="0" applyFont="1" applyFill="1" applyBorder="1" applyAlignment="1">
      <alignment vertical="center"/>
    </xf>
    <xf numFmtId="10" fontId="5" fillId="0" borderId="0" xfId="0" applyNumberFormat="1" applyFont="1" applyAlignment="1">
      <alignment horizontal="right" vertical="center"/>
    </xf>
    <xf numFmtId="10" fontId="3" fillId="0" borderId="0" xfId="0" applyNumberFormat="1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3" fontId="5" fillId="0" borderId="68" xfId="0" applyNumberFormat="1" applyFont="1" applyBorder="1" applyAlignment="1">
      <alignment horizontal="right" vertical="center"/>
    </xf>
    <xf numFmtId="0" fontId="31" fillId="9" borderId="1" xfId="0" applyFont="1" applyFill="1" applyBorder="1"/>
    <xf numFmtId="4" fontId="5" fillId="9" borderId="68" xfId="0" applyNumberFormat="1" applyFont="1" applyFill="1" applyBorder="1" applyAlignment="1">
      <alignment horizontal="right" vertical="center"/>
    </xf>
    <xf numFmtId="10" fontId="5" fillId="9" borderId="68" xfId="0" applyNumberFormat="1" applyFont="1" applyFill="1" applyBorder="1" applyAlignment="1">
      <alignment horizontal="right" vertical="center"/>
    </xf>
    <xf numFmtId="4" fontId="5" fillId="0" borderId="68" xfId="0" applyNumberFormat="1" applyFont="1" applyBorder="1" applyAlignment="1">
      <alignment horizontal="right" vertical="center"/>
    </xf>
    <xf numFmtId="10" fontId="5" fillId="0" borderId="68" xfId="0" applyNumberFormat="1" applyFont="1" applyBorder="1" applyAlignment="1">
      <alignment horizontal="right" vertical="center"/>
    </xf>
    <xf numFmtId="0" fontId="5" fillId="0" borderId="68" xfId="0" applyFont="1" applyBorder="1" applyAlignment="1">
      <alignment vertical="center"/>
    </xf>
    <xf numFmtId="10" fontId="5" fillId="9" borderId="1" xfId="0" applyNumberFormat="1" applyFont="1" applyFill="1" applyBorder="1"/>
    <xf numFmtId="0" fontId="31" fillId="9" borderId="1" xfId="0" applyFont="1" applyFill="1" applyBorder="1" applyAlignment="1">
      <alignment horizontal="center"/>
    </xf>
    <xf numFmtId="181" fontId="5" fillId="0" borderId="67" xfId="0" applyNumberFormat="1" applyFont="1" applyBorder="1" applyAlignment="1">
      <alignment horizontal="center"/>
    </xf>
    <xf numFmtId="166" fontId="5" fillId="0" borderId="16" xfId="0" applyNumberFormat="1" applyFont="1" applyBorder="1"/>
    <xf numFmtId="0" fontId="3" fillId="18" borderId="1" xfId="0" applyFont="1" applyFill="1" applyBorder="1"/>
    <xf numFmtId="166" fontId="3" fillId="18" borderId="1" xfId="0" applyNumberFormat="1" applyFont="1" applyFill="1" applyBorder="1" applyAlignment="1">
      <alignment horizontal="center"/>
    </xf>
    <xf numFmtId="0" fontId="3" fillId="19" borderId="1" xfId="0" applyFont="1" applyFill="1" applyBorder="1"/>
    <xf numFmtId="166" fontId="3" fillId="19" borderId="1" xfId="0" applyNumberFormat="1" applyFont="1" applyFill="1" applyBorder="1"/>
    <xf numFmtId="166" fontId="3" fillId="18" borderId="1" xfId="0" applyNumberFormat="1" applyFont="1" applyFill="1" applyBorder="1"/>
    <xf numFmtId="0" fontId="5" fillId="0" borderId="75" xfId="0" applyFont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9" fontId="5" fillId="0" borderId="16" xfId="2" applyFont="1" applyBorder="1" applyAlignment="1">
      <alignment horizontal="center" vertical="center"/>
    </xf>
    <xf numFmtId="0" fontId="2" fillId="0" borderId="0" xfId="0" applyFont="1"/>
    <xf numFmtId="9" fontId="0" fillId="0" borderId="0" xfId="2" applyFont="1"/>
    <xf numFmtId="43" fontId="0" fillId="0" borderId="0" xfId="1" applyFont="1"/>
    <xf numFmtId="173" fontId="3" fillId="0" borderId="0" xfId="0" applyNumberFormat="1" applyFont="1" applyAlignment="1">
      <alignment horizontal="center" vertical="center"/>
    </xf>
    <xf numFmtId="0" fontId="33" fillId="0" borderId="0" xfId="0" applyFont="1"/>
    <xf numFmtId="0" fontId="5" fillId="0" borderId="81" xfId="0" applyFont="1" applyBorder="1" applyAlignment="1">
      <alignment horizontal="left" vertical="center" wrapText="1"/>
    </xf>
    <xf numFmtId="0" fontId="5" fillId="0" borderId="59" xfId="0" applyFont="1" applyBorder="1" applyAlignment="1">
      <alignment horizontal="left" vertical="center" wrapText="1"/>
    </xf>
    <xf numFmtId="0" fontId="5" fillId="0" borderId="82" xfId="0" applyFont="1" applyBorder="1" applyAlignment="1">
      <alignment horizontal="left" vertical="center" wrapText="1"/>
    </xf>
    <xf numFmtId="0" fontId="3" fillId="0" borderId="81" xfId="0" applyFont="1" applyBorder="1" applyAlignment="1">
      <alignment horizontal="left" vertical="center" wrapText="1"/>
    </xf>
    <xf numFmtId="0" fontId="5" fillId="0" borderId="59" xfId="0" applyFont="1" applyBorder="1" applyAlignment="1">
      <alignment vertical="center" wrapText="1"/>
    </xf>
    <xf numFmtId="0" fontId="8" fillId="0" borderId="59" xfId="0" applyFont="1" applyBorder="1" applyAlignment="1">
      <alignment horizontal="left" vertical="center"/>
    </xf>
    <xf numFmtId="170" fontId="5" fillId="0" borderId="82" xfId="0" applyNumberFormat="1" applyFont="1" applyBorder="1" applyAlignment="1">
      <alignment horizontal="left" vertical="center"/>
    </xf>
    <xf numFmtId="171" fontId="5" fillId="0" borderId="81" xfId="0" applyNumberFormat="1" applyFont="1" applyBorder="1" applyAlignment="1">
      <alignment horizontal="left" vertical="center"/>
    </xf>
    <xf numFmtId="171" fontId="5" fillId="0" borderId="59" xfId="0" applyNumberFormat="1" applyFont="1" applyBorder="1" applyAlignment="1">
      <alignment horizontal="left" vertical="center"/>
    </xf>
    <xf numFmtId="171" fontId="3" fillId="0" borderId="81" xfId="0" applyNumberFormat="1" applyFont="1" applyBorder="1" applyAlignment="1">
      <alignment horizontal="left" vertical="center"/>
    </xf>
    <xf numFmtId="0" fontId="15" fillId="0" borderId="8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/>
    </xf>
    <xf numFmtId="0" fontId="17" fillId="4" borderId="83" xfId="0" applyFont="1" applyFill="1" applyBorder="1" applyAlignment="1">
      <alignment horizontal="center" vertical="center" wrapText="1"/>
    </xf>
    <xf numFmtId="0" fontId="17" fillId="4" borderId="84" xfId="0" applyFont="1" applyFill="1" applyBorder="1" applyAlignment="1">
      <alignment horizontal="center" vertical="center" wrapText="1"/>
    </xf>
    <xf numFmtId="0" fontId="5" fillId="0" borderId="81" xfId="0" applyFont="1" applyBorder="1" applyAlignment="1">
      <alignment horizontal="center" vertical="center"/>
    </xf>
    <xf numFmtId="0" fontId="8" fillId="0" borderId="59" xfId="0" applyFont="1" applyBorder="1" applyAlignment="1">
      <alignment horizontal="left"/>
    </xf>
    <xf numFmtId="0" fontId="5" fillId="0" borderId="59" xfId="0" applyFont="1" applyBorder="1" applyAlignment="1">
      <alignment horizontal="center" vertical="center"/>
    </xf>
    <xf numFmtId="172" fontId="5" fillId="0" borderId="59" xfId="0" applyNumberFormat="1" applyFont="1" applyBorder="1" applyAlignment="1">
      <alignment horizontal="center" vertical="center"/>
    </xf>
    <xf numFmtId="173" fontId="5" fillId="0" borderId="82" xfId="0" applyNumberFormat="1" applyFont="1" applyBorder="1" applyAlignment="1">
      <alignment horizontal="center" vertical="center"/>
    </xf>
    <xf numFmtId="3" fontId="7" fillId="0" borderId="59" xfId="0" applyNumberFormat="1" applyFont="1" applyBorder="1" applyAlignment="1">
      <alignment horizontal="center"/>
    </xf>
    <xf numFmtId="0" fontId="5" fillId="0" borderId="81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right" vertical="center"/>
    </xf>
    <xf numFmtId="173" fontId="3" fillId="0" borderId="82" xfId="0" applyNumberFormat="1" applyFont="1" applyBorder="1" applyAlignment="1">
      <alignment horizontal="center" vertical="center"/>
    </xf>
    <xf numFmtId="0" fontId="3" fillId="0" borderId="86" xfId="0" applyFont="1" applyBorder="1" applyAlignment="1">
      <alignment horizontal="left" vertical="center" wrapText="1"/>
    </xf>
    <xf numFmtId="9" fontId="5" fillId="0" borderId="86" xfId="0" applyNumberFormat="1" applyFont="1" applyBorder="1" applyAlignment="1">
      <alignment horizontal="right" vertical="center"/>
    </xf>
    <xf numFmtId="0" fontId="5" fillId="0" borderId="87" xfId="0" applyFont="1" applyBorder="1" applyAlignment="1">
      <alignment horizontal="left" vertical="center" wrapText="1"/>
    </xf>
    <xf numFmtId="0" fontId="1" fillId="0" borderId="0" xfId="0" applyFont="1"/>
    <xf numFmtId="43" fontId="33" fillId="0" borderId="0" xfId="0" applyNumberFormat="1" applyFont="1"/>
    <xf numFmtId="0" fontId="34" fillId="0" borderId="59" xfId="0" applyFont="1" applyBorder="1"/>
    <xf numFmtId="3" fontId="0" fillId="0" borderId="88" xfId="0" applyNumberFormat="1" applyBorder="1" applyAlignment="1">
      <alignment horizontal="right" vertical="center"/>
    </xf>
    <xf numFmtId="3" fontId="0" fillId="20" borderId="88" xfId="0" applyNumberFormat="1" applyFill="1" applyBorder="1" applyAlignment="1">
      <alignment horizontal="right" vertical="center"/>
    </xf>
    <xf numFmtId="4" fontId="0" fillId="17" borderId="88" xfId="0" applyNumberFormat="1" applyFill="1" applyBorder="1" applyAlignment="1">
      <alignment horizontal="right" vertical="center"/>
    </xf>
    <xf numFmtId="9" fontId="1" fillId="20" borderId="88" xfId="3" applyFill="1" applyBorder="1" applyAlignment="1">
      <alignment horizontal="right" vertical="center"/>
    </xf>
    <xf numFmtId="10" fontId="1" fillId="0" borderId="59" xfId="3" applyNumberFormat="1" applyBorder="1" applyAlignment="1">
      <alignment horizontal="right" vertical="center"/>
    </xf>
    <xf numFmtId="3" fontId="0" fillId="21" borderId="88" xfId="0" applyNumberFormat="1" applyFill="1" applyBorder="1" applyAlignment="1">
      <alignment horizontal="right" vertical="center"/>
    </xf>
    <xf numFmtId="4" fontId="0" fillId="20" borderId="88" xfId="0" applyNumberFormat="1" applyFill="1" applyBorder="1" applyAlignment="1">
      <alignment horizontal="right" vertical="center"/>
    </xf>
    <xf numFmtId="10" fontId="0" fillId="20" borderId="88" xfId="3" applyNumberFormat="1" applyFont="1" applyFill="1" applyBorder="1" applyAlignment="1">
      <alignment horizontal="right" vertical="center"/>
    </xf>
    <xf numFmtId="10" fontId="1" fillId="20" borderId="88" xfId="3" applyNumberFormat="1" applyFill="1" applyBorder="1" applyAlignment="1">
      <alignment horizontal="right" vertical="center"/>
    </xf>
    <xf numFmtId="4" fontId="0" fillId="0" borderId="88" xfId="0" applyNumberFormat="1" applyBorder="1" applyAlignment="1">
      <alignment horizontal="right" vertical="center"/>
    </xf>
    <xf numFmtId="3" fontId="0" fillId="17" borderId="88" xfId="0" applyNumberFormat="1" applyFill="1" applyBorder="1" applyAlignment="1">
      <alignment horizontal="right" vertical="center"/>
    </xf>
    <xf numFmtId="169" fontId="1" fillId="21" borderId="88" xfId="3" applyNumberFormat="1" applyFill="1" applyBorder="1" applyAlignment="1">
      <alignment horizontal="right" vertical="center"/>
    </xf>
    <xf numFmtId="181" fontId="0" fillId="21" borderId="88" xfId="0" applyNumberFormat="1" applyFill="1" applyBorder="1" applyAlignment="1">
      <alignment horizontal="right" vertical="center"/>
    </xf>
    <xf numFmtId="3" fontId="21" fillId="0" borderId="0" xfId="0" applyNumberFormat="1" applyFont="1"/>
    <xf numFmtId="3" fontId="21" fillId="0" borderId="42" xfId="0" applyNumberFormat="1" applyFont="1" applyBorder="1"/>
    <xf numFmtId="3" fontId="21" fillId="0" borderId="36" xfId="0" applyNumberFormat="1" applyFont="1" applyBorder="1"/>
    <xf numFmtId="0" fontId="5" fillId="22" borderId="1" xfId="0" applyFont="1" applyFill="1" applyBorder="1"/>
    <xf numFmtId="0" fontId="30" fillId="23" borderId="68" xfId="0" applyFont="1" applyFill="1" applyBorder="1" applyAlignment="1">
      <alignment vertical="center"/>
    </xf>
    <xf numFmtId="0" fontId="30" fillId="22" borderId="68" xfId="0" applyFont="1" applyFill="1" applyBorder="1" applyAlignment="1">
      <alignment vertical="center"/>
    </xf>
    <xf numFmtId="3" fontId="5" fillId="22" borderId="68" xfId="0" applyNumberFormat="1" applyFont="1" applyFill="1" applyBorder="1" applyAlignment="1">
      <alignment horizontal="right" vertical="center"/>
    </xf>
    <xf numFmtId="3" fontId="1" fillId="23" borderId="88" xfId="3" applyNumberFormat="1" applyFill="1" applyBorder="1" applyAlignment="1">
      <alignment horizontal="right" vertical="center"/>
    </xf>
    <xf numFmtId="10" fontId="5" fillId="23" borderId="68" xfId="0" applyNumberFormat="1" applyFont="1" applyFill="1" applyBorder="1" applyAlignment="1">
      <alignment horizontal="right" vertical="center"/>
    </xf>
    <xf numFmtId="3" fontId="10" fillId="24" borderId="68" xfId="0" applyNumberFormat="1" applyFont="1" applyFill="1" applyBorder="1" applyAlignment="1">
      <alignment horizontal="center" vertical="center"/>
    </xf>
    <xf numFmtId="0" fontId="0" fillId="23" borderId="0" xfId="0" applyFill="1"/>
    <xf numFmtId="169" fontId="5" fillId="0" borderId="16" xfId="2" applyNumberFormat="1" applyFont="1" applyBorder="1" applyAlignment="1">
      <alignment horizontal="center" vertical="center"/>
    </xf>
    <xf numFmtId="41" fontId="0" fillId="0" borderId="0" xfId="4" applyFont="1"/>
    <xf numFmtId="41" fontId="33" fillId="0" borderId="0" xfId="4" applyFont="1"/>
    <xf numFmtId="43" fontId="33" fillId="25" borderId="0" xfId="0" applyNumberFormat="1" applyFont="1" applyFill="1"/>
    <xf numFmtId="164" fontId="0" fillId="0" borderId="0" xfId="5" applyFont="1"/>
    <xf numFmtId="164" fontId="39" fillId="0" borderId="0" xfId="5" applyFont="1"/>
    <xf numFmtId="164" fontId="39" fillId="25" borderId="0" xfId="5" applyFont="1" applyFill="1"/>
    <xf numFmtId="0" fontId="5" fillId="9" borderId="59" xfId="0" applyFont="1" applyFill="1" applyBorder="1"/>
    <xf numFmtId="0" fontId="29" fillId="9" borderId="59" xfId="0" applyFont="1" applyFill="1" applyBorder="1" applyAlignment="1">
      <alignment horizontal="center"/>
    </xf>
    <xf numFmtId="181" fontId="5" fillId="0" borderId="59" xfId="0" applyNumberFormat="1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17" fontId="10" fillId="13" borderId="59" xfId="0" applyNumberFormat="1" applyFont="1" applyFill="1" applyBorder="1" applyAlignment="1">
      <alignment horizontal="center"/>
    </xf>
    <xf numFmtId="10" fontId="5" fillId="9" borderId="59" xfId="0" applyNumberFormat="1" applyFont="1" applyFill="1" applyBorder="1"/>
    <xf numFmtId="169" fontId="19" fillId="0" borderId="0" xfId="0" applyNumberFormat="1" applyFont="1"/>
    <xf numFmtId="179" fontId="19" fillId="0" borderId="0" xfId="0" applyNumberFormat="1" applyFont="1"/>
    <xf numFmtId="176" fontId="19" fillId="0" borderId="1" xfId="0" applyNumberFormat="1" applyFont="1" applyBorder="1" applyAlignment="1">
      <alignment horizontal="center"/>
    </xf>
    <xf numFmtId="176" fontId="19" fillId="0" borderId="54" xfId="0" applyNumberFormat="1" applyFont="1" applyBorder="1" applyAlignment="1">
      <alignment horizontal="center"/>
    </xf>
    <xf numFmtId="165" fontId="0" fillId="25" borderId="0" xfId="0" applyNumberFormat="1" applyFill="1"/>
    <xf numFmtId="0" fontId="33" fillId="0" borderId="0" xfId="0" applyFont="1" applyAlignment="1">
      <alignment horizontal="center"/>
    </xf>
    <xf numFmtId="165" fontId="0" fillId="0" borderId="0" xfId="0" applyNumberFormat="1"/>
    <xf numFmtId="9" fontId="1" fillId="0" borderId="0" xfId="2" applyFont="1"/>
    <xf numFmtId="172" fontId="0" fillId="0" borderId="0" xfId="0" applyNumberFormat="1"/>
    <xf numFmtId="169" fontId="1" fillId="0" borderId="59" xfId="3" applyNumberFormat="1" applyFont="1" applyBorder="1"/>
    <xf numFmtId="169" fontId="0" fillId="0" borderId="59" xfId="3" applyNumberFormat="1" applyFont="1" applyBorder="1"/>
    <xf numFmtId="44" fontId="0" fillId="0" borderId="0" xfId="0" applyNumberFormat="1"/>
    <xf numFmtId="41" fontId="0" fillId="26" borderId="0" xfId="4" applyFont="1" applyFill="1"/>
    <xf numFmtId="169" fontId="6" fillId="0" borderId="16" xfId="2" applyNumberFormat="1" applyFont="1" applyBorder="1" applyAlignment="1">
      <alignment horizontal="center" vertical="center"/>
    </xf>
    <xf numFmtId="0" fontId="11" fillId="4" borderId="76" xfId="0" applyFont="1" applyFill="1" applyBorder="1" applyAlignment="1">
      <alignment horizontal="center" vertical="center"/>
    </xf>
    <xf numFmtId="0" fontId="12" fillId="0" borderId="77" xfId="0" applyFont="1" applyBorder="1"/>
    <xf numFmtId="0" fontId="12" fillId="0" borderId="78" xfId="0" applyFont="1" applyBorder="1"/>
    <xf numFmtId="0" fontId="13" fillId="0" borderId="79" xfId="0" applyFont="1" applyBorder="1" applyAlignment="1">
      <alignment horizontal="center" vertical="center" wrapText="1"/>
    </xf>
    <xf numFmtId="0" fontId="12" fillId="0" borderId="13" xfId="0" applyFont="1" applyBorder="1"/>
    <xf numFmtId="0" fontId="12" fillId="0" borderId="80" xfId="0" applyFont="1" applyBorder="1"/>
    <xf numFmtId="0" fontId="5" fillId="0" borderId="85" xfId="0" applyFont="1" applyBorder="1" applyAlignment="1">
      <alignment horizontal="left" vertical="center" wrapText="1"/>
    </xf>
    <xf numFmtId="0" fontId="12" fillId="0" borderId="86" xfId="0" applyFont="1" applyBorder="1"/>
    <xf numFmtId="0" fontId="3" fillId="0" borderId="24" xfId="0" applyFont="1" applyBorder="1" applyAlignment="1">
      <alignment horizontal="left" vertical="center" wrapText="1"/>
    </xf>
    <xf numFmtId="0" fontId="12" fillId="0" borderId="24" xfId="0" applyFont="1" applyBorder="1"/>
    <xf numFmtId="0" fontId="33" fillId="0" borderId="0" xfId="0" applyFont="1" applyAlignment="1">
      <alignment horizontal="center"/>
    </xf>
    <xf numFmtId="0" fontId="11" fillId="4" borderId="8" xfId="0" applyFont="1" applyFill="1" applyBorder="1" applyAlignment="1">
      <alignment horizontal="center" vertical="center"/>
    </xf>
    <xf numFmtId="0" fontId="12" fillId="0" borderId="9" xfId="0" applyFont="1" applyBorder="1"/>
    <xf numFmtId="0" fontId="12" fillId="0" borderId="18" xfId="0" applyFont="1" applyBorder="1"/>
    <xf numFmtId="0" fontId="12" fillId="0" borderId="10" xfId="0" applyFont="1" applyBorder="1"/>
    <xf numFmtId="0" fontId="13" fillId="0" borderId="1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/>
    </xf>
    <xf numFmtId="0" fontId="12" fillId="0" borderId="21" xfId="0" applyFont="1" applyBorder="1"/>
    <xf numFmtId="0" fontId="26" fillId="8" borderId="35" xfId="0" applyFont="1" applyFill="1" applyBorder="1" applyAlignment="1">
      <alignment horizontal="center" vertical="center"/>
    </xf>
    <xf numFmtId="0" fontId="12" fillId="0" borderId="36" xfId="0" applyFont="1" applyBorder="1"/>
    <xf numFmtId="0" fontId="12" fillId="0" borderId="37" xfId="0" applyFont="1" applyBorder="1"/>
    <xf numFmtId="0" fontId="12" fillId="0" borderId="38" xfId="0" applyFont="1" applyBorder="1"/>
    <xf numFmtId="0" fontId="12" fillId="0" borderId="39" xfId="0" applyFont="1" applyBorder="1"/>
    <xf numFmtId="0" fontId="12" fillId="0" borderId="40" xfId="0" applyFont="1" applyBorder="1"/>
    <xf numFmtId="0" fontId="27" fillId="12" borderId="44" xfId="0" applyFont="1" applyFill="1" applyBorder="1" applyAlignment="1">
      <alignment horizontal="center"/>
    </xf>
    <xf numFmtId="0" fontId="12" fillId="0" borderId="45" xfId="0" applyFont="1" applyBorder="1"/>
    <xf numFmtId="0" fontId="17" fillId="6" borderId="26" xfId="0" applyFont="1" applyFill="1" applyBorder="1" applyAlignment="1">
      <alignment horizontal="center" vertical="center" wrapText="1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0" fontId="0" fillId="0" borderId="0" xfId="0"/>
    <xf numFmtId="0" fontId="12" fillId="0" borderId="30" xfId="0" applyFont="1" applyBorder="1"/>
    <xf numFmtId="0" fontId="12" fillId="0" borderId="31" xfId="0" applyFont="1" applyBorder="1"/>
    <xf numFmtId="0" fontId="12" fillId="0" borderId="32" xfId="0" applyFont="1" applyBorder="1"/>
    <xf numFmtId="0" fontId="12" fillId="0" borderId="33" xfId="0" applyFont="1" applyBorder="1"/>
    <xf numFmtId="0" fontId="26" fillId="8" borderId="41" xfId="0" applyFont="1" applyFill="1" applyBorder="1" applyAlignment="1">
      <alignment horizontal="center" vertical="center" textRotation="255"/>
    </xf>
    <xf numFmtId="0" fontId="12" fillId="0" borderId="43" xfId="0" applyFont="1" applyBorder="1"/>
    <xf numFmtId="0" fontId="12" fillId="0" borderId="50" xfId="0" applyFont="1" applyBorder="1"/>
    <xf numFmtId="0" fontId="27" fillId="11" borderId="44" xfId="0" applyFont="1" applyFill="1" applyBorder="1" applyAlignment="1">
      <alignment horizontal="center"/>
    </xf>
    <xf numFmtId="0" fontId="27" fillId="11" borderId="46" xfId="0" applyFont="1" applyFill="1" applyBorder="1" applyAlignment="1">
      <alignment horizontal="center"/>
    </xf>
    <xf numFmtId="0" fontId="12" fillId="0" borderId="47" xfId="0" applyFont="1" applyBorder="1"/>
    <xf numFmtId="0" fontId="27" fillId="12" borderId="46" xfId="0" applyFont="1" applyFill="1" applyBorder="1" applyAlignment="1">
      <alignment horizontal="center"/>
    </xf>
    <xf numFmtId="0" fontId="26" fillId="8" borderId="41" xfId="0" applyFont="1" applyFill="1" applyBorder="1" applyAlignment="1">
      <alignment horizontal="center" vertical="center"/>
    </xf>
    <xf numFmtId="0" fontId="27" fillId="11" borderId="55" xfId="0" applyFont="1" applyFill="1" applyBorder="1" applyAlignment="1">
      <alignment horizontal="center"/>
    </xf>
    <xf numFmtId="0" fontId="12" fillId="0" borderId="56" xfId="0" applyFont="1" applyBorder="1"/>
    <xf numFmtId="0" fontId="27" fillId="11" borderId="57" xfId="0" applyFont="1" applyFill="1" applyBorder="1" applyAlignment="1">
      <alignment horizontal="center"/>
    </xf>
    <xf numFmtId="0" fontId="12" fillId="0" borderId="58" xfId="0" applyFont="1" applyBorder="1"/>
    <xf numFmtId="0" fontId="29" fillId="9" borderId="46" xfId="0" applyFont="1" applyFill="1" applyBorder="1" applyAlignment="1">
      <alignment horizontal="left"/>
    </xf>
    <xf numFmtId="0" fontId="12" fillId="0" borderId="59" xfId="0" applyFont="1" applyBorder="1"/>
    <xf numFmtId="0" fontId="8" fillId="0" borderId="60" xfId="0" applyFont="1" applyBorder="1" applyAlignment="1">
      <alignment horizontal="center"/>
    </xf>
    <xf numFmtId="0" fontId="12" fillId="0" borderId="61" xfId="0" applyFont="1" applyBorder="1"/>
    <xf numFmtId="0" fontId="12" fillId="0" borderId="62" xfId="0" applyFont="1" applyBorder="1"/>
    <xf numFmtId="0" fontId="12" fillId="0" borderId="63" xfId="0" applyFont="1" applyBorder="1"/>
    <xf numFmtId="0" fontId="12" fillId="0" borderId="64" xfId="0" applyFont="1" applyBorder="1"/>
    <xf numFmtId="0" fontId="12" fillId="0" borderId="65" xfId="0" applyFont="1" applyBorder="1"/>
    <xf numFmtId="0" fontId="8" fillId="0" borderId="69" xfId="0" applyFont="1" applyBorder="1" applyAlignment="1">
      <alignment horizontal="center"/>
    </xf>
    <xf numFmtId="0" fontId="12" fillId="0" borderId="70" xfId="0" applyFont="1" applyBorder="1"/>
    <xf numFmtId="0" fontId="12" fillId="0" borderId="71" xfId="0" applyFont="1" applyBorder="1"/>
    <xf numFmtId="0" fontId="12" fillId="0" borderId="72" xfId="0" applyFont="1" applyBorder="1"/>
    <xf numFmtId="0" fontId="12" fillId="0" borderId="73" xfId="0" applyFont="1" applyBorder="1"/>
    <xf numFmtId="0" fontId="12" fillId="0" borderId="74" xfId="0" applyFont="1" applyBorder="1"/>
  </cellXfs>
  <cellStyles count="6">
    <cellStyle name="Millares" xfId="1" builtinId="3"/>
    <cellStyle name="Millares [0]" xfId="4" builtinId="6"/>
    <cellStyle name="Moneda [0]" xfId="5" builtinId="7"/>
    <cellStyle name="Normal" xfId="0" builtinId="0"/>
    <cellStyle name="Porcentaje" xfId="2" builtinId="5"/>
    <cellStyle name="Porcentaje 25" xfId="3" xr:uid="{DA2CBEBE-11DB-A640-9DD4-234993165F45}"/>
  </cellStyles>
  <dxfs count="81"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numFmt numFmtId="166" formatCode="_-* #,##0.00_-;\-* #,##0.00_-;_-* &quot;-&quot;??_-;_-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3" formatCode="_-&quot;$&quot;* #,##0.00_-;\-&quot;$&quot;* #,##0.00_-;_-&quot;$&quot;* &quot;-&quot;??_-;_-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3" formatCode="_-&quot;$&quot;* #,##0.00_-;\-&quot;$&quot;* #,##0.00_-;_-&quot;$&quot;* &quot;-&quot;??_-;_-@"/>
      <alignment horizontal="center" vertical="center" textRotation="0" wrapText="0" indent="0" justifyLastLine="0" shrinkToFit="0" readingOrder="0"/>
    </dxf>
    <dxf>
      <numFmt numFmtId="166" formatCode="_-* #,##0.00_-;\-* #,##0.00_-;_-* &quot;-&quot;??_-;_-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3" formatCode="_-&quot;$&quot;* #,##0.00_-;\-&quot;$&quot;* #,##0.00_-;_-&quot;$&quot;* &quot;-&quot;??_-;_-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3" formatCode="_-&quot;$&quot;* #,##0.00_-;\-&quot;$&quot;* #,##0.00_-;_-&quot;$&quot;* &quot;-&quot;??_-;_-@"/>
      <alignment horizontal="center" vertical="center" textRotation="0" wrapText="0" indent="0" justifyLastLine="0" shrinkToFit="0" readingOrder="0"/>
    </dxf>
    <dxf>
      <numFmt numFmtId="166" formatCode="_-* #,##0.00_-;\-* #,##0.00_-;_-* &quot;-&quot;??_-;_-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3" formatCode="_-&quot;$&quot;* #,##0.00_-;\-&quot;$&quot;* #,##0.00_-;_-&quot;$&quot;* &quot;-&quot;??_-;_-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3" formatCode="_-&quot;$&quot;* #,##0.00_-;\-&quot;$&quot;* #,##0.00_-;_-&quot;$&quot;* &quot;-&quot;??_-;_-@"/>
      <alignment horizontal="center" vertical="center" textRotation="0" wrapText="0" indent="0" justifyLastLine="0" shrinkToFit="0" readingOrder="0"/>
    </dxf>
    <dxf>
      <numFmt numFmtId="166" formatCode="_-* #,##0.00_-;\-* #,##0.00_-;_-* &quot;-&quot;??_-;_-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3" formatCode="_-&quot;$&quot;* #,##0.00_-;\-&quot;$&quot;* #,##0.00_-;_-&quot;$&quot;* &quot;-&quot;??_-;_-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3" formatCode="_-&quot;$&quot;* #,##0.00_-;\-&quot;$&quot;* #,##0.00_-;_-&quot;$&quot;* &quot;-&quot;??_-;_-@"/>
      <alignment horizontal="center" vertical="center" textRotation="0" wrapText="0" indent="0" justifyLastLine="0" shrinkToFit="0" readingOrder="0"/>
    </dxf>
    <dxf>
      <numFmt numFmtId="173" formatCode="_-&quot;$&quot;* #,##0.00_-;\-&quot;$&quot;* #,##0.00_-;_-&quot;$&quot;* &quot;-&quot;??_-;_-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3" formatCode="_-&quot;$&quot;* #,##0.00_-;\-&quot;$&quot;* #,##0.00_-;_-&quot;$&quot;* &quot;-&quot;??_-;_-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3" formatCode="_-&quot;$&quot;* #,##0.00_-;\-&quot;$&quot;* #,##0.00_-;_-&quot;$&quot;* &quot;-&quot;??_-;_-@"/>
      <alignment horizontal="center" vertical="center" textRotation="0" wrapText="0" indent="0" justifyLastLine="0" shrinkToFit="0" readingOrder="0"/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4">
    <tableStyle name="Calculadora INC Agosto-style" pivot="0" count="4" xr9:uid="{00000000-0011-0000-FFFF-FFFF00000000}">
      <tableStyleElement type="headerRow" dxfId="80"/>
      <tableStyleElement type="totalRow" dxfId="79"/>
      <tableStyleElement type="firstRowStripe" dxfId="78"/>
      <tableStyleElement type="secondRowStripe" dxfId="77"/>
    </tableStyle>
    <tableStyle name="Calculadora MCS Agosto-style" pivot="0" count="4" xr9:uid="{00000000-0011-0000-FFFF-FFFF01000000}">
      <tableStyleElement type="headerRow" dxfId="76"/>
      <tableStyleElement type="totalRow" dxfId="75"/>
      <tableStyleElement type="firstRowStripe" dxfId="74"/>
      <tableStyleElement type="secondRowStripe" dxfId="73"/>
    </tableStyle>
    <tableStyle name="Calculadora INC Julio-style" pivot="0" count="4" xr9:uid="{00000000-0011-0000-FFFF-FFFF02000000}">
      <tableStyleElement type="headerRow" dxfId="72"/>
      <tableStyleElement type="totalRow" dxfId="71"/>
      <tableStyleElement type="firstRowStripe" dxfId="70"/>
      <tableStyleElement type="secondRowStripe" dxfId="69"/>
    </tableStyle>
    <tableStyle name="Calculadora MCS Julio-style" pivot="0" count="4" xr9:uid="{00000000-0011-0000-FFFF-FFFF03000000}">
      <tableStyleElement type="headerRow" dxfId="68"/>
      <tableStyleElement type="totalRow" dxfId="67"/>
      <tableStyleElement type="firstRowStripe" dxfId="66"/>
      <tableStyleElement type="secondRowStripe" dxfId="65"/>
    </tableStyle>
    <tableStyle name="Calculadora INC Junio-style" pivot="0" count="4" xr9:uid="{00000000-0011-0000-FFFF-FFFF04000000}">
      <tableStyleElement type="headerRow" dxfId="64"/>
      <tableStyleElement type="totalRow" dxfId="63"/>
      <tableStyleElement type="firstRowStripe" dxfId="62"/>
      <tableStyleElement type="secondRowStripe" dxfId="61"/>
    </tableStyle>
    <tableStyle name="Calculadora MCS Junio-style" pivot="0" count="4" xr9:uid="{00000000-0011-0000-FFFF-FFFF05000000}">
      <tableStyleElement type="headerRow" dxfId="60"/>
      <tableStyleElement type="totalRow" dxfId="59"/>
      <tableStyleElement type="firstRowStripe" dxfId="58"/>
      <tableStyleElement type="secondRowStripe" dxfId="57"/>
    </tableStyle>
    <tableStyle name="Calculadora INC Mayo-style" pivot="0" count="4" xr9:uid="{00000000-0011-0000-FFFF-FFFF06000000}">
      <tableStyleElement type="headerRow" dxfId="56"/>
      <tableStyleElement type="totalRow" dxfId="55"/>
      <tableStyleElement type="firstRowStripe" dxfId="54"/>
      <tableStyleElement type="secondRowStripe" dxfId="53"/>
    </tableStyle>
    <tableStyle name="Calculadora MCS Mayo-style" pivot="0" count="4" xr9:uid="{00000000-0011-0000-FFFF-FFFF07000000}">
      <tableStyleElement type="headerRow" dxfId="52"/>
      <tableStyleElement type="totalRow" dxfId="51"/>
      <tableStyleElement type="firstRowStripe" dxfId="50"/>
      <tableStyleElement type="secondRowStripe" dxfId="49"/>
    </tableStyle>
    <tableStyle name="Calculadora INC Abril-style" pivot="0" count="4" xr9:uid="{00000000-0011-0000-FFFF-FFFF08000000}">
      <tableStyleElement type="headerRow" dxfId="48"/>
      <tableStyleElement type="totalRow" dxfId="47"/>
      <tableStyleElement type="firstRowStripe" dxfId="46"/>
      <tableStyleElement type="secondRowStripe" dxfId="45"/>
    </tableStyle>
    <tableStyle name="Calculadora MCS Abril-style" pivot="0" count="4" xr9:uid="{00000000-0011-0000-FFFF-FFFF09000000}">
      <tableStyleElement type="headerRow" dxfId="44"/>
      <tableStyleElement type="totalRow" dxfId="43"/>
      <tableStyleElement type="firstRowStripe" dxfId="42"/>
      <tableStyleElement type="secondRowStripe" dxfId="41"/>
    </tableStyle>
    <tableStyle name="Calculadora INC Marzo-style" pivot="0" count="4" xr9:uid="{00000000-0011-0000-FFFF-FFFF0A000000}">
      <tableStyleElement type="headerRow" dxfId="40"/>
      <tableStyleElement type="totalRow" dxfId="39"/>
      <tableStyleElement type="firstRowStripe" dxfId="38"/>
      <tableStyleElement type="secondRowStripe" dxfId="37"/>
    </tableStyle>
    <tableStyle name="Calculadora MCS Marzo-style" pivot="0" count="4" xr9:uid="{00000000-0011-0000-FFFF-FFFF0B000000}">
      <tableStyleElement type="headerRow" dxfId="36"/>
      <tableStyleElement type="totalRow" dxfId="35"/>
      <tableStyleElement type="firstRowStripe" dxfId="34"/>
      <tableStyleElement type="secondRowStripe" dxfId="33"/>
    </tableStyle>
    <tableStyle name="Calculadora INC Febrero-style" pivot="0" count="4" xr9:uid="{00000000-0011-0000-FFFF-FFFF0C000000}">
      <tableStyleElement type="headerRow" dxfId="32"/>
      <tableStyleElement type="totalRow" dxfId="31"/>
      <tableStyleElement type="firstRowStripe" dxfId="30"/>
      <tableStyleElement type="secondRowStripe" dxfId="29"/>
    </tableStyle>
    <tableStyle name="Calculadora MCS Febrero-style" pivot="0" count="4" xr9:uid="{00000000-0011-0000-FFFF-FFFF0D000000}">
      <tableStyleElement type="headerRow" dxfId="28"/>
      <tableStyleElement type="total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9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10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11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12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13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14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comments15.xml.rels><?xml version="1.0" encoding="UTF-8" standalone="yes"?>
<Relationships xmlns="http://schemas.openxmlformats.org/package/2006/relationships"><Relationship Id="rId1" Type="http://customschemas.google.com/relationships/workbookmetadata" Target="commentsmeta8"/></Relationships>
</file>

<file path=xl/_rels/comments16.xml.rels><?xml version="1.0" encoding="UTF-8" standalone="yes"?>
<Relationships xmlns="http://schemas.openxmlformats.org/package/2006/relationships"><Relationship Id="rId1" Type="http://customschemas.google.com/relationships/workbookmetadata" Target="commentsmeta9"/></Relationships>
</file>

<file path=xl/_rels/comments17.xml.rels><?xml version="1.0" encoding="UTF-8" standalone="yes"?>
<Relationships xmlns="http://schemas.openxmlformats.org/package/2006/relationships"><Relationship Id="rId1" Type="http://customschemas.google.com/relationships/workbookmetadata" Target="commentsmeta10"/></Relationships>
</file>

<file path=xl/_rels/comments18.xml.rels><?xml version="1.0" encoding="UTF-8" standalone="yes"?>
<Relationships xmlns="http://schemas.openxmlformats.org/package/2006/relationships"><Relationship Id="rId1" Type="http://customschemas.google.com/relationships/workbookmetadata" Target="commentsmeta11"/></Relationships>
</file>

<file path=xl/_rels/comments19.xml.rels><?xml version="1.0" encoding="UTF-8" standalone="yes"?>
<Relationships xmlns="http://schemas.openxmlformats.org/package/2006/relationships"><Relationship Id="rId1" Type="http://customschemas.google.com/relationships/workbookmetadata" Target="commentsmeta12"/></Relationships>
</file>

<file path=xl/_rels/comments20.xml.rels><?xml version="1.0" encoding="UTF-8" standalone="yes"?>
<Relationships xmlns="http://schemas.openxmlformats.org/package/2006/relationships"><Relationship Id="rId1" Type="http://customschemas.google.com/relationships/workbookmetadata" Target="commentsmeta13"/></Relationships>
</file>

<file path=xl/_rels/comments21.xml.rels><?xml version="1.0" encoding="UTF-8" standalone="yes"?>
<Relationships xmlns="http://schemas.openxmlformats.org/package/2006/relationships"><Relationship Id="rId1" Type="http://customschemas.google.com/relationships/workbookmetadata" Target="commentsmeta14"/></Relationships>
</file>

<file path=xl/_rels/comments22.xml.rels><?xml version="1.0" encoding="UTF-8" standalone="yes"?>
<Relationships xmlns="http://schemas.openxmlformats.org/package/2006/relationships"><Relationship Id="rId1" Type="http://customschemas.google.com/relationships/workbookmetadata" Target="commentsmeta15"/></Relationships>
</file>

<file path=xl/_rels/comments23.xml.rels><?xml version="1.0" encoding="UTF-8" standalone="yes"?>
<Relationships xmlns="http://schemas.openxmlformats.org/package/2006/relationships"><Relationship Id="rId1" Type="http://customschemas.google.com/relationships/workbookmetadata" Target="commentsmeta16"/></Relationships>
</file>

<file path=xl/_rels/comments24.xml.rels><?xml version="1.0" encoding="UTF-8" standalone="yes"?>
<Relationships xmlns="http://schemas.openxmlformats.org/package/2006/relationships"><Relationship Id="rId1" Type="http://customschemas.google.com/relationships/workbookmetadata" Target="commentsmeta17"/></Relationships>
</file>

<file path=xl/_rels/comments25.xml.rels><?xml version="1.0" encoding="UTF-8" standalone="yes"?>
<Relationships xmlns="http://schemas.openxmlformats.org/package/2006/relationships"><Relationship Id="rId1" Type="http://customschemas.google.com/relationships/workbookmetadata" Target="commentsmeta18"/></Relationships>
</file>

<file path=xl/_rels/comments26.xml.rels><?xml version="1.0" encoding="UTF-8" standalone="yes"?>
<Relationships xmlns="http://schemas.openxmlformats.org/package/2006/relationships"><Relationship Id="rId1" Type="http://customschemas.google.com/relationships/workbookmetadata" Target="commentsmeta19"/></Relationships>
</file>

<file path=xl/_rels/comments27.xml.rels><?xml version="1.0" encoding="UTF-8" standalone="yes"?>
<Relationships xmlns="http://schemas.openxmlformats.org/package/2006/relationships"><Relationship Id="rId1" Type="http://customschemas.google.com/relationships/workbookmetadata" Target="commentsmeta20"/></Relationships>
</file>

<file path=xl/_rels/comments28.xml.rels><?xml version="1.0" encoding="UTF-8" standalone="yes"?>
<Relationships xmlns="http://schemas.openxmlformats.org/package/2006/relationships"><Relationship Id="rId1" Type="http://customschemas.google.com/relationships/workbookmetadata" Target="commentsmeta21"/></Relationships>
</file>

<file path=xl/_rels/comments29.xml.rels><?xml version="1.0" encoding="UTF-8" standalone="yes"?>
<Relationships xmlns="http://schemas.openxmlformats.org/package/2006/relationships"><Relationship Id="rId1" Type="http://customschemas.google.com/relationships/workbookmetadata" Target="commentsmeta22"/></Relationships>
</file>

<file path=xl/_rels/comments30.xml.rels><?xml version="1.0" encoding="UTF-8" standalone="yes"?>
<Relationships xmlns="http://schemas.openxmlformats.org/package/2006/relationships"><Relationship Id="rId1" Type="http://customschemas.google.com/relationships/workbookmetadata" Target="commentsmeta23"/></Relationships>
</file>

<file path=xl/_rels/comments31.xml.rels><?xml version="1.0" encoding="UTF-8" standalone="yes"?>
<Relationships xmlns="http://schemas.openxmlformats.org/package/2006/relationships"><Relationship Id="rId1" Type="http://customschemas.google.com/relationships/workbookmetadata" Target="commentsmeta24"/></Relationships>
</file>

<file path=xl/_rels/comments32.xml.rels><?xml version="1.0" encoding="UTF-8" standalone="yes"?>
<Relationships xmlns="http://schemas.openxmlformats.org/package/2006/relationships"><Relationship Id="rId1" Type="http://customschemas.google.com/relationships/workbookmetadata" Target="commentsmeta26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55" Type="http://customschemas.google.com/relationships/workbookmetadata" Target="metadata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4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#'Portada%20e%20Index'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#'Portada%20e%20Index'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9071</xdr:colOff>
      <xdr:row>2</xdr:row>
      <xdr:rowOff>81642</xdr:rowOff>
    </xdr:from>
    <xdr:ext cx="6701077" cy="362857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8EB0073B-3194-834E-8CF8-B25A357B510F}"/>
            </a:ext>
          </a:extLst>
        </xdr:cNvPr>
        <xdr:cNvSpPr txBox="1"/>
      </xdr:nvSpPr>
      <xdr:spPr>
        <a:xfrm>
          <a:off x="567871" y="437242"/>
          <a:ext cx="6701077" cy="362857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CONECTTIVIDAD PUERTO RICO MCS - INC</a:t>
          </a:r>
          <a:endParaRPr sz="20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5</xdr:row>
      <xdr:rowOff>12700</xdr:rowOff>
    </xdr:from>
    <xdr:ext cx="2101850" cy="755650"/>
    <xdr:pic>
      <xdr:nvPicPr>
        <xdr:cNvPr id="3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7D02C016-BD14-B344-8BC8-F715ABE4BA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4550" y="901700"/>
          <a:ext cx="2101850" cy="7556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9071</xdr:colOff>
      <xdr:row>2</xdr:row>
      <xdr:rowOff>126999</xdr:rowOff>
    </xdr:from>
    <xdr:ext cx="6724881" cy="362857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DDC3C4DE-4451-6B41-ADCC-A103D20D1D4B}"/>
            </a:ext>
          </a:extLst>
        </xdr:cNvPr>
        <xdr:cNvSpPr txBox="1"/>
      </xdr:nvSpPr>
      <xdr:spPr>
        <a:xfrm>
          <a:off x="567871" y="482599"/>
          <a:ext cx="6724881" cy="362857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CORP</a:t>
          </a:r>
          <a:r>
            <a:rPr lang="en-US" sz="2400" b="1" baseline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PUERTO RICO MCS - INC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5</xdr:row>
      <xdr:rowOff>12700</xdr:rowOff>
    </xdr:from>
    <xdr:ext cx="2101850" cy="755650"/>
    <xdr:pic>
      <xdr:nvPicPr>
        <xdr:cNvPr id="3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7719DF07-B675-0245-BD4C-B714BD3C74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4550" y="901700"/>
          <a:ext cx="2101850" cy="7556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9073</xdr:colOff>
      <xdr:row>2</xdr:row>
      <xdr:rowOff>72572</xdr:rowOff>
    </xdr:from>
    <xdr:ext cx="9846128" cy="44450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DE4B3536-81D1-D84D-A672-E4E5A3372C3F}"/>
            </a:ext>
          </a:extLst>
        </xdr:cNvPr>
        <xdr:cNvSpPr txBox="1"/>
      </xdr:nvSpPr>
      <xdr:spPr>
        <a:xfrm>
          <a:off x="567873" y="428172"/>
          <a:ext cx="9846128" cy="444500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CABINA PUERTO RICO MCS - INC</a:t>
          </a:r>
          <a:r>
            <a:rPr lang="en-US" sz="2400" b="1" baseline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5</xdr:row>
      <xdr:rowOff>31750</xdr:rowOff>
    </xdr:from>
    <xdr:ext cx="2114550" cy="736600"/>
    <xdr:pic>
      <xdr:nvPicPr>
        <xdr:cNvPr id="3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6EF20435-E546-0E4E-8365-C1F3D904A1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4550" y="920750"/>
          <a:ext cx="2114550" cy="7366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266700</xdr:colOff>
      <xdr:row>19</xdr:row>
      <xdr:rowOff>127000</xdr:rowOff>
    </xdr:from>
    <xdr:to>
      <xdr:col>3</xdr:col>
      <xdr:colOff>2146300</xdr:colOff>
      <xdr:row>30</xdr:row>
      <xdr:rowOff>50800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59A4F3-2EC2-E113-02B9-602950A44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3505200"/>
          <a:ext cx="2603500" cy="1879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9071</xdr:colOff>
      <xdr:row>2</xdr:row>
      <xdr:rowOff>81642</xdr:rowOff>
    </xdr:from>
    <xdr:ext cx="6701077" cy="362857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90C4F947-193E-D04B-9EDF-268627880CAB}"/>
            </a:ext>
          </a:extLst>
        </xdr:cNvPr>
        <xdr:cNvSpPr txBox="1"/>
      </xdr:nvSpPr>
      <xdr:spPr>
        <a:xfrm>
          <a:off x="567871" y="437242"/>
          <a:ext cx="6701077" cy="362857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CONECTTIVIDAD PUERTO RICO MCS - INC</a:t>
          </a:r>
          <a:endParaRPr sz="20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5</xdr:row>
      <xdr:rowOff>12700</xdr:rowOff>
    </xdr:from>
    <xdr:ext cx="2101850" cy="755650"/>
    <xdr:pic>
      <xdr:nvPicPr>
        <xdr:cNvPr id="3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D26114FF-D185-044E-A952-20396F5557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4550" y="901700"/>
          <a:ext cx="2101850" cy="7556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9071</xdr:colOff>
      <xdr:row>2</xdr:row>
      <xdr:rowOff>126999</xdr:rowOff>
    </xdr:from>
    <xdr:ext cx="6724881" cy="362857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384309BE-D708-B140-9BA3-9AA15729324D}"/>
            </a:ext>
          </a:extLst>
        </xdr:cNvPr>
        <xdr:cNvSpPr txBox="1"/>
      </xdr:nvSpPr>
      <xdr:spPr>
        <a:xfrm>
          <a:off x="567871" y="482599"/>
          <a:ext cx="6724881" cy="362857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CORP</a:t>
          </a:r>
          <a:r>
            <a:rPr lang="en-US" sz="2400" b="1" baseline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PUERTO RICO MCS - INC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5</xdr:row>
      <xdr:rowOff>12700</xdr:rowOff>
    </xdr:from>
    <xdr:ext cx="2101850" cy="755650"/>
    <xdr:pic>
      <xdr:nvPicPr>
        <xdr:cNvPr id="3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1D0672DC-E0F6-144B-8397-18AB1E89E9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4550" y="901700"/>
          <a:ext cx="2101850" cy="7556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10</xdr:col>
      <xdr:colOff>752928</xdr:colOff>
      <xdr:row>14</xdr:row>
      <xdr:rowOff>72571</xdr:rowOff>
    </xdr:from>
    <xdr:to>
      <xdr:col>13</xdr:col>
      <xdr:colOff>465094</xdr:colOff>
      <xdr:row>26</xdr:row>
      <xdr:rowOff>41728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4E546C1-3F22-8806-367D-64759E939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1214" y="2612571"/>
          <a:ext cx="2451100" cy="2146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9072</xdr:colOff>
      <xdr:row>2</xdr:row>
      <xdr:rowOff>72572</xdr:rowOff>
    </xdr:from>
    <xdr:ext cx="9879995" cy="44450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4DDA6000-7D2A-A24F-B0C0-F113C6BDF06A}"/>
            </a:ext>
          </a:extLst>
        </xdr:cNvPr>
        <xdr:cNvSpPr txBox="1"/>
      </xdr:nvSpPr>
      <xdr:spPr>
        <a:xfrm>
          <a:off x="567872" y="428172"/>
          <a:ext cx="9879995" cy="444500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CABINA PUERTO RICO MCS - INC</a:t>
          </a:r>
          <a:r>
            <a:rPr lang="en-US" sz="2400" b="1" baseline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5</xdr:row>
      <xdr:rowOff>31750</xdr:rowOff>
    </xdr:from>
    <xdr:ext cx="2114550" cy="736600"/>
    <xdr:pic>
      <xdr:nvPicPr>
        <xdr:cNvPr id="3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FC54077C-3BF1-FF4E-B2D0-2665BD8038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4550" y="920750"/>
          <a:ext cx="2114550" cy="7366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9071</xdr:colOff>
      <xdr:row>2</xdr:row>
      <xdr:rowOff>81642</xdr:rowOff>
    </xdr:from>
    <xdr:ext cx="6701077" cy="362857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D93C1788-AE50-2A43-8D61-48E79EF0F485}"/>
            </a:ext>
          </a:extLst>
        </xdr:cNvPr>
        <xdr:cNvSpPr txBox="1"/>
      </xdr:nvSpPr>
      <xdr:spPr>
        <a:xfrm>
          <a:off x="567871" y="437242"/>
          <a:ext cx="6701077" cy="362857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CONECTTIVIDAD PUERTO RICO MCS - INC</a:t>
          </a:r>
          <a:endParaRPr sz="20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5</xdr:row>
      <xdr:rowOff>12700</xdr:rowOff>
    </xdr:from>
    <xdr:ext cx="2101850" cy="755650"/>
    <xdr:pic>
      <xdr:nvPicPr>
        <xdr:cNvPr id="3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592DC2CC-A62E-DC40-9872-2FB7A888AC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4550" y="901700"/>
          <a:ext cx="2101850" cy="75565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9071</xdr:colOff>
      <xdr:row>2</xdr:row>
      <xdr:rowOff>126999</xdr:rowOff>
    </xdr:from>
    <xdr:ext cx="6724881" cy="362857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374E91E2-843F-974B-8F20-223B416E1E33}"/>
            </a:ext>
          </a:extLst>
        </xdr:cNvPr>
        <xdr:cNvSpPr txBox="1"/>
      </xdr:nvSpPr>
      <xdr:spPr>
        <a:xfrm>
          <a:off x="567871" y="482599"/>
          <a:ext cx="6724881" cy="362857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CORP</a:t>
          </a:r>
          <a:r>
            <a:rPr lang="en-US" sz="2400" b="1" baseline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PUERTO RICO MCS - INC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5</xdr:row>
      <xdr:rowOff>12700</xdr:rowOff>
    </xdr:from>
    <xdr:ext cx="2101850" cy="755650"/>
    <xdr:pic>
      <xdr:nvPicPr>
        <xdr:cNvPr id="3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D56EA993-DD13-6644-8311-6D5917D920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4550" y="901700"/>
          <a:ext cx="2101850" cy="7556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11</xdr:col>
      <xdr:colOff>45358</xdr:colOff>
      <xdr:row>15</xdr:row>
      <xdr:rowOff>36286</xdr:rowOff>
    </xdr:from>
    <xdr:to>
      <xdr:col>14</xdr:col>
      <xdr:colOff>148772</xdr:colOff>
      <xdr:row>26</xdr:row>
      <xdr:rowOff>136072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738A594-2EC1-B40E-8149-E046B7B59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0072" y="2757715"/>
          <a:ext cx="2552700" cy="2095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9072</xdr:colOff>
      <xdr:row>2</xdr:row>
      <xdr:rowOff>72572</xdr:rowOff>
    </xdr:from>
    <xdr:ext cx="9879995" cy="44450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93D04086-A0D6-004B-B0ED-1C2A729640E6}"/>
            </a:ext>
          </a:extLst>
        </xdr:cNvPr>
        <xdr:cNvSpPr txBox="1"/>
      </xdr:nvSpPr>
      <xdr:spPr>
        <a:xfrm>
          <a:off x="567872" y="428172"/>
          <a:ext cx="9879995" cy="444500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CABINA PUERTO RICO MCS - INC</a:t>
          </a:r>
          <a:r>
            <a:rPr lang="en-US" sz="2400" b="1" baseline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5</xdr:row>
      <xdr:rowOff>31750</xdr:rowOff>
    </xdr:from>
    <xdr:ext cx="2114550" cy="736600"/>
    <xdr:pic>
      <xdr:nvPicPr>
        <xdr:cNvPr id="3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82CD1B7E-CEAE-0E45-97D9-97D0ED8A0E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4550" y="920750"/>
          <a:ext cx="2114550" cy="73660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9071</xdr:colOff>
      <xdr:row>2</xdr:row>
      <xdr:rowOff>81642</xdr:rowOff>
    </xdr:from>
    <xdr:ext cx="6701077" cy="362857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78D424F1-9F04-1246-BCA9-9388374B520C}"/>
            </a:ext>
          </a:extLst>
        </xdr:cNvPr>
        <xdr:cNvSpPr txBox="1"/>
      </xdr:nvSpPr>
      <xdr:spPr>
        <a:xfrm>
          <a:off x="568250" y="441791"/>
          <a:ext cx="6701077" cy="362857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CONECTTIVIDAD PUERTO RICO MCS - INC</a:t>
          </a:r>
          <a:endParaRPr sz="20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5</xdr:row>
      <xdr:rowOff>12700</xdr:rowOff>
    </xdr:from>
    <xdr:ext cx="2101850" cy="755650"/>
    <xdr:pic>
      <xdr:nvPicPr>
        <xdr:cNvPr id="3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3D9428A1-0018-1648-AC26-436A2F8B64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4550" y="901700"/>
          <a:ext cx="2101850" cy="75565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9071</xdr:colOff>
      <xdr:row>2</xdr:row>
      <xdr:rowOff>126999</xdr:rowOff>
    </xdr:from>
    <xdr:ext cx="6724881" cy="362857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7AECD3C5-E6A9-C143-A0D8-18032E17E0A4}"/>
            </a:ext>
          </a:extLst>
        </xdr:cNvPr>
        <xdr:cNvSpPr txBox="1"/>
      </xdr:nvSpPr>
      <xdr:spPr>
        <a:xfrm>
          <a:off x="570234" y="481418"/>
          <a:ext cx="6724881" cy="362857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CORP</a:t>
          </a:r>
          <a:r>
            <a:rPr lang="en-US" sz="2400" b="1" baseline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PUERTO RICO MCS - INC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5</xdr:row>
      <xdr:rowOff>12700</xdr:rowOff>
    </xdr:from>
    <xdr:ext cx="2101850" cy="755650"/>
    <xdr:pic>
      <xdr:nvPicPr>
        <xdr:cNvPr id="3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0A3788AB-C167-C74E-99FA-5F99C3D3E1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4550" y="901700"/>
          <a:ext cx="2101850" cy="75565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9072</xdr:colOff>
      <xdr:row>2</xdr:row>
      <xdr:rowOff>72572</xdr:rowOff>
    </xdr:from>
    <xdr:ext cx="9879995" cy="44450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44BDE80B-8B9C-004C-9C01-2244F0511CCF}"/>
            </a:ext>
          </a:extLst>
        </xdr:cNvPr>
        <xdr:cNvSpPr txBox="1"/>
      </xdr:nvSpPr>
      <xdr:spPr>
        <a:xfrm>
          <a:off x="567872" y="428172"/>
          <a:ext cx="9879995" cy="444500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CABINA PUERTO RICO MCS - INC</a:t>
          </a:r>
          <a:r>
            <a:rPr lang="en-US" sz="2400" b="1" baseline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5</xdr:row>
      <xdr:rowOff>31750</xdr:rowOff>
    </xdr:from>
    <xdr:ext cx="2114550" cy="736600"/>
    <xdr:pic>
      <xdr:nvPicPr>
        <xdr:cNvPr id="3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C69B6068-7FBC-D04A-8857-11229C77A9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4550" y="920750"/>
          <a:ext cx="2114550" cy="73660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9072</xdr:colOff>
      <xdr:row>2</xdr:row>
      <xdr:rowOff>81642</xdr:rowOff>
    </xdr:from>
    <xdr:ext cx="6150428" cy="362857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5EDBD79D-AFE9-4652-B556-660921508DA6}"/>
            </a:ext>
          </a:extLst>
        </xdr:cNvPr>
        <xdr:cNvSpPr txBox="1"/>
      </xdr:nvSpPr>
      <xdr:spPr>
        <a:xfrm>
          <a:off x="526143" y="444499"/>
          <a:ext cx="6150428" cy="362857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CONECTTIVIDAD PUERTO RICO MCS - INC</a:t>
          </a:r>
          <a:endParaRPr sz="20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5</xdr:row>
      <xdr:rowOff>12700</xdr:rowOff>
    </xdr:from>
    <xdr:ext cx="2101850" cy="755650"/>
    <xdr:pic>
      <xdr:nvPicPr>
        <xdr:cNvPr id="3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1FC4DF46-7707-4BD9-A602-B1074016C20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6450" y="901700"/>
          <a:ext cx="2101850" cy="755650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9072</xdr:colOff>
      <xdr:row>2</xdr:row>
      <xdr:rowOff>126999</xdr:rowOff>
    </xdr:from>
    <xdr:ext cx="6150428" cy="362857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D4C4D758-DB51-47EF-BFDF-ED6E58B2AE46}"/>
            </a:ext>
          </a:extLst>
        </xdr:cNvPr>
        <xdr:cNvSpPr txBox="1"/>
      </xdr:nvSpPr>
      <xdr:spPr>
        <a:xfrm>
          <a:off x="526143" y="489856"/>
          <a:ext cx="6150428" cy="362857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CORP</a:t>
          </a:r>
          <a:r>
            <a:rPr lang="en-US" sz="2400" b="1" baseline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PUERTO RICO MCS - INC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5</xdr:row>
      <xdr:rowOff>12700</xdr:rowOff>
    </xdr:from>
    <xdr:ext cx="2101850" cy="755650"/>
    <xdr:pic>
      <xdr:nvPicPr>
        <xdr:cNvPr id="3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3C9CBFDD-31AF-4E65-B717-42B03F69ED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6450" y="901700"/>
          <a:ext cx="2101850" cy="755650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9072</xdr:colOff>
      <xdr:row>2</xdr:row>
      <xdr:rowOff>72572</xdr:rowOff>
    </xdr:from>
    <xdr:ext cx="9153071" cy="44450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9F891226-FF80-44CF-B120-98C4383C671E}"/>
            </a:ext>
          </a:extLst>
        </xdr:cNvPr>
        <xdr:cNvSpPr txBox="1"/>
      </xdr:nvSpPr>
      <xdr:spPr>
        <a:xfrm>
          <a:off x="526143" y="435429"/>
          <a:ext cx="9153071" cy="444500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CABINA PUERTO RICO MCS - INC</a:t>
          </a:r>
          <a:r>
            <a:rPr lang="en-US" sz="2400" b="1" baseline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5</xdr:row>
      <xdr:rowOff>31750</xdr:rowOff>
    </xdr:from>
    <xdr:ext cx="2114550" cy="736600"/>
    <xdr:pic>
      <xdr:nvPicPr>
        <xdr:cNvPr id="3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759F41EE-49F6-4014-ADB3-A9181C461B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6450" y="920750"/>
          <a:ext cx="2114550" cy="736600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619125</xdr:colOff>
      <xdr:row>2</xdr:row>
      <xdr:rowOff>114300</xdr:rowOff>
    </xdr:from>
    <xdr:ext cx="378142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460050" y="3603788"/>
          <a:ext cx="3771900" cy="352425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PUERTO RICO INC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3</xdr:row>
      <xdr:rowOff>161925</xdr:rowOff>
    </xdr:from>
    <xdr:ext cx="2171700" cy="962025"/>
    <xdr:pic>
      <xdr:nvPicPr>
        <xdr:cNvPr id="2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619125</xdr:colOff>
      <xdr:row>2</xdr:row>
      <xdr:rowOff>114300</xdr:rowOff>
    </xdr:from>
    <xdr:ext cx="4457700" cy="3619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3121913" y="3603788"/>
          <a:ext cx="4448175" cy="352425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PUERTO RICO MCS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3</xdr:row>
      <xdr:rowOff>161925</xdr:rowOff>
    </xdr:from>
    <xdr:ext cx="2228850" cy="962025"/>
    <xdr:pic>
      <xdr:nvPicPr>
        <xdr:cNvPr id="2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619125</xdr:colOff>
      <xdr:row>2</xdr:row>
      <xdr:rowOff>114300</xdr:rowOff>
    </xdr:from>
    <xdr:ext cx="3781425" cy="361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3460050" y="3603788"/>
          <a:ext cx="3771900" cy="352425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PUERTO RICO INC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3</xdr:row>
      <xdr:rowOff>161925</xdr:rowOff>
    </xdr:from>
    <xdr:ext cx="2171700" cy="962025"/>
    <xdr:pic>
      <xdr:nvPicPr>
        <xdr:cNvPr id="2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619125</xdr:colOff>
      <xdr:row>2</xdr:row>
      <xdr:rowOff>114300</xdr:rowOff>
    </xdr:from>
    <xdr:ext cx="4457700" cy="3619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3121913" y="3603788"/>
          <a:ext cx="4448175" cy="352425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PUERTO RICO MCS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3</xdr:row>
      <xdr:rowOff>161925</xdr:rowOff>
    </xdr:from>
    <xdr:ext cx="2228850" cy="962025"/>
    <xdr:pic>
      <xdr:nvPicPr>
        <xdr:cNvPr id="2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619125</xdr:colOff>
      <xdr:row>2</xdr:row>
      <xdr:rowOff>114300</xdr:rowOff>
    </xdr:from>
    <xdr:ext cx="3781425" cy="3619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3460050" y="3603788"/>
          <a:ext cx="3771900" cy="352425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PUERTO RICO INC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3</xdr:row>
      <xdr:rowOff>161925</xdr:rowOff>
    </xdr:from>
    <xdr:ext cx="2171700" cy="962025"/>
    <xdr:pic>
      <xdr:nvPicPr>
        <xdr:cNvPr id="2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619125</xdr:colOff>
      <xdr:row>2</xdr:row>
      <xdr:rowOff>114300</xdr:rowOff>
    </xdr:from>
    <xdr:ext cx="4457700" cy="3619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3121913" y="3603788"/>
          <a:ext cx="4448175" cy="352425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PUERTO RICO MCS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3</xdr:row>
      <xdr:rowOff>161925</xdr:rowOff>
    </xdr:from>
    <xdr:ext cx="2228850" cy="962025"/>
    <xdr:pic>
      <xdr:nvPicPr>
        <xdr:cNvPr id="2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619125</xdr:colOff>
      <xdr:row>2</xdr:row>
      <xdr:rowOff>114300</xdr:rowOff>
    </xdr:from>
    <xdr:ext cx="3781425" cy="3619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3460050" y="3603788"/>
          <a:ext cx="3771900" cy="352425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PUERTO RICO INC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3</xdr:row>
      <xdr:rowOff>161925</xdr:rowOff>
    </xdr:from>
    <xdr:ext cx="2171700" cy="962025"/>
    <xdr:pic>
      <xdr:nvPicPr>
        <xdr:cNvPr id="2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619125</xdr:colOff>
      <xdr:row>2</xdr:row>
      <xdr:rowOff>114300</xdr:rowOff>
    </xdr:from>
    <xdr:ext cx="4457700" cy="3619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3121913" y="3603788"/>
          <a:ext cx="4448175" cy="352425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PUERTO RICO MCS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3</xdr:row>
      <xdr:rowOff>161925</xdr:rowOff>
    </xdr:from>
    <xdr:ext cx="2228850" cy="962025"/>
    <xdr:pic>
      <xdr:nvPicPr>
        <xdr:cNvPr id="2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619125</xdr:colOff>
      <xdr:row>2</xdr:row>
      <xdr:rowOff>114300</xdr:rowOff>
    </xdr:from>
    <xdr:ext cx="3648075" cy="3619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/>
      </xdr:nvSpPr>
      <xdr:spPr>
        <a:xfrm>
          <a:off x="3526725" y="3603788"/>
          <a:ext cx="3638550" cy="352425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PUERTO RICO INC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3</xdr:row>
      <xdr:rowOff>161925</xdr:rowOff>
    </xdr:from>
    <xdr:ext cx="2162175" cy="962025"/>
    <xdr:pic>
      <xdr:nvPicPr>
        <xdr:cNvPr id="2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619125</xdr:colOff>
      <xdr:row>2</xdr:row>
      <xdr:rowOff>114300</xdr:rowOff>
    </xdr:from>
    <xdr:ext cx="4267200" cy="3619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 txBox="1"/>
      </xdr:nvSpPr>
      <xdr:spPr>
        <a:xfrm>
          <a:off x="3217163" y="3603788"/>
          <a:ext cx="4257675" cy="352425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PUERTO RICO MCS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3</xdr:row>
      <xdr:rowOff>161925</xdr:rowOff>
    </xdr:from>
    <xdr:ext cx="2228850" cy="962025"/>
    <xdr:pic>
      <xdr:nvPicPr>
        <xdr:cNvPr id="2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619125</xdr:colOff>
      <xdr:row>2</xdr:row>
      <xdr:rowOff>114300</xdr:rowOff>
    </xdr:from>
    <xdr:ext cx="3648075" cy="3619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 txBox="1"/>
      </xdr:nvSpPr>
      <xdr:spPr>
        <a:xfrm>
          <a:off x="3526725" y="3603788"/>
          <a:ext cx="3638550" cy="352425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PUERTO RICO INC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3</xdr:row>
      <xdr:rowOff>161925</xdr:rowOff>
    </xdr:from>
    <xdr:ext cx="2162175" cy="962025"/>
    <xdr:pic>
      <xdr:nvPicPr>
        <xdr:cNvPr id="2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619125</xdr:colOff>
      <xdr:row>2</xdr:row>
      <xdr:rowOff>114300</xdr:rowOff>
    </xdr:from>
    <xdr:ext cx="4267200" cy="3619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 txBox="1"/>
      </xdr:nvSpPr>
      <xdr:spPr>
        <a:xfrm>
          <a:off x="3217163" y="3603788"/>
          <a:ext cx="4257675" cy="352425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PUERTO RICO MCS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3</xdr:row>
      <xdr:rowOff>161925</xdr:rowOff>
    </xdr:from>
    <xdr:ext cx="2228850" cy="962025"/>
    <xdr:pic>
      <xdr:nvPicPr>
        <xdr:cNvPr id="2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619125</xdr:colOff>
      <xdr:row>2</xdr:row>
      <xdr:rowOff>114300</xdr:rowOff>
    </xdr:from>
    <xdr:ext cx="3648075" cy="3619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SpPr txBox="1"/>
      </xdr:nvSpPr>
      <xdr:spPr>
        <a:xfrm>
          <a:off x="3526725" y="3603788"/>
          <a:ext cx="3638550" cy="352425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PUERTO RICO INC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3</xdr:row>
      <xdr:rowOff>161925</xdr:rowOff>
    </xdr:from>
    <xdr:ext cx="2162175" cy="962025"/>
    <xdr:pic>
      <xdr:nvPicPr>
        <xdr:cNvPr id="2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619125</xdr:colOff>
      <xdr:row>2</xdr:row>
      <xdr:rowOff>114300</xdr:rowOff>
    </xdr:from>
    <xdr:ext cx="4267200" cy="3619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/>
      </xdr:nvSpPr>
      <xdr:spPr>
        <a:xfrm>
          <a:off x="3217163" y="3603788"/>
          <a:ext cx="4257675" cy="352425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PUERTO RICO MCS</a:t>
          </a:r>
          <a:endParaRPr sz="1600" b="1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285750</xdr:colOff>
      <xdr:row>3</xdr:row>
      <xdr:rowOff>161925</xdr:rowOff>
    </xdr:from>
    <xdr:ext cx="2228850" cy="962025"/>
    <xdr:pic>
      <xdr:nvPicPr>
        <xdr:cNvPr id="2" name="image1.jpg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2</xdr:row>
      <xdr:rowOff>66675</xdr:rowOff>
    </xdr:from>
    <xdr:ext cx="638175" cy="295275"/>
    <xdr:sp macro="" textlink="">
      <xdr:nvSpPr>
        <xdr:cNvPr id="17" name="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/>
      </xdr:nvSpPr>
      <xdr:spPr>
        <a:xfrm>
          <a:off x="5031675" y="3637125"/>
          <a:ext cx="628650" cy="285750"/>
        </a:xfrm>
        <a:prstGeom prst="roundRect">
          <a:avLst>
            <a:gd name="adj" fmla="val 16667"/>
          </a:avLst>
        </a:prstGeom>
        <a:solidFill>
          <a:srgbClr val="8B46CD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INDEX</a:t>
          </a:r>
          <a:endParaRPr sz="1400"/>
        </a:p>
      </xdr:txBody>
    </xdr:sp>
    <xdr:clientData fLocksWithSheet="0"/>
  </xdr:oneCellAnchor>
  <xdr:oneCellAnchor>
    <xdr:from>
      <xdr:col>2</xdr:col>
      <xdr:colOff>447675</xdr:colOff>
      <xdr:row>2</xdr:row>
      <xdr:rowOff>38100</xdr:rowOff>
    </xdr:from>
    <xdr:ext cx="1722422" cy="4476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30005" y="408003"/>
          <a:ext cx="1722422" cy="447675"/>
        </a:xfrm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2</xdr:row>
      <xdr:rowOff>66675</xdr:rowOff>
    </xdr:from>
    <xdr:ext cx="638175" cy="295275"/>
    <xdr:sp macro="" textlink="">
      <xdr:nvSpPr>
        <xdr:cNvPr id="18" name="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/>
      </xdr:nvSpPr>
      <xdr:spPr>
        <a:xfrm>
          <a:off x="5031675" y="3637125"/>
          <a:ext cx="628650" cy="285750"/>
        </a:xfrm>
        <a:prstGeom prst="roundRect">
          <a:avLst>
            <a:gd name="adj" fmla="val 16667"/>
          </a:avLst>
        </a:prstGeom>
        <a:solidFill>
          <a:srgbClr val="8B46CD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INDEX</a:t>
          </a:r>
          <a:endParaRPr sz="1400"/>
        </a:p>
      </xdr:txBody>
    </xdr:sp>
    <xdr:clientData fLocksWithSheet="0"/>
  </xdr:oneCellAnchor>
  <xdr:oneCellAnchor>
    <xdr:from>
      <xdr:col>2</xdr:col>
      <xdr:colOff>447675</xdr:colOff>
      <xdr:row>2</xdr:row>
      <xdr:rowOff>38100</xdr:rowOff>
    </xdr:from>
    <xdr:ext cx="1838325" cy="4476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54175" y="419100"/>
          <a:ext cx="1838325" cy="44767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lvinazco/Downloads/Propuestas%20de%20factura%20o%20resumen.xlsx" TargetMode="External"/><Relationship Id="rId1" Type="http://schemas.openxmlformats.org/officeDocument/2006/relationships/externalLinkPath" Target="file:///C:/Users/lvinazco/Downloads/Propuestas%20de%20factura%20o%20resume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Ricardo%20Martinez/Downloads/Factura%20de%20ventas%20multicolor.xlsx" TargetMode="External"/><Relationship Id="rId1" Type="http://schemas.openxmlformats.org/officeDocument/2006/relationships/externalLinkPath" Target="file:///C:/Users/lvinazco/Downloads/Factura%20de%20ventas%20multicolo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.shortcut-targets-by-id/1f8qGrdtEe0ytiov-w0SbBlnmB-L_dKew/Facturas%20Concentra%202023/2024/01.%20Enero/01%20.Analisis%20de%20distribucion%20Puerto%20Rico%20Enero%20-%20CO%20MX%20GU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.shortcut-targets-by-id/1f8qGrdtEe0ytiov-w0SbBlnmB-L_dKew/Facturas%20Concentra%202023/2024/02.%20Febrero/Indicadores/PR_INDICADORES%20OPERATIVOS_ENERO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puesta 1"/>
      <sheetName val="Propuesta 2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Factura de ventas multicolor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ciembre"/>
      <sheetName val="Calculadora MCS Mayo"/>
      <sheetName val="Calculadora INC Mayo"/>
      <sheetName val="Calculadora MCS Anterior May"/>
      <sheetName val="Calculadora INC Anterior May"/>
      <sheetName val="Calculadora Ambos Paises May"/>
      <sheetName val="Calculadora MCS Junio"/>
      <sheetName val="Calculadora INC Junio"/>
      <sheetName val="Calculadora MCS Julio"/>
      <sheetName val="Julio Consolidado "/>
      <sheetName val="Calculadora INC Julio"/>
      <sheetName val="Calculadora MCS Agosto"/>
      <sheetName val="Calculadora INC Agosto"/>
      <sheetName val="Historico"/>
      <sheetName val="Calculadora MCS Enero-24"/>
      <sheetName val="Calculadora INC Enero-24"/>
      <sheetName val=" Enero-24 Consolidado"/>
      <sheetName val="Calculadora MCS Diciembre"/>
      <sheetName val="Calculadora INC Diciembre"/>
      <sheetName val=" Diciembre Consolidado"/>
      <sheetName val="Calculadora MCS Noviembre"/>
      <sheetName val="Calculadora INC Noviembre"/>
      <sheetName val="Noviembre Consolidado"/>
      <sheetName val="Calculadora MCS Octubre"/>
      <sheetName val="Calculadora INC Octubre"/>
      <sheetName val="Octubre Consolidado"/>
      <sheetName val="Calculadora MCS Septiembre"/>
      <sheetName val="Calculadora INC Septiembre"/>
      <sheetName val="Agosto Consolidado"/>
      <sheetName val="Septiembre Consolidado "/>
      <sheetName val="INDICADORES INC"/>
      <sheetName val="INDICADORES MCS"/>
      <sheetName val="Calculadora INC Abril"/>
      <sheetName val="Calculadora MCS Abril"/>
      <sheetName val="Calculadora INC Anterior Abril"/>
      <sheetName val="Calculadora MCS Anterior Abril"/>
      <sheetName val="Calculadora Ambos Paises Abril"/>
      <sheetName val="Factura "/>
      <sheetName val="MCS (2)"/>
      <sheetName val="PR (3)"/>
      <sheetName val="Hoja2"/>
      <sheetName val="MCS"/>
      <sheetName val="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FILIAL"/>
      <sheetName val="CABINA"/>
      <sheetName val="CUENTAS"/>
      <sheetName val="SERVICIOS"/>
      <sheetName val="New Soa"/>
      <sheetName val="Hoja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8D2770E-6FA0-3048-90C1-BFA7684A669D}" name="Table_216181721242730" displayName="Table_216181721242730" ref="C11:G14">
  <tableColumns count="5">
    <tableColumn id="1" xr3:uid="{30BBDCE2-3B82-CD49-BA46-D1AD8A407A28}" name="Item"/>
    <tableColumn id="2" xr3:uid="{CF223AD8-D5C8-2C4A-8A6E-B32680069AB1}" name="Concepto"/>
    <tableColumn id="3" xr3:uid="{45D4B49A-90D6-FF42-9B3D-215DE96960C5}" name="Cantidad"/>
    <tableColumn id="4" xr3:uid="{3F998F14-8269-A74E-9307-4651BB392854}" name="Subtotal"/>
    <tableColumn id="5" xr3:uid="{AFF299C0-A99C-AA44-8560-653C6FE91D94}" name="Total"/>
  </tableColumns>
  <tableStyleInfo name="Calculadora MCS Agost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EDCA564-DB5F-4D46-9C8C-E91956C6F9AF}" name="Table_2161820232629" displayName="Table_2161820232629" ref="C11:G20">
  <tableColumns count="5">
    <tableColumn id="1" xr3:uid="{DD11C4F6-8A4D-3145-BB5F-FDA13E89A443}" name="Item"/>
    <tableColumn id="2" xr3:uid="{FE1FC9B3-D5BA-A643-B4BA-34AFC939C4F2}" name="Concepto"/>
    <tableColumn id="3" xr3:uid="{DF2A46EF-B914-E04B-9B73-E871BBECEE62}" name="Cantidad"/>
    <tableColumn id="4" xr3:uid="{2F44C32B-B157-954F-8342-DB1C903D00BE}" name="Subtotal"/>
    <tableColumn id="5" xr3:uid="{93C8A339-F9FE-B34D-805B-AD76C51AC54B}" name="Total"/>
  </tableColumns>
  <tableStyleInfo name="Calculadora MCS Agost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F7C6D43-22FB-4942-87B8-49060AC3833E}" name="Table_21619222528" displayName="Table_21619222528" ref="C11:J17">
  <tableColumns count="8">
    <tableColumn id="1" xr3:uid="{C5F65534-999F-E945-906B-CE31A94D9F34}" name="Item"/>
    <tableColumn id="2" xr3:uid="{FAAFF761-6FF7-B544-9DFC-ABC9BF9AAFA7}" name="Concepto"/>
    <tableColumn id="3" xr3:uid="{9EE5C96A-2104-5F45-A327-9CD9FB94A988}" name="Cantidad"/>
    <tableColumn id="4" xr3:uid="{FCEE9478-411A-1148-B57C-8D0FD16AF6BD}" name="Subtotal"/>
    <tableColumn id="5" xr3:uid="{ABA834F4-55F4-3946-A4CA-ABD7FD5D5AEA}" name="Total"/>
    <tableColumn id="8" xr3:uid="{FC12E54A-33D3-5348-8782-9143104FCDE5}" name="Cabina Mes Anterior" dataDxfId="24"/>
    <tableColumn id="7" xr3:uid="{DD9092DC-2D64-2348-B317-BCFB88B5052D}" name="Variación" dataDxfId="23">
      <calculatedColumnFormula>+Table_21619222528[[#This Row],[Total]]-Table_21619222528[[#This Row],[Cabina Mes Anterior]]</calculatedColumnFormula>
    </tableColumn>
    <tableColumn id="6" xr3:uid="{A22B6C72-8702-B343-9980-75BFF8740AA6}" name="%Variación" dataDxfId="22">
      <calculatedColumnFormula>+Table_21619222528[[#This Row],[Variación]]/Table_21619222528[[#This Row],[Total]]</calculatedColumnFormula>
    </tableColumn>
  </tableColumns>
  <tableStyleInfo name="Calculadora MCS Agosto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9A76426-4FCA-684C-AD95-5F70A6459B30}" name="Table_2161817212427" displayName="Table_2161817212427" ref="C11:G14">
  <tableColumns count="5">
    <tableColumn id="1" xr3:uid="{3997309A-7F13-314B-8DBD-DCFAC9CD5CBF}" name="Item"/>
    <tableColumn id="2" xr3:uid="{C491A1C5-7C44-AA4E-B73C-D8176195C40C}" name="Concepto"/>
    <tableColumn id="3" xr3:uid="{62091B44-5B2F-3E4F-B958-4209F0D52463}" name="Cantidad"/>
    <tableColumn id="4" xr3:uid="{982D87BB-B4D6-9B46-A71A-786B0B752FCA}" name="Subtotal"/>
    <tableColumn id="5" xr3:uid="{D52E5BF4-FB88-944F-A91C-273603A727E1}" name="Total"/>
  </tableColumns>
  <tableStyleInfo name="Calculadora MCS Agosto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235E212-F5ED-2E45-BDB8-201094C1BACE}" name="Table_21618202326" displayName="Table_21618202326" ref="C11:G21">
  <tableColumns count="5">
    <tableColumn id="1" xr3:uid="{4D4B5F2B-BC0F-6947-82CB-5A490DCABF34}" name="Item"/>
    <tableColumn id="2" xr3:uid="{F5B48BCE-D1BF-5549-B64A-28048DE595EC}" name="Concepto"/>
    <tableColumn id="3" xr3:uid="{2F260BDB-D93A-CD4C-B9ED-BDE01395A7C6}" name="Cantidad"/>
    <tableColumn id="4" xr3:uid="{83A89E8A-302C-5947-B818-0712313661A0}" name="Subtotal"/>
    <tableColumn id="5" xr3:uid="{6E72A9DB-C6AF-0D4B-B617-42B909CE42BF}" name="Total"/>
  </tableColumns>
  <tableStyleInfo name="Calculadora MCS Agosto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FCD3DDA-A9ED-5441-8341-B009EBE565F3}" name="Table_216192225" displayName="Table_216192225" ref="C11:J16">
  <tableColumns count="8">
    <tableColumn id="1" xr3:uid="{BC1EAE3D-3852-7243-83BE-1DBD3F8FA58B}" name="Item"/>
    <tableColumn id="2" xr3:uid="{A87D7899-8135-8946-9D88-9F6E423D03E0}" name="Concepto"/>
    <tableColumn id="3" xr3:uid="{A850D3E2-E304-A849-99E1-72093AC975FD}" name="Cantidad"/>
    <tableColumn id="4" xr3:uid="{FF6390A8-5A78-0F45-BFC2-FE8FFFB4B60A}" name="Subtotal"/>
    <tableColumn id="5" xr3:uid="{CED56620-70C0-D549-A65C-3B00E8E037C9}" name="Total"/>
    <tableColumn id="8" xr3:uid="{8DDC4D35-A056-1E43-A525-28FD8563AA71}" name="Cabina Mes Anterior" dataDxfId="21"/>
    <tableColumn id="7" xr3:uid="{E40A0AEE-B823-1746-83B8-3087A50A3D08}" name="Variación" dataDxfId="20">
      <calculatedColumnFormula>+Table_216192225[[#This Row],[Total]]-Table_216192225[[#This Row],[Cabina Mes Anterior]]</calculatedColumnFormula>
    </tableColumn>
    <tableColumn id="6" xr3:uid="{25A2498A-0598-064C-A3DE-8A0541DED47F}" name="%Variación" dataDxfId="19">
      <calculatedColumnFormula>+Table_216192225[[#This Row],[Variación]]/Table_216192225[[#This Row],[Total]]</calculatedColumnFormula>
    </tableColumn>
  </tableColumns>
  <tableStyleInfo name="Calculadora MCS Agosto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9547916-909F-B546-BD4A-AD9D72647B1E}" name="Table_21618172124" displayName="Table_21618172124" ref="C11:G14">
  <tableColumns count="5">
    <tableColumn id="1" xr3:uid="{889BA7B2-50A4-744D-8EDF-ACB87490189E}" name="Item"/>
    <tableColumn id="2" xr3:uid="{FEC143D9-F623-4C46-B093-4EB108D9F801}" name="Concepto"/>
    <tableColumn id="3" xr3:uid="{DFADF042-607D-F648-A895-D714BE690960}" name="Cantidad"/>
    <tableColumn id="4" xr3:uid="{2A29E9F9-FC52-584E-8454-6A0EC1F3A76F}" name="Subtotal"/>
    <tableColumn id="5" xr3:uid="{85C4F7E4-188A-7046-9C5B-587A8B2C01B1}" name="Total"/>
  </tableColumns>
  <tableStyleInfo name="Calculadora MCS Agosto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B223B53-F884-4B46-BF6C-FCCC345C2D62}" name="Table_216182023" displayName="Table_216182023" ref="C11:G21">
  <tableColumns count="5">
    <tableColumn id="1" xr3:uid="{6EA28CDB-6AEB-4043-A7CF-E31AF0FD08F1}" name="Item"/>
    <tableColumn id="2" xr3:uid="{734BC392-2A03-BA4F-82B3-E30E8C88B8B5}" name="Concepto"/>
    <tableColumn id="3" xr3:uid="{42C5668E-C99F-CE45-ABC6-3B37F8DE2922}" name="Cantidad"/>
    <tableColumn id="4" xr3:uid="{514638F7-F16F-614F-9853-FEAFEB14AA70}" name="Subtotal"/>
    <tableColumn id="5" xr3:uid="{53AE1BE9-104D-DC4D-8738-C00D6D4FB4AB}" name="Total"/>
  </tableColumns>
  <tableStyleInfo name="Calculadora MCS Agosto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0D425C4-2F9C-2B47-8403-BC496BFAB279}" name="Table_2161922" displayName="Table_2161922" ref="C11:J16">
  <tableColumns count="8">
    <tableColumn id="1" xr3:uid="{51AE6588-61AC-854D-B3A7-64409BD72BE6}" name="Item"/>
    <tableColumn id="2" xr3:uid="{920FA8FF-6764-B449-B0FE-9C76CD980840}" name="Concepto"/>
    <tableColumn id="3" xr3:uid="{7D0CDF18-A361-E94F-BB26-472E1CF8027C}" name="Cantidad"/>
    <tableColumn id="4" xr3:uid="{FAB39A45-092B-094F-82D2-73E70A6038EB}" name="Subtotal"/>
    <tableColumn id="5" xr3:uid="{5CBA8877-54B1-0D43-BFFC-DEA546A8A0CA}" name="Total"/>
    <tableColumn id="8" xr3:uid="{DD5D9497-1FB0-B84A-BAB6-9B2808A23B68}" name="Cabina Mes Anterior" dataDxfId="18"/>
    <tableColumn id="7" xr3:uid="{95CD0FF2-8EAE-3747-85DC-A5D8881A3021}" name="Variación" dataDxfId="17">
      <calculatedColumnFormula>+Table_2161922[[#This Row],[Total]]-Table_2161922[[#This Row],[Cabina Mes Anterior]]</calculatedColumnFormula>
    </tableColumn>
    <tableColumn id="6" xr3:uid="{2E8700DB-C316-ED47-B50A-26CD26212F42}" name="%Variación" dataDxfId="16">
      <calculatedColumnFormula>+Table_2161922[[#This Row],[Variación]]/Table_2161922[[#This Row],[Total]]</calculatedColumnFormula>
    </tableColumn>
  </tableColumns>
  <tableStyleInfo name="Calculadora MCS Agosto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C237F7D-3AF6-7544-AD45-FC4B2364308A}" name="Table_216181721" displayName="Table_216181721" ref="C11:G13">
  <tableColumns count="5">
    <tableColumn id="1" xr3:uid="{BCDAED58-07D9-844A-942F-46D9F9B7DEE3}" name="Item"/>
    <tableColumn id="2" xr3:uid="{60536018-8635-FF45-9360-36F0E9E16691}" name="Concepto"/>
    <tableColumn id="3" xr3:uid="{D48EE8EE-3095-464D-8B82-601BAD219D5C}" name="Cantidad"/>
    <tableColumn id="4" xr3:uid="{1F6330D0-CA7A-9647-AD96-50EC93298C9E}" name="Subtotal"/>
    <tableColumn id="5" xr3:uid="{E7192CFE-24DF-7142-B089-09B60FEDCD4E}" name="Total"/>
  </tableColumns>
  <tableStyleInfo name="Calculadora MCS Agosto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1A4B696-B052-F84A-A8E2-495B13DA7614}" name="Table_2161820" displayName="Table_2161820" ref="C11:G20">
  <tableColumns count="5">
    <tableColumn id="1" xr3:uid="{708CF2E9-41CE-364D-AA09-B8F7A18B625B}" name="Item"/>
    <tableColumn id="2" xr3:uid="{81664A46-D519-BE43-984D-D3CBC4EA2FD9}" name="Concepto"/>
    <tableColumn id="3" xr3:uid="{81ECF70E-D377-3F4E-A3BC-A601B534FF8D}" name="Cantidad"/>
    <tableColumn id="4" xr3:uid="{4FE315AD-7FE8-EA42-B3D4-6EE7FC4C1EDC}" name="Subtotal"/>
    <tableColumn id="5" xr3:uid="{F063D313-94F4-DA4E-9952-81206DA80332}" name="Total"/>
  </tableColumns>
  <tableStyleInfo name="Calculadora MCS Agosto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855BE91-581F-2F42-9267-A80E8BE56041}" name="Table_21619" displayName="Table_21619" ref="C11:J16">
  <tableColumns count="8">
    <tableColumn id="1" xr3:uid="{72937A83-132F-7148-9DA0-0FB3DC5E7235}" name="Item"/>
    <tableColumn id="2" xr3:uid="{90AE3073-2D13-1E47-9337-AA8072D2D8C3}" name="Concepto"/>
    <tableColumn id="3" xr3:uid="{A390FC5A-2C59-194C-A204-BF89D49F09C3}" name="Cantidad"/>
    <tableColumn id="4" xr3:uid="{B0B0EB87-8FA1-7C49-9CC4-91AF54B29DFF}" name="Subtotal"/>
    <tableColumn id="5" xr3:uid="{2D9FE046-75C9-4948-B721-F446AE5EF289}" name="Total"/>
    <tableColumn id="8" xr3:uid="{B2BFC0F3-6D24-694A-BA9B-3A9A408942C0}" name="Cabina Mes Anterior" dataDxfId="15"/>
    <tableColumn id="7" xr3:uid="{E5D5D423-E32E-0F47-8A2B-61D58E5C1562}" name="Variación" dataDxfId="14">
      <calculatedColumnFormula>+Table_21619[[#This Row],[Total]]-Table_21619[[#This Row],[Cabina Mes Anterior]]</calculatedColumnFormula>
    </tableColumn>
    <tableColumn id="6" xr3:uid="{712AE0FD-6BE9-E44A-AC52-527A012CFAF0}" name="%Variación" dataDxfId="13">
      <calculatedColumnFormula>+Table_21619[[#This Row],[Variación]]/Table_21619[[#This Row],[Total]]</calculatedColumnFormula>
    </tableColumn>
  </tableColumns>
  <tableStyleInfo name="Calculadora MCS Agosto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CF6BCBE-DE91-495D-A377-CB314D9331C0}" name="Table_2161817" displayName="Table_2161817" ref="C11:G13">
  <tableColumns count="5">
    <tableColumn id="1" xr3:uid="{428C50A5-29D3-4B79-8304-9778B68E181B}" name="Item"/>
    <tableColumn id="2" xr3:uid="{087D0CFA-71F0-43A5-BF90-635B3D376075}" name="Concepto"/>
    <tableColumn id="3" xr3:uid="{E45EA716-BB3B-4E87-99CE-EBC978084B3C}" name="Cantidad"/>
    <tableColumn id="4" xr3:uid="{4A4C85BD-2AA7-4CF4-A364-D7BFD8B2EB0E}" name="Subtotal"/>
    <tableColumn id="5" xr3:uid="{35EC36C9-5401-4752-BB61-962854CDD89C}" name="Total"/>
  </tableColumns>
  <tableStyleInfo name="Calculadora MCS Agosto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61829CB-E569-4DFB-854E-D412D3227B78}" name="Table_21618" displayName="Table_21618" ref="C11:G20">
  <tableColumns count="5">
    <tableColumn id="1" xr3:uid="{AA786E56-2C40-4086-AC68-A352D62291CD}" name="Item"/>
    <tableColumn id="2" xr3:uid="{6E58B696-9ABB-4349-92CC-6C5D17AD5265}" name="Concepto"/>
    <tableColumn id="3" xr3:uid="{92027A19-E046-47AD-A260-494A974BB688}" name="Cantidad"/>
    <tableColumn id="4" xr3:uid="{E61AA597-0015-404A-9D3C-6B80DBA1F8A8}" name="Subtotal"/>
    <tableColumn id="5" xr3:uid="{18C9F7CE-2D1E-4403-BFB5-86F4E12C8CDC}" name="Total"/>
  </tableColumns>
  <tableStyleInfo name="Calculadora MCS Agosto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10ACACC-0FB0-49F1-8172-F8EED4DEB18B}" name="Table_216" displayName="Table_216" ref="C11:J16">
  <tableColumns count="8">
    <tableColumn id="1" xr3:uid="{AA416954-ADA8-41B4-B316-F7B6FC515A81}" name="Item"/>
    <tableColumn id="2" xr3:uid="{EB443EA1-BC82-4434-83D3-316D1A43B531}" name="Concepto"/>
    <tableColumn id="3" xr3:uid="{F232178A-6B0C-429C-8AF3-0C3BD3007300}" name="Cantidad"/>
    <tableColumn id="4" xr3:uid="{3DDE7BD5-3B4B-4906-9E32-D4C70A9FE34C}" name="Subtotal"/>
    <tableColumn id="5" xr3:uid="{AD214B7A-C47F-4044-851C-DB9CC4260FCA}" name="Total"/>
    <tableColumn id="8" xr3:uid="{05EBA082-2292-404B-BE1F-AC7B642F24E9}" name="Cabina Mes Anterior" dataDxfId="12"/>
    <tableColumn id="7" xr3:uid="{37BFC7A2-5680-4E54-BC0B-063EB3BDC999}" name="Variación" dataDxfId="11">
      <calculatedColumnFormula>+Table_216[[#This Row],[Total]]-Table_216[[#This Row],[Cabina Mes Anterior]]</calculatedColumnFormula>
    </tableColumn>
    <tableColumn id="6" xr3:uid="{460200DB-58E0-47A3-896E-72A15B28DBFE}" name="%Variación" dataDxfId="10">
      <calculatedColumnFormula>+Table_216[[#This Row],[Variación]]/Table_216[[#This Row],[Total]]</calculatedColumnFormula>
    </tableColumn>
  </tableColumns>
  <tableStyleInfo name="Calculadora MCS Agosto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1:H23">
  <tableColumns count="6">
    <tableColumn id="1" xr3:uid="{00000000-0010-0000-0000-000001000000}" name="Item"/>
    <tableColumn id="2" xr3:uid="{00000000-0010-0000-0000-000002000000}" name="Concepto"/>
    <tableColumn id="3" xr3:uid="{00000000-0010-0000-0000-000003000000}" name="Cantidad"/>
    <tableColumn id="4" xr3:uid="{00000000-0010-0000-0000-000004000000}" name="Subtotal"/>
    <tableColumn id="5" xr3:uid="{00000000-0010-0000-0000-000005000000}" name="Total"/>
    <tableColumn id="6" xr3:uid="{00000000-0010-0000-0000-000006000000}" name="Cabina mes anterior"/>
  </tableColumns>
  <tableStyleInfo name="Calculadora INC Agosto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11:H23">
  <tableColumns count="6">
    <tableColumn id="1" xr3:uid="{00000000-0010-0000-0100-000001000000}" name="Item"/>
    <tableColumn id="2" xr3:uid="{00000000-0010-0000-0100-000002000000}" name="Concepto"/>
    <tableColumn id="3" xr3:uid="{00000000-0010-0000-0100-000003000000}" name="Cantidad"/>
    <tableColumn id="4" xr3:uid="{00000000-0010-0000-0100-000004000000}" name="Subtotal"/>
    <tableColumn id="5" xr3:uid="{00000000-0010-0000-0100-000005000000}" name="Total"/>
    <tableColumn id="6" xr3:uid="{00000000-0010-0000-0100-000006000000}" name="Cabina mes anterior"/>
  </tableColumns>
  <tableStyleInfo name="Calculadora MCS Agosto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11:H23">
  <tableColumns count="6">
    <tableColumn id="1" xr3:uid="{00000000-0010-0000-0200-000001000000}" name="Item"/>
    <tableColumn id="2" xr3:uid="{00000000-0010-0000-0200-000002000000}" name="Concepto"/>
    <tableColumn id="3" xr3:uid="{00000000-0010-0000-0200-000003000000}" name="Cantidad"/>
    <tableColumn id="4" xr3:uid="{00000000-0010-0000-0200-000004000000}" name="Subtotal"/>
    <tableColumn id="5" xr3:uid="{00000000-0010-0000-0200-000005000000}" name="Total"/>
    <tableColumn id="6" xr3:uid="{00000000-0010-0000-0200-000006000000}" name="Cabina mes anterior"/>
  </tableColumns>
  <tableStyleInfo name="Calculadora INC Julio-style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11:H23">
  <tableColumns count="6">
    <tableColumn id="1" xr3:uid="{00000000-0010-0000-0300-000001000000}" name="Item"/>
    <tableColumn id="2" xr3:uid="{00000000-0010-0000-0300-000002000000}" name="Concepto"/>
    <tableColumn id="3" xr3:uid="{00000000-0010-0000-0300-000003000000}" name="Cantidad"/>
    <tableColumn id="4" xr3:uid="{00000000-0010-0000-0300-000004000000}" name="Subtotal"/>
    <tableColumn id="5" xr3:uid="{00000000-0010-0000-0300-000005000000}" name="Total"/>
    <tableColumn id="6" xr3:uid="{00000000-0010-0000-0300-000006000000}" name="Cabina mes anterior"/>
  </tableColumns>
  <tableStyleInfo name="Calculadora MCS Julio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11:H23">
  <tableColumns count="6">
    <tableColumn id="1" xr3:uid="{00000000-0010-0000-0400-000001000000}" name="Item"/>
    <tableColumn id="2" xr3:uid="{00000000-0010-0000-0400-000002000000}" name="Concepto"/>
    <tableColumn id="3" xr3:uid="{00000000-0010-0000-0400-000003000000}" name="Cantidad"/>
    <tableColumn id="4" xr3:uid="{00000000-0010-0000-0400-000004000000}" name="Subtotal"/>
    <tableColumn id="5" xr3:uid="{00000000-0010-0000-0400-000005000000}" name="Total"/>
    <tableColumn id="6" xr3:uid="{00000000-0010-0000-0400-000006000000}" name="Cabina mes anterior"/>
  </tableColumns>
  <tableStyleInfo name="Calculadora INC Junio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C11:H23">
  <tableColumns count="6">
    <tableColumn id="1" xr3:uid="{00000000-0010-0000-0500-000001000000}" name="Item"/>
    <tableColumn id="2" xr3:uid="{00000000-0010-0000-0500-000002000000}" name="Concepto"/>
    <tableColumn id="3" xr3:uid="{00000000-0010-0000-0500-000003000000}" name="Cantidad"/>
    <tableColumn id="4" xr3:uid="{00000000-0010-0000-0500-000004000000}" name="Subtotal"/>
    <tableColumn id="5" xr3:uid="{00000000-0010-0000-0500-000005000000}" name="Total"/>
    <tableColumn id="6" xr3:uid="{00000000-0010-0000-0500-000006000000}" name="Cabina mes anterior"/>
  </tableColumns>
  <tableStyleInfo name="Calculadora MCS Junio-style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C11:H23">
  <tableColumns count="6">
    <tableColumn id="1" xr3:uid="{00000000-0010-0000-0600-000001000000}" name="Item"/>
    <tableColumn id="2" xr3:uid="{00000000-0010-0000-0600-000002000000}" name="Concepto"/>
    <tableColumn id="3" xr3:uid="{00000000-0010-0000-0600-000003000000}" name="Cantidad"/>
    <tableColumn id="4" xr3:uid="{00000000-0010-0000-0600-000004000000}" name="Subtotal"/>
    <tableColumn id="5" xr3:uid="{00000000-0010-0000-0600-000005000000}" name="Total"/>
    <tableColumn id="6" xr3:uid="{00000000-0010-0000-0600-000006000000}" name="Cabina mes anterior"/>
  </tableColumns>
  <tableStyleInfo name="Calculadora INC Mayo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C11:H23">
  <tableColumns count="6">
    <tableColumn id="1" xr3:uid="{00000000-0010-0000-0700-000001000000}" name="Item"/>
    <tableColumn id="2" xr3:uid="{00000000-0010-0000-0700-000002000000}" name="Concepto"/>
    <tableColumn id="3" xr3:uid="{00000000-0010-0000-0700-000003000000}" name="Cantidad"/>
    <tableColumn id="4" xr3:uid="{00000000-0010-0000-0700-000004000000}" name="Subtotal"/>
    <tableColumn id="5" xr3:uid="{00000000-0010-0000-0700-000005000000}" name="Total"/>
    <tableColumn id="6" xr3:uid="{00000000-0010-0000-0700-000006000000}" name="Cabina mes anterior"/>
  </tableColumns>
  <tableStyleInfo name="Calculadora MCS Mayo-style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C11:H23">
  <tableColumns count="6">
    <tableColumn id="1" xr3:uid="{00000000-0010-0000-0800-000001000000}" name="Item"/>
    <tableColumn id="2" xr3:uid="{00000000-0010-0000-0800-000002000000}" name="Concepto"/>
    <tableColumn id="3" xr3:uid="{00000000-0010-0000-0800-000003000000}" name="Cantidad"/>
    <tableColumn id="4" xr3:uid="{00000000-0010-0000-0800-000004000000}" name="Subtotal"/>
    <tableColumn id="5" xr3:uid="{00000000-0010-0000-0800-000005000000}" name="Total"/>
    <tableColumn id="6" xr3:uid="{00000000-0010-0000-0800-000006000000}" name="Cabina mes anterior"/>
  </tableColumns>
  <tableStyleInfo name="Calculadora INC Abril-style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C11:H21">
  <tableColumns count="6">
    <tableColumn id="1" xr3:uid="{00000000-0010-0000-0900-000001000000}" name="Item"/>
    <tableColumn id="2" xr3:uid="{00000000-0010-0000-0900-000002000000}" name="Concepto"/>
    <tableColumn id="3" xr3:uid="{00000000-0010-0000-0900-000003000000}" name="Cantidad"/>
    <tableColumn id="4" xr3:uid="{00000000-0010-0000-0900-000004000000}" name="Subtotal"/>
    <tableColumn id="5" xr3:uid="{00000000-0010-0000-0900-000005000000}" name="Total"/>
    <tableColumn id="6" xr3:uid="{00000000-0010-0000-0900-000006000000}" name="Cabina mes anterior"/>
  </tableColumns>
  <tableStyleInfo name="Calculadora MCS Abril-style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C11:H23">
  <tableColumns count="6">
    <tableColumn id="1" xr3:uid="{00000000-0010-0000-0A00-000001000000}" name="Item"/>
    <tableColumn id="2" xr3:uid="{00000000-0010-0000-0A00-000002000000}" name="Concepto"/>
    <tableColumn id="3" xr3:uid="{00000000-0010-0000-0A00-000003000000}" name="Cantidad"/>
    <tableColumn id="4" xr3:uid="{00000000-0010-0000-0A00-000004000000}" name="Subtotal"/>
    <tableColumn id="5" xr3:uid="{00000000-0010-0000-0A00-000005000000}" name="Total"/>
    <tableColumn id="6" xr3:uid="{00000000-0010-0000-0A00-000006000000}" name="Cabina mes anterior"/>
  </tableColumns>
  <tableStyleInfo name="Calculadora INC Marzo-style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C11:H21">
  <tableColumns count="6">
    <tableColumn id="1" xr3:uid="{00000000-0010-0000-0B00-000001000000}" name="Item"/>
    <tableColumn id="2" xr3:uid="{00000000-0010-0000-0B00-000002000000}" name="Concepto"/>
    <tableColumn id="3" xr3:uid="{00000000-0010-0000-0B00-000003000000}" name="Cantidad"/>
    <tableColumn id="4" xr3:uid="{00000000-0010-0000-0B00-000004000000}" name="Subtotal"/>
    <tableColumn id="5" xr3:uid="{00000000-0010-0000-0B00-000005000000}" name="Total"/>
    <tableColumn id="6" xr3:uid="{00000000-0010-0000-0B00-000006000000}" name="Cabina mes anterior"/>
  </tableColumns>
  <tableStyleInfo name="Calculadora MCS Marzo-style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C11:H23">
  <tableColumns count="6">
    <tableColumn id="1" xr3:uid="{00000000-0010-0000-0C00-000001000000}" name="Item"/>
    <tableColumn id="2" xr3:uid="{00000000-0010-0000-0C00-000002000000}" name="Concepto"/>
    <tableColumn id="3" xr3:uid="{00000000-0010-0000-0C00-000003000000}" name="Cantidad"/>
    <tableColumn id="4" xr3:uid="{00000000-0010-0000-0C00-000004000000}" name="Subtotal"/>
    <tableColumn id="5" xr3:uid="{00000000-0010-0000-0C00-000005000000}" name="Total"/>
    <tableColumn id="6" xr3:uid="{00000000-0010-0000-0C00-000006000000}" name="Cabina mes anterior"/>
  </tableColumns>
  <tableStyleInfo name="Calculadora INC Febrero-style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C11:H21">
  <tableColumns count="6">
    <tableColumn id="1" xr3:uid="{00000000-0010-0000-0D00-000001000000}" name="Item"/>
    <tableColumn id="2" xr3:uid="{00000000-0010-0000-0D00-000002000000}" name="Concepto"/>
    <tableColumn id="3" xr3:uid="{00000000-0010-0000-0D00-000003000000}" name="Cantidad"/>
    <tableColumn id="4" xr3:uid="{00000000-0010-0000-0D00-000004000000}" name="Subtotal"/>
    <tableColumn id="5" xr3:uid="{00000000-0010-0000-0D00-000005000000}" name="Total"/>
    <tableColumn id="6" xr3:uid="{00000000-0010-0000-0D00-000006000000}" name="Cabina mes anterior"/>
  </tableColumns>
  <tableStyleInfo name="Calculadora MCS Febrer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6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9.xml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2.xml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5.xml"/><Relationship Id="rId4" Type="http://schemas.openxmlformats.org/officeDocument/2006/relationships/comments" Target="../comments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6.xml"/><Relationship Id="rId4" Type="http://schemas.openxmlformats.org/officeDocument/2006/relationships/comments" Target="../comments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7.xml"/><Relationship Id="rId4" Type="http://schemas.openxmlformats.org/officeDocument/2006/relationships/comments" Target="../comments9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8.xml"/><Relationship Id="rId4" Type="http://schemas.openxmlformats.org/officeDocument/2006/relationships/comments" Target="../comments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9.xml"/><Relationship Id="rId4" Type="http://schemas.openxmlformats.org/officeDocument/2006/relationships/comments" Target="../comments12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20.xml"/><Relationship Id="rId4" Type="http://schemas.openxmlformats.org/officeDocument/2006/relationships/comments" Target="../comments14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21.xml"/><Relationship Id="rId4" Type="http://schemas.openxmlformats.org/officeDocument/2006/relationships/comments" Target="../comments15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22.xml"/><Relationship Id="rId4" Type="http://schemas.openxmlformats.org/officeDocument/2006/relationships/comments" Target="../comments1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23.xml"/><Relationship Id="rId4" Type="http://schemas.openxmlformats.org/officeDocument/2006/relationships/comments" Target="../comments18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4.xml"/><Relationship Id="rId4" Type="http://schemas.openxmlformats.org/officeDocument/2006/relationships/comments" Target="../comments20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5.xml"/><Relationship Id="rId4" Type="http://schemas.openxmlformats.org/officeDocument/2006/relationships/comments" Target="../comments21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6.xml"/><Relationship Id="rId4" Type="http://schemas.openxmlformats.org/officeDocument/2006/relationships/comments" Target="../comments23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7.xml"/><Relationship Id="rId4" Type="http://schemas.openxmlformats.org/officeDocument/2006/relationships/comments" Target="../comments24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8.xml"/><Relationship Id="rId4" Type="http://schemas.openxmlformats.org/officeDocument/2006/relationships/comments" Target="../comments26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9.xml"/><Relationship Id="rId4" Type="http://schemas.openxmlformats.org/officeDocument/2006/relationships/comments" Target="../comments27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30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31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7D91-2795-9644-BD2A-63822A063331}">
  <dimension ref="A1:K991"/>
  <sheetViews>
    <sheetView showGridLines="0" zoomScale="134" zoomScaleNormal="70" workbookViewId="0">
      <selection activeCell="D12" sqref="D12:D13"/>
    </sheetView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3.5" customWidth="1"/>
    <col min="5" max="5" width="17.33203125" customWidth="1"/>
    <col min="6" max="6" width="13.33203125" customWidth="1"/>
    <col min="7" max="7" width="14.6640625" customWidth="1"/>
    <col min="8" max="8" width="5.33203125" customWidth="1"/>
    <col min="9" max="25" width="10.6640625" customWidth="1"/>
  </cols>
  <sheetData>
    <row r="1" spans="1:11" ht="14.25" customHeight="1" thickBot="1" x14ac:dyDescent="0.25"/>
    <row r="2" spans="1:11" ht="14.25" customHeight="1" thickBot="1" x14ac:dyDescent="0.25">
      <c r="B2" s="23"/>
      <c r="C2" s="24"/>
      <c r="D2" s="24"/>
      <c r="E2" s="24"/>
      <c r="F2" s="24"/>
      <c r="G2" s="24"/>
      <c r="H2" s="25"/>
    </row>
    <row r="3" spans="1:11" ht="14.25" customHeight="1" thickBot="1" x14ac:dyDescent="0.25">
      <c r="A3" s="26"/>
      <c r="B3" s="27"/>
      <c r="C3" s="282" t="s">
        <v>52</v>
      </c>
      <c r="D3" s="283"/>
      <c r="E3" s="283"/>
      <c r="F3" s="283"/>
      <c r="G3" s="284"/>
      <c r="H3" s="28"/>
    </row>
    <row r="4" spans="1:11" ht="14.25" customHeight="1" x14ac:dyDescent="0.2">
      <c r="A4" s="26"/>
      <c r="B4" s="27"/>
      <c r="C4" s="285"/>
      <c r="D4" s="286"/>
      <c r="E4" s="286"/>
      <c r="F4" s="286"/>
      <c r="G4" s="287"/>
      <c r="H4" s="28"/>
    </row>
    <row r="5" spans="1:11" ht="14.25" customHeight="1" x14ac:dyDescent="0.2">
      <c r="A5" s="26"/>
      <c r="B5" s="27"/>
      <c r="C5" s="201"/>
      <c r="D5" s="202"/>
      <c r="E5" s="202"/>
      <c r="F5" s="202"/>
      <c r="G5" s="203"/>
      <c r="H5" s="28"/>
    </row>
    <row r="6" spans="1:11" ht="14.25" customHeight="1" x14ac:dyDescent="0.2">
      <c r="A6" s="26"/>
      <c r="B6" s="27"/>
      <c r="C6" s="204"/>
      <c r="D6" s="202"/>
      <c r="E6" s="205"/>
      <c r="F6" s="206" t="s">
        <v>53</v>
      </c>
      <c r="G6" s="207">
        <f ca="1">TODAY()</f>
        <v>45974</v>
      </c>
      <c r="H6" s="28"/>
    </row>
    <row r="7" spans="1:11" ht="14.25" customHeight="1" x14ac:dyDescent="0.2">
      <c r="A7" s="26"/>
      <c r="B7" s="27"/>
      <c r="C7" s="204"/>
      <c r="D7" s="202"/>
      <c r="E7" s="205"/>
      <c r="F7" s="206"/>
      <c r="G7" s="203"/>
      <c r="H7" s="28"/>
    </row>
    <row r="8" spans="1:11" ht="14.25" customHeight="1" x14ac:dyDescent="0.2">
      <c r="A8" s="26"/>
      <c r="B8" s="27"/>
      <c r="C8" s="208"/>
      <c r="D8" s="209"/>
      <c r="E8" s="205"/>
      <c r="F8" s="206"/>
      <c r="G8" s="203"/>
      <c r="H8" s="28"/>
    </row>
    <row r="9" spans="1:11" ht="14.25" customHeight="1" x14ac:dyDescent="0.2">
      <c r="A9" s="26"/>
      <c r="B9" s="27"/>
      <c r="C9" s="210"/>
      <c r="D9" s="209"/>
      <c r="E9" s="205"/>
      <c r="F9" s="206"/>
      <c r="G9" s="203"/>
      <c r="H9" s="28"/>
    </row>
    <row r="10" spans="1:11" ht="14.25" customHeight="1" thickBot="1" x14ac:dyDescent="0.25">
      <c r="A10" s="26"/>
      <c r="B10" s="27"/>
      <c r="C10" s="211"/>
      <c r="D10" s="212"/>
      <c r="E10" s="205"/>
      <c r="F10" s="202"/>
      <c r="G10" s="203"/>
      <c r="H10" s="28"/>
    </row>
    <row r="11" spans="1:11" ht="14.25" customHeight="1" thickBot="1" x14ac:dyDescent="0.25">
      <c r="A11" s="26"/>
      <c r="B11" s="27"/>
      <c r="C11" s="213" t="s">
        <v>54</v>
      </c>
      <c r="D11" s="44" t="s">
        <v>55</v>
      </c>
      <c r="E11" s="44" t="s">
        <v>56</v>
      </c>
      <c r="F11" s="44" t="s">
        <v>57</v>
      </c>
      <c r="G11" s="214" t="s">
        <v>58</v>
      </c>
      <c r="H11" s="28"/>
    </row>
    <row r="12" spans="1:11" ht="14.25" customHeight="1" x14ac:dyDescent="0.2">
      <c r="A12" s="26"/>
      <c r="B12" s="27"/>
      <c r="C12" s="215">
        <v>1</v>
      </c>
      <c r="D12" s="216" t="s">
        <v>14</v>
      </c>
      <c r="E12" s="217">
        <v>1</v>
      </c>
      <c r="F12" s="218">
        <v>3539</v>
      </c>
      <c r="G12" s="219">
        <f>+Table_216181721242730[[#This Row],[Cantidad]]*Table_216181721242730[[#This Row],[Subtotal]]</f>
        <v>3539</v>
      </c>
      <c r="H12" s="28"/>
      <c r="I12" s="228" t="s">
        <v>220</v>
      </c>
      <c r="K12" s="72"/>
    </row>
    <row r="13" spans="1:11" ht="14.25" customHeight="1" x14ac:dyDescent="0.2">
      <c r="A13" s="26"/>
      <c r="B13" s="27"/>
      <c r="C13" s="215">
        <v>2</v>
      </c>
      <c r="D13" s="216" t="s">
        <v>207</v>
      </c>
      <c r="E13" s="217">
        <v>1</v>
      </c>
      <c r="F13" s="218">
        <v>-50</v>
      </c>
      <c r="G13" s="219">
        <f>+Table_216181721242730[[#This Row],[Cantidad]]*Table_216181721242730[[#This Row],[Subtotal]]</f>
        <v>-50</v>
      </c>
      <c r="H13" s="28"/>
      <c r="I13" s="228" t="s">
        <v>245</v>
      </c>
      <c r="K13" s="72"/>
    </row>
    <row r="14" spans="1:11" ht="14.25" customHeight="1" x14ac:dyDescent="0.2">
      <c r="A14" s="26"/>
      <c r="B14" s="27"/>
      <c r="C14" s="221"/>
      <c r="D14" s="222"/>
      <c r="E14" s="222"/>
      <c r="F14" s="223" t="s">
        <v>57</v>
      </c>
      <c r="G14" s="224">
        <f>+G13</f>
        <v>-50</v>
      </c>
      <c r="H14" s="28"/>
    </row>
    <row r="15" spans="1:11" ht="14.25" customHeight="1" thickBot="1" x14ac:dyDescent="0.25">
      <c r="A15" s="26"/>
      <c r="B15" s="27"/>
      <c r="C15" s="288"/>
      <c r="D15" s="289"/>
      <c r="E15" s="225"/>
      <c r="F15" s="226"/>
      <c r="G15" s="227"/>
      <c r="H15" s="28"/>
    </row>
    <row r="16" spans="1:11" ht="14.25" customHeight="1" thickBot="1" x14ac:dyDescent="0.25">
      <c r="A16" s="26"/>
      <c r="B16" s="66"/>
      <c r="C16" s="290"/>
      <c r="D16" s="291"/>
      <c r="E16" s="67"/>
      <c r="F16" s="68" t="e">
        <f>'Calculadora Conec Enero'!Saldo_pendiente</f>
        <v>#REF!</v>
      </c>
      <c r="G16" s="69"/>
      <c r="H16" s="70"/>
    </row>
    <row r="17" spans="4:4" ht="14.25" customHeight="1" x14ac:dyDescent="0.2"/>
    <row r="18" spans="4:4" ht="14.25" customHeight="1" x14ac:dyDescent="0.2">
      <c r="D18" s="200"/>
    </row>
    <row r="19" spans="4:4" ht="14.25" customHeight="1" x14ac:dyDescent="0.2"/>
    <row r="20" spans="4:4" ht="14.25" customHeight="1" x14ac:dyDescent="0.2"/>
    <row r="21" spans="4:4" ht="14.25" customHeight="1" x14ac:dyDescent="0.2"/>
    <row r="22" spans="4:4" ht="14.25" customHeight="1" x14ac:dyDescent="0.2"/>
    <row r="23" spans="4:4" ht="14.25" customHeight="1" x14ac:dyDescent="0.2"/>
    <row r="24" spans="4:4" ht="14.25" customHeight="1" x14ac:dyDescent="0.2"/>
    <row r="25" spans="4:4" ht="14.25" customHeight="1" x14ac:dyDescent="0.2"/>
    <row r="26" spans="4:4" ht="14.25" customHeight="1" x14ac:dyDescent="0.2"/>
    <row r="27" spans="4:4" ht="14.25" customHeight="1" x14ac:dyDescent="0.2"/>
    <row r="28" spans="4:4" ht="14.25" customHeight="1" x14ac:dyDescent="0.2"/>
    <row r="29" spans="4:4" ht="14.25" customHeight="1" x14ac:dyDescent="0.2"/>
    <row r="30" spans="4:4" ht="14.25" customHeight="1" x14ac:dyDescent="0.2"/>
    <row r="31" spans="4:4" ht="14.25" customHeight="1" x14ac:dyDescent="0.2"/>
    <row r="32" spans="4:4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</sheetData>
  <mergeCells count="4">
    <mergeCell ref="C3:G3"/>
    <mergeCell ref="C4:G4"/>
    <mergeCell ref="C15:D15"/>
    <mergeCell ref="C16:D16"/>
  </mergeCells>
  <pageMargins left="0.7" right="0.7" top="0.75" bottom="0.75" header="0" footer="0"/>
  <pageSetup orientation="landscape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7E9B-CC0A-7047-A6B7-11CF4E2F0E63}">
  <dimension ref="A1:O997"/>
  <sheetViews>
    <sheetView showGridLines="0" zoomScale="114" zoomScaleNormal="140" workbookViewId="0">
      <selection activeCell="L18" sqref="L18"/>
    </sheetView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3.5" customWidth="1"/>
    <col min="5" max="5" width="17.33203125" customWidth="1"/>
    <col min="6" max="6" width="13.33203125" customWidth="1"/>
    <col min="7" max="7" width="14.6640625" customWidth="1"/>
    <col min="8" max="8" width="5.33203125" customWidth="1"/>
    <col min="9" max="9" width="10.6640625" customWidth="1"/>
    <col min="10" max="10" width="15.5" bestFit="1" customWidth="1"/>
    <col min="11" max="12" width="10.6640625" customWidth="1"/>
    <col min="13" max="13" width="14.5" bestFit="1" customWidth="1"/>
    <col min="14" max="25" width="10.6640625" customWidth="1"/>
  </cols>
  <sheetData>
    <row r="1" spans="1:11" ht="14.25" customHeight="1" thickBot="1" x14ac:dyDescent="0.25"/>
    <row r="2" spans="1:11" ht="14.25" customHeight="1" thickBot="1" x14ac:dyDescent="0.25">
      <c r="B2" s="23"/>
      <c r="C2" s="24"/>
      <c r="D2" s="24"/>
      <c r="E2" s="24"/>
      <c r="F2" s="24"/>
      <c r="G2" s="24"/>
      <c r="H2" s="25"/>
    </row>
    <row r="3" spans="1:11" ht="14.25" customHeight="1" thickBot="1" x14ac:dyDescent="0.25">
      <c r="A3" s="26"/>
      <c r="B3" s="27"/>
      <c r="C3" s="282" t="s">
        <v>52</v>
      </c>
      <c r="D3" s="283"/>
      <c r="E3" s="283"/>
      <c r="F3" s="283"/>
      <c r="G3" s="284"/>
      <c r="H3" s="28"/>
    </row>
    <row r="4" spans="1:11" ht="14.25" customHeight="1" x14ac:dyDescent="0.2">
      <c r="A4" s="26"/>
      <c r="B4" s="27"/>
      <c r="C4" s="285"/>
      <c r="D4" s="286"/>
      <c r="E4" s="286"/>
      <c r="F4" s="286"/>
      <c r="G4" s="287"/>
      <c r="H4" s="28"/>
    </row>
    <row r="5" spans="1:11" ht="14.25" customHeight="1" x14ac:dyDescent="0.2">
      <c r="A5" s="26"/>
      <c r="B5" s="27"/>
      <c r="C5" s="201"/>
      <c r="D5" s="202"/>
      <c r="E5" s="202"/>
      <c r="F5" s="202"/>
      <c r="G5" s="203"/>
      <c r="H5" s="28"/>
    </row>
    <row r="6" spans="1:11" ht="14.25" customHeight="1" x14ac:dyDescent="0.2">
      <c r="A6" s="26"/>
      <c r="B6" s="27"/>
      <c r="C6" s="204"/>
      <c r="D6" s="202"/>
      <c r="E6" s="205"/>
      <c r="F6" s="206" t="s">
        <v>53</v>
      </c>
      <c r="G6" s="207">
        <f ca="1">TODAY()</f>
        <v>45974</v>
      </c>
      <c r="H6" s="28"/>
    </row>
    <row r="7" spans="1:11" ht="14.25" customHeight="1" x14ac:dyDescent="0.2">
      <c r="A7" s="26"/>
      <c r="B7" s="27"/>
      <c r="C7" s="204"/>
      <c r="D7" s="202"/>
      <c r="E7" s="205"/>
      <c r="F7" s="206"/>
      <c r="G7" s="203"/>
      <c r="H7" s="28"/>
    </row>
    <row r="8" spans="1:11" ht="14.25" customHeight="1" x14ac:dyDescent="0.2">
      <c r="A8" s="26"/>
      <c r="B8" s="27"/>
      <c r="C8" s="208"/>
      <c r="D8" s="209"/>
      <c r="E8" s="205"/>
      <c r="F8" s="206"/>
      <c r="G8" s="203"/>
      <c r="H8" s="28"/>
    </row>
    <row r="9" spans="1:11" ht="14.25" customHeight="1" x14ac:dyDescent="0.2">
      <c r="A9" s="26"/>
      <c r="B9" s="27"/>
      <c r="C9" s="210"/>
      <c r="D9" s="209"/>
      <c r="E9" s="205"/>
      <c r="F9" s="206"/>
      <c r="G9" s="203"/>
      <c r="H9" s="28"/>
    </row>
    <row r="10" spans="1:11" ht="14.25" customHeight="1" thickBot="1" x14ac:dyDescent="0.25">
      <c r="A10" s="26"/>
      <c r="B10" s="27"/>
      <c r="C10" s="211"/>
      <c r="D10" s="212"/>
      <c r="E10" s="205"/>
      <c r="F10" s="202"/>
      <c r="G10" s="203"/>
      <c r="H10" s="28"/>
    </row>
    <row r="11" spans="1:11" ht="14.25" customHeight="1" thickBot="1" x14ac:dyDescent="0.25">
      <c r="A11" s="26"/>
      <c r="B11" s="27"/>
      <c r="C11" s="213" t="s">
        <v>54</v>
      </c>
      <c r="D11" s="44" t="s">
        <v>55</v>
      </c>
      <c r="E11" s="44" t="s">
        <v>56</v>
      </c>
      <c r="F11" s="44" t="s">
        <v>57</v>
      </c>
      <c r="G11" s="214" t="s">
        <v>58</v>
      </c>
      <c r="H11" s="28"/>
    </row>
    <row r="12" spans="1:11" ht="14.25" customHeight="1" x14ac:dyDescent="0.2">
      <c r="A12" s="26"/>
      <c r="B12" s="27"/>
      <c r="C12" s="215">
        <v>1</v>
      </c>
      <c r="D12" s="216" t="s">
        <v>10</v>
      </c>
      <c r="E12" s="217">
        <v>2</v>
      </c>
      <c r="F12" s="218">
        <v>3150</v>
      </c>
      <c r="G12" s="219">
        <f>+Table_2161820232629[[#This Row],[Cantidad]]*Table_2161820232629[[#This Row],[Subtotal]]</f>
        <v>6300</v>
      </c>
      <c r="H12" s="28"/>
      <c r="K12" s="72"/>
    </row>
    <row r="13" spans="1:11" ht="14" customHeight="1" x14ac:dyDescent="0.2">
      <c r="A13" s="26"/>
      <c r="B13" s="27"/>
      <c r="C13" s="215">
        <v>2</v>
      </c>
      <c r="D13" s="216" t="s">
        <v>12</v>
      </c>
      <c r="E13" s="220">
        <v>47</v>
      </c>
      <c r="F13" s="218">
        <v>12.5</v>
      </c>
      <c r="G13" s="219">
        <f>+Table_2161820232629[[#This Row],[Cantidad]]*Table_2161820232629[[#This Row],[Subtotal]]</f>
        <v>587.5</v>
      </c>
      <c r="H13" s="28"/>
      <c r="J13" s="292"/>
      <c r="K13" s="292"/>
    </row>
    <row r="14" spans="1:11" ht="14" customHeight="1" x14ac:dyDescent="0.2">
      <c r="A14" s="26"/>
      <c r="B14" s="27"/>
      <c r="C14" s="215">
        <v>3</v>
      </c>
      <c r="D14" s="216" t="s">
        <v>216</v>
      </c>
      <c r="E14" s="220">
        <v>7</v>
      </c>
      <c r="F14" s="218">
        <v>1500</v>
      </c>
      <c r="G14" s="219">
        <f>+Table_2161820232629[[#This Row],[Cantidad]]*Table_2161820232629[[#This Row],[Subtotal]]</f>
        <v>10500</v>
      </c>
      <c r="H14" s="28"/>
      <c r="J14" s="228"/>
      <c r="K14" s="256"/>
    </row>
    <row r="15" spans="1:11" ht="14" customHeight="1" x14ac:dyDescent="0.2">
      <c r="A15" s="26"/>
      <c r="B15" s="27"/>
      <c r="C15" s="215">
        <v>4</v>
      </c>
      <c r="D15" s="216" t="s">
        <v>62</v>
      </c>
      <c r="E15" s="220">
        <v>1</v>
      </c>
      <c r="F15" s="218">
        <v>500</v>
      </c>
      <c r="G15" s="219">
        <f>+Table_2161820232629[[#This Row],[Cantidad]]*Table_2161820232629[[#This Row],[Subtotal]]</f>
        <v>500</v>
      </c>
      <c r="H15" s="28"/>
      <c r="J15" s="228"/>
      <c r="K15" s="256"/>
    </row>
    <row r="16" spans="1:11" ht="14" customHeight="1" x14ac:dyDescent="0.2">
      <c r="A16" s="26"/>
      <c r="B16" s="27"/>
      <c r="C16" s="215">
        <v>5</v>
      </c>
      <c r="D16" s="216" t="s">
        <v>20</v>
      </c>
      <c r="E16" s="220">
        <v>1</v>
      </c>
      <c r="F16" s="218">
        <v>105</v>
      </c>
      <c r="G16" s="219">
        <f>+Table_2161820232629[[#This Row],[Cantidad]]*Table_2161820232629[[#This Row],[Subtotal]]</f>
        <v>105</v>
      </c>
      <c r="H16" s="28"/>
      <c r="J16" s="228" t="s">
        <v>239</v>
      </c>
      <c r="K16" s="259">
        <f>+G20</f>
        <v>42040</v>
      </c>
    </row>
    <row r="17" spans="1:15" ht="14" customHeight="1" x14ac:dyDescent="0.2">
      <c r="A17" s="26"/>
      <c r="B17" s="27"/>
      <c r="C17" s="215">
        <v>6</v>
      </c>
      <c r="D17" s="216" t="s">
        <v>22</v>
      </c>
      <c r="E17" s="220">
        <v>1</v>
      </c>
      <c r="F17" s="218">
        <v>87.5</v>
      </c>
      <c r="G17" s="219">
        <f>+Table_2161820232629[[#This Row],[Cantidad]]*Table_2161820232629[[#This Row],[Subtotal]]</f>
        <v>87.5</v>
      </c>
      <c r="H17" s="28"/>
      <c r="J17" s="228" t="s">
        <v>29</v>
      </c>
      <c r="K17" s="261">
        <v>35520.089999999997</v>
      </c>
      <c r="L17" s="228" t="s">
        <v>246</v>
      </c>
    </row>
    <row r="18" spans="1:15" ht="14" customHeight="1" x14ac:dyDescent="0.2">
      <c r="A18" s="26"/>
      <c r="B18" s="27"/>
      <c r="C18" s="215">
        <v>7</v>
      </c>
      <c r="D18" s="216" t="s">
        <v>24</v>
      </c>
      <c r="E18" s="220">
        <v>1</v>
      </c>
      <c r="F18" s="218">
        <v>350</v>
      </c>
      <c r="G18" s="219">
        <f>+Table_2161820232629[[#This Row],[Cantidad]]*Table_2161820232629[[#This Row],[Subtotal]]</f>
        <v>350</v>
      </c>
      <c r="H18" s="28"/>
      <c r="J18" s="228"/>
      <c r="K18" s="259">
        <f>+K16-K17</f>
        <v>6519.9100000000035</v>
      </c>
    </row>
    <row r="19" spans="1:15" ht="14" customHeight="1" x14ac:dyDescent="0.2">
      <c r="A19" s="26"/>
      <c r="B19" s="27"/>
      <c r="C19" s="215">
        <v>8</v>
      </c>
      <c r="D19" s="216" t="s">
        <v>217</v>
      </c>
      <c r="E19" s="220">
        <v>1</v>
      </c>
      <c r="F19" s="218">
        <v>23610</v>
      </c>
      <c r="G19" s="219">
        <f>+Table_2161820232629[[#This Row],[Cantidad]]*Table_2161820232629[[#This Row],[Subtotal]]</f>
        <v>23610</v>
      </c>
      <c r="H19" s="28"/>
      <c r="J19" s="228"/>
      <c r="K19" s="256"/>
    </row>
    <row r="20" spans="1:15" ht="14.25" customHeight="1" x14ac:dyDescent="0.2">
      <c r="A20" s="26"/>
      <c r="B20" s="27"/>
      <c r="C20" s="221"/>
      <c r="D20" s="222"/>
      <c r="E20" s="222"/>
      <c r="F20" s="223" t="s">
        <v>57</v>
      </c>
      <c r="G20" s="224">
        <f>SUBTOTAL(109,G12:G19)</f>
        <v>42040</v>
      </c>
      <c r="H20" s="28"/>
      <c r="J20" s="200"/>
      <c r="K20" s="257"/>
    </row>
    <row r="21" spans="1:15" ht="14.25" customHeight="1" thickBot="1" x14ac:dyDescent="0.25">
      <c r="A21" s="26"/>
      <c r="B21" s="27"/>
      <c r="C21" s="288"/>
      <c r="D21" s="289"/>
      <c r="E21" s="225"/>
      <c r="F21" s="226"/>
      <c r="G21" s="227"/>
      <c r="H21" s="28"/>
    </row>
    <row r="22" spans="1:15" ht="14.25" customHeight="1" thickBot="1" x14ac:dyDescent="0.25">
      <c r="A22" s="26"/>
      <c r="B22" s="66"/>
      <c r="C22" s="290"/>
      <c r="D22" s="291"/>
      <c r="E22" s="67"/>
      <c r="F22" s="68" t="e">
        <f>'Calculadora Corp Enero'!Saldo_pendiente</f>
        <v>#REF!</v>
      </c>
      <c r="G22" s="69"/>
      <c r="H22" s="70"/>
    </row>
    <row r="23" spans="1:15" ht="14.25" customHeight="1" x14ac:dyDescent="0.2"/>
    <row r="24" spans="1:15" ht="14.25" customHeight="1" x14ac:dyDescent="0.2">
      <c r="D24" s="200"/>
    </row>
    <row r="25" spans="1:15" ht="14.25" customHeight="1" x14ac:dyDescent="0.2"/>
    <row r="26" spans="1:15" ht="14.25" customHeight="1" x14ac:dyDescent="0.2"/>
    <row r="27" spans="1:15" ht="14.25" customHeight="1" x14ac:dyDescent="0.2"/>
    <row r="28" spans="1:15" ht="14.25" customHeight="1" x14ac:dyDescent="0.2">
      <c r="M28" s="228"/>
      <c r="N28" s="256"/>
    </row>
    <row r="29" spans="1:15" ht="14.25" customHeight="1" x14ac:dyDescent="0.2">
      <c r="M29" s="197"/>
      <c r="N29" s="256"/>
      <c r="O29" s="228"/>
    </row>
    <row r="30" spans="1:15" ht="14.25" customHeight="1" x14ac:dyDescent="0.2">
      <c r="M30" s="197"/>
      <c r="N30" s="256"/>
      <c r="O30" s="228"/>
    </row>
    <row r="31" spans="1:15" ht="14.25" customHeight="1" x14ac:dyDescent="0.2">
      <c r="M31" s="197"/>
      <c r="N31" s="256"/>
      <c r="O31" s="228"/>
    </row>
    <row r="32" spans="1:15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</sheetData>
  <mergeCells count="5">
    <mergeCell ref="C3:G3"/>
    <mergeCell ref="C4:G4"/>
    <mergeCell ref="J13:K13"/>
    <mergeCell ref="C21:D21"/>
    <mergeCell ref="C22:D22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7C1B7-E89D-2E44-86FD-0DA4F27A4E04}">
  <dimension ref="A1:P992"/>
  <sheetViews>
    <sheetView showGridLines="0" tabSelected="1" zoomScaleNormal="125" workbookViewId="0">
      <selection activeCell="H29" sqref="H29"/>
    </sheetView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3.5" customWidth="1"/>
    <col min="5" max="5" width="9.83203125" bestFit="1" customWidth="1"/>
    <col min="6" max="6" width="13.33203125" customWidth="1"/>
    <col min="7" max="7" width="14.6640625" customWidth="1"/>
    <col min="8" max="8" width="18" bestFit="1" customWidth="1"/>
    <col min="9" max="9" width="14.6640625" customWidth="1"/>
    <col min="10" max="10" width="16" customWidth="1"/>
    <col min="11" max="11" width="5.33203125" customWidth="1"/>
    <col min="12" max="13" width="10.6640625" customWidth="1"/>
    <col min="14" max="14" width="16.83203125" bestFit="1" customWidth="1"/>
    <col min="15" max="28" width="10.6640625" customWidth="1"/>
  </cols>
  <sheetData>
    <row r="1" spans="1:14" ht="14.25" customHeight="1" thickBot="1" x14ac:dyDescent="0.25"/>
    <row r="2" spans="1:14" ht="14.25" customHeight="1" thickBot="1" x14ac:dyDescent="0.25">
      <c r="B2" s="23"/>
      <c r="C2" s="24"/>
      <c r="D2" s="24"/>
      <c r="E2" s="24"/>
      <c r="F2" s="24"/>
      <c r="G2" s="24"/>
      <c r="H2" s="24"/>
      <c r="I2" s="24"/>
      <c r="J2" s="24"/>
      <c r="K2" s="25"/>
    </row>
    <row r="3" spans="1:14" ht="14.25" customHeight="1" thickBot="1" x14ac:dyDescent="0.25">
      <c r="A3" s="26"/>
      <c r="B3" s="27"/>
      <c r="C3" s="293" t="s">
        <v>52</v>
      </c>
      <c r="D3" s="294"/>
      <c r="E3" s="294"/>
      <c r="F3" s="294"/>
      <c r="G3" s="294"/>
      <c r="H3" s="295"/>
      <c r="I3" s="295"/>
      <c r="J3" s="296"/>
      <c r="K3" s="28"/>
    </row>
    <row r="4" spans="1:14" ht="14.25" customHeight="1" x14ac:dyDescent="0.2">
      <c r="A4" s="26"/>
      <c r="B4" s="27"/>
      <c r="C4" s="297"/>
      <c r="D4" s="286"/>
      <c r="E4" s="286"/>
      <c r="F4" s="286"/>
      <c r="G4" s="286"/>
      <c r="H4" s="29"/>
      <c r="I4" s="29"/>
      <c r="J4" s="30"/>
      <c r="K4" s="28"/>
    </row>
    <row r="5" spans="1:14" ht="14.25" customHeight="1" x14ac:dyDescent="0.2">
      <c r="A5" s="26"/>
      <c r="B5" s="27"/>
      <c r="C5" s="31"/>
      <c r="D5" s="26"/>
      <c r="E5" s="26"/>
      <c r="F5" s="26"/>
      <c r="G5" s="26"/>
      <c r="H5" s="26"/>
      <c r="I5" s="26"/>
      <c r="J5" s="32"/>
      <c r="K5" s="28"/>
    </row>
    <row r="6" spans="1:14" ht="14.25" customHeight="1" x14ac:dyDescent="0.2">
      <c r="A6" s="26"/>
      <c r="B6" s="27"/>
      <c r="C6" s="33"/>
      <c r="D6" s="26"/>
      <c r="E6" s="34"/>
      <c r="F6" s="35" t="s">
        <v>53</v>
      </c>
      <c r="G6" s="36">
        <f ca="1">TODAY()</f>
        <v>45974</v>
      </c>
      <c r="H6" s="36"/>
      <c r="I6" s="36"/>
      <c r="J6" s="37"/>
      <c r="K6" s="28"/>
    </row>
    <row r="7" spans="1:14" ht="14.25" customHeight="1" x14ac:dyDescent="0.2">
      <c r="A7" s="26"/>
      <c r="B7" s="27"/>
      <c r="C7" s="33"/>
      <c r="D7" s="26"/>
      <c r="E7" s="34"/>
      <c r="F7" s="35"/>
      <c r="G7" s="26"/>
      <c r="H7" s="26"/>
      <c r="I7" s="26"/>
      <c r="J7" s="32"/>
      <c r="K7" s="28"/>
    </row>
    <row r="8" spans="1:14" ht="14.25" customHeight="1" x14ac:dyDescent="0.2">
      <c r="A8" s="26"/>
      <c r="B8" s="27"/>
      <c r="C8" s="38"/>
      <c r="D8" s="39"/>
      <c r="E8" s="34"/>
      <c r="F8" s="35"/>
      <c r="G8" s="26"/>
      <c r="H8" s="26"/>
      <c r="I8" s="26"/>
      <c r="J8" s="32"/>
      <c r="K8" s="28"/>
    </row>
    <row r="9" spans="1:14" ht="14.25" customHeight="1" x14ac:dyDescent="0.2">
      <c r="A9" s="26"/>
      <c r="B9" s="27"/>
      <c r="C9" s="40"/>
      <c r="D9" s="39"/>
      <c r="E9" s="34"/>
      <c r="F9" s="35"/>
      <c r="G9" s="26"/>
      <c r="H9" s="26"/>
      <c r="I9" s="26"/>
      <c r="J9" s="32"/>
      <c r="K9" s="28"/>
    </row>
    <row r="10" spans="1:14" ht="14.25" customHeight="1" thickBot="1" x14ac:dyDescent="0.25">
      <c r="A10" s="26"/>
      <c r="B10" s="27"/>
      <c r="C10" s="41"/>
      <c r="D10" s="42"/>
      <c r="E10" s="34"/>
      <c r="F10" s="26"/>
      <c r="G10" s="26"/>
      <c r="H10" s="26"/>
      <c r="I10" s="26"/>
      <c r="J10" s="32"/>
      <c r="K10" s="28"/>
    </row>
    <row r="11" spans="1:14" ht="14.25" customHeight="1" thickBot="1" x14ac:dyDescent="0.25">
      <c r="A11" s="26"/>
      <c r="B11" s="27"/>
      <c r="C11" s="43" t="s">
        <v>54</v>
      </c>
      <c r="D11" s="44" t="s">
        <v>55</v>
      </c>
      <c r="E11" s="44" t="s">
        <v>56</v>
      </c>
      <c r="F11" s="44" t="s">
        <v>57</v>
      </c>
      <c r="G11" s="44" t="s">
        <v>58</v>
      </c>
      <c r="H11" s="194" t="s">
        <v>4</v>
      </c>
      <c r="I11" s="44" t="s">
        <v>214</v>
      </c>
      <c r="J11" s="44" t="s">
        <v>215</v>
      </c>
      <c r="K11" s="28"/>
    </row>
    <row r="12" spans="1:14" ht="14.25" customHeight="1" x14ac:dyDescent="0.2">
      <c r="A12" s="26"/>
      <c r="B12" s="27"/>
      <c r="C12" s="46">
        <v>1</v>
      </c>
      <c r="D12" s="47" t="s">
        <v>211</v>
      </c>
      <c r="E12" s="48">
        <v>1</v>
      </c>
      <c r="F12" s="49">
        <f>+'Servicios de Cabina INC'!U61-3434</f>
        <v>48656.267751483749</v>
      </c>
      <c r="G12" s="50">
        <f>+Table_21619222528[[#This Row],[Subtotal]]</f>
        <v>48656.267751483749</v>
      </c>
      <c r="H12" s="50">
        <v>46370.245407599999</v>
      </c>
      <c r="I12" s="50">
        <f>Table_21619222528[[#This Row],[Subtotal]]-Table_21619222528[[#This Row],[Cabina Mes Anterior]]</f>
        <v>2286.0223438837493</v>
      </c>
      <c r="J12" s="195">
        <f>+Table_21619222528[[#This Row],[Variación]]/Table_21619222528[[#This Row],[Total]]</f>
        <v>4.6983101037667202E-2</v>
      </c>
      <c r="K12" s="28"/>
      <c r="N12" s="72"/>
    </row>
    <row r="13" spans="1:14" ht="14" customHeight="1" x14ac:dyDescent="0.2">
      <c r="A13" s="26"/>
      <c r="B13" s="27"/>
      <c r="C13" s="46">
        <v>2</v>
      </c>
      <c r="D13" s="47" t="s">
        <v>213</v>
      </c>
      <c r="E13" s="48">
        <v>1</v>
      </c>
      <c r="F13" s="49">
        <f>+'Servicios de Cabina MCS'!U61-3434</f>
        <v>209984.66506723501</v>
      </c>
      <c r="G13" s="50">
        <f>+Table_21619222528[[#This Row],[Subtotal]]</f>
        <v>209984.66506723501</v>
      </c>
      <c r="H13" s="50">
        <v>200549.19978932245</v>
      </c>
      <c r="I13" s="50">
        <f>Table_21619222528[[#This Row],[Subtotal]]-Table_21619222528[[#This Row],[Cabina Mes Anterior]]</f>
        <v>9435.4652779125609</v>
      </c>
      <c r="J13" s="281">
        <f>+Table_21619222528[[#This Row],[Variación]]/Table_21619222528[[#This Row],[Total]]</f>
        <v>4.4934068280135686E-2</v>
      </c>
      <c r="K13" s="28"/>
    </row>
    <row r="14" spans="1:14" ht="14" customHeight="1" x14ac:dyDescent="0.2">
      <c r="A14" s="26"/>
      <c r="B14" s="27"/>
      <c r="C14" s="46">
        <v>3</v>
      </c>
      <c r="D14" s="47" t="s">
        <v>16</v>
      </c>
      <c r="E14" s="48">
        <v>1</v>
      </c>
      <c r="F14" s="49">
        <v>500</v>
      </c>
      <c r="G14" s="50">
        <f>+Table_21619222528[[#This Row],[Cantidad]]*Table_21619222528[[#This Row],[Subtotal]]</f>
        <v>500</v>
      </c>
      <c r="H14" s="50"/>
      <c r="I14" s="50"/>
      <c r="J14" s="255"/>
      <c r="K14" s="28"/>
    </row>
    <row r="15" spans="1:14" ht="14" customHeight="1" x14ac:dyDescent="0.2">
      <c r="A15" s="26"/>
      <c r="B15" s="27"/>
      <c r="C15" s="46">
        <v>4</v>
      </c>
      <c r="D15" s="216" t="s">
        <v>207</v>
      </c>
      <c r="E15" s="48">
        <v>1</v>
      </c>
      <c r="F15" s="49"/>
      <c r="G15" s="50">
        <f>+Table_21619222528[[#This Row],[Cantidad]]*Table_21619222528[[#This Row],[Subtotal]]</f>
        <v>0</v>
      </c>
      <c r="H15" s="50"/>
      <c r="I15" s="50"/>
      <c r="J15" s="255"/>
      <c r="K15" s="28"/>
      <c r="L15" s="228" t="s">
        <v>252</v>
      </c>
    </row>
    <row r="16" spans="1:14" ht="14" customHeight="1" x14ac:dyDescent="0.2">
      <c r="A16" s="26"/>
      <c r="B16" s="27"/>
      <c r="C16" s="193">
        <v>5</v>
      </c>
      <c r="D16" s="216" t="s">
        <v>254</v>
      </c>
      <c r="E16" s="48">
        <v>1</v>
      </c>
      <c r="F16" s="49">
        <f>-(2252+187.5+3088.95+3679.38)</f>
        <v>-9207.83</v>
      </c>
      <c r="G16" s="50">
        <f>+Table_21619222528[[#This Row],[Cantidad]]*Table_21619222528[[#This Row],[Subtotal]]</f>
        <v>-9207.83</v>
      </c>
      <c r="H16" s="50"/>
      <c r="I16" s="50"/>
      <c r="J16" s="255"/>
      <c r="K16" s="28"/>
    </row>
    <row r="17" spans="1:16" ht="14.25" customHeight="1" x14ac:dyDescent="0.2">
      <c r="A17" s="26"/>
      <c r="B17" s="27"/>
      <c r="C17" s="58"/>
      <c r="D17" s="59"/>
      <c r="E17" s="59"/>
      <c r="F17" s="60" t="s">
        <v>57</v>
      </c>
      <c r="G17" s="199">
        <f>SUBTOTAL(109,G12:G16)</f>
        <v>249933.10281871876</v>
      </c>
      <c r="H17" s="50"/>
      <c r="I17" s="50"/>
      <c r="J17" s="187"/>
      <c r="K17" s="28"/>
    </row>
    <row r="18" spans="1:16" ht="14.25" customHeight="1" thickBot="1" x14ac:dyDescent="0.25">
      <c r="A18" s="26"/>
      <c r="B18" s="27"/>
      <c r="C18" s="298"/>
      <c r="D18" s="299"/>
      <c r="E18" s="62"/>
      <c r="F18" s="63"/>
      <c r="G18" s="64"/>
      <c r="H18" s="64"/>
      <c r="I18" s="64"/>
      <c r="J18" s="65"/>
      <c r="K18" s="28"/>
    </row>
    <row r="19" spans="1:16" ht="14.25" customHeight="1" thickBot="1" x14ac:dyDescent="0.25">
      <c r="A19" s="26"/>
      <c r="B19" s="66"/>
      <c r="C19" s="290"/>
      <c r="D19" s="291"/>
      <c r="E19" s="67"/>
      <c r="F19" s="68"/>
      <c r="G19" s="69"/>
      <c r="H19" s="69"/>
      <c r="I19" s="69"/>
      <c r="J19" s="69"/>
      <c r="K19" s="70"/>
    </row>
    <row r="20" spans="1:16" ht="14.25" customHeight="1" x14ac:dyDescent="0.2">
      <c r="G20" s="276"/>
    </row>
    <row r="21" spans="1:16" ht="14.25" customHeight="1" x14ac:dyDescent="0.2">
      <c r="F21" s="256"/>
      <c r="H21" s="273" t="s">
        <v>251</v>
      </c>
    </row>
    <row r="22" spans="1:16" ht="14.25" customHeight="1" x14ac:dyDescent="0.2">
      <c r="E22" s="228" t="s">
        <v>9</v>
      </c>
      <c r="F22" s="277">
        <v>0.66800000000000004</v>
      </c>
      <c r="G22" s="256">
        <f>+(G12+G13)*F22</f>
        <v>172772.14312290415</v>
      </c>
      <c r="H22" s="272">
        <f>+G22+G14+G15+G16</f>
        <v>164064.31312290416</v>
      </c>
      <c r="I22" s="228" t="s">
        <v>253</v>
      </c>
    </row>
    <row r="23" spans="1:16" ht="14.25" customHeight="1" x14ac:dyDescent="0.2">
      <c r="E23" s="228" t="s">
        <v>11</v>
      </c>
      <c r="F23" s="278">
        <v>0.33200000000000002</v>
      </c>
      <c r="G23" s="256">
        <f>+(G12+G13)*F23</f>
        <v>85868.78969581463</v>
      </c>
      <c r="H23" s="272">
        <f>+G23</f>
        <v>85868.78969581463</v>
      </c>
    </row>
    <row r="24" spans="1:16" ht="14.25" customHeight="1" x14ac:dyDescent="0.2">
      <c r="F24" s="275"/>
      <c r="H24" s="256">
        <f>+H22+H23-G17</f>
        <v>0</v>
      </c>
    </row>
    <row r="25" spans="1:16" ht="14.25" customHeight="1" x14ac:dyDescent="0.2"/>
    <row r="26" spans="1:16" ht="14.25" customHeight="1" x14ac:dyDescent="0.2"/>
    <row r="27" spans="1:16" ht="14.25" customHeight="1" x14ac:dyDescent="0.2">
      <c r="H27" s="279"/>
    </row>
    <row r="28" spans="1:16" ht="14.25" customHeight="1" x14ac:dyDescent="0.2">
      <c r="O28" s="273"/>
      <c r="P28" s="273"/>
    </row>
    <row r="29" spans="1:16" ht="14.25" customHeight="1" x14ac:dyDescent="0.2">
      <c r="N29" s="228"/>
      <c r="O29" s="256"/>
      <c r="P29" s="256"/>
    </row>
    <row r="30" spans="1:16" ht="14.25" customHeight="1" x14ac:dyDescent="0.2">
      <c r="N30" s="228"/>
      <c r="O30" s="256"/>
      <c r="P30" s="256"/>
    </row>
    <row r="31" spans="1:16" ht="14.25" customHeight="1" x14ac:dyDescent="0.2">
      <c r="H31" s="274"/>
    </row>
    <row r="32" spans="1:16" ht="14.25" customHeight="1" x14ac:dyDescent="0.2">
      <c r="N32" s="228"/>
      <c r="O32" s="256"/>
      <c r="P32" s="256"/>
    </row>
    <row r="33" spans="14:15" ht="14.25" customHeight="1" x14ac:dyDescent="0.2"/>
    <row r="34" spans="14:15" ht="14.25" customHeight="1" x14ac:dyDescent="0.2"/>
    <row r="35" spans="14:15" ht="14.25" customHeight="1" x14ac:dyDescent="0.2">
      <c r="N35" s="228"/>
      <c r="O35" s="256"/>
    </row>
    <row r="36" spans="14:15" ht="14.25" customHeight="1" x14ac:dyDescent="0.2"/>
    <row r="37" spans="14:15" ht="14.25" customHeight="1" x14ac:dyDescent="0.2"/>
    <row r="38" spans="14:15" ht="14.25" customHeight="1" x14ac:dyDescent="0.2"/>
    <row r="39" spans="14:15" ht="14.25" customHeight="1" x14ac:dyDescent="0.2"/>
    <row r="40" spans="14:15" ht="14.25" customHeight="1" x14ac:dyDescent="0.2"/>
    <row r="41" spans="14:15" ht="14.25" customHeight="1" x14ac:dyDescent="0.2"/>
    <row r="42" spans="14:15" ht="14.25" customHeight="1" x14ac:dyDescent="0.2"/>
    <row r="43" spans="14:15" ht="14.25" customHeight="1" x14ac:dyDescent="0.2"/>
    <row r="44" spans="14:15" ht="14.25" customHeight="1" x14ac:dyDescent="0.2"/>
    <row r="45" spans="14:15" ht="14.25" customHeight="1" x14ac:dyDescent="0.2"/>
    <row r="46" spans="14:15" ht="14.25" customHeight="1" x14ac:dyDescent="0.2"/>
    <row r="47" spans="14:15" ht="14.25" customHeight="1" x14ac:dyDescent="0.2"/>
    <row r="48" spans="14:15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</sheetData>
  <mergeCells count="4">
    <mergeCell ref="C3:J3"/>
    <mergeCell ref="C4:G4"/>
    <mergeCell ref="C18:D18"/>
    <mergeCell ref="C19:D19"/>
  </mergeCells>
  <pageMargins left="0.7" right="0.7" top="0.75" bottom="0.75" header="0" footer="0"/>
  <pageSetup orientation="landscape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FE23-86B6-284F-85A4-BCCB1811EF43}">
  <dimension ref="A1:K991"/>
  <sheetViews>
    <sheetView showGridLines="0" zoomScale="134" zoomScaleNormal="70" workbookViewId="0">
      <selection activeCell="G14" sqref="G14"/>
    </sheetView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3.5" customWidth="1"/>
    <col min="5" max="5" width="17.33203125" customWidth="1"/>
    <col min="6" max="6" width="13.33203125" customWidth="1"/>
    <col min="7" max="7" width="14.6640625" customWidth="1"/>
    <col min="8" max="8" width="5.33203125" customWidth="1"/>
    <col min="9" max="25" width="10.6640625" customWidth="1"/>
  </cols>
  <sheetData>
    <row r="1" spans="1:11" ht="14.25" customHeight="1" thickBot="1" x14ac:dyDescent="0.25"/>
    <row r="2" spans="1:11" ht="14.25" customHeight="1" thickBot="1" x14ac:dyDescent="0.25">
      <c r="B2" s="23"/>
      <c r="C2" s="24"/>
      <c r="D2" s="24"/>
      <c r="E2" s="24"/>
      <c r="F2" s="24"/>
      <c r="G2" s="24"/>
      <c r="H2" s="25"/>
    </row>
    <row r="3" spans="1:11" ht="14.25" customHeight="1" thickBot="1" x14ac:dyDescent="0.25">
      <c r="A3" s="26"/>
      <c r="B3" s="27"/>
      <c r="C3" s="282" t="s">
        <v>52</v>
      </c>
      <c r="D3" s="283"/>
      <c r="E3" s="283"/>
      <c r="F3" s="283"/>
      <c r="G3" s="284"/>
      <c r="H3" s="28"/>
    </row>
    <row r="4" spans="1:11" ht="14.25" customHeight="1" x14ac:dyDescent="0.2">
      <c r="A4" s="26"/>
      <c r="B4" s="27"/>
      <c r="C4" s="285"/>
      <c r="D4" s="286"/>
      <c r="E4" s="286"/>
      <c r="F4" s="286"/>
      <c r="G4" s="287"/>
      <c r="H4" s="28"/>
    </row>
    <row r="5" spans="1:11" ht="14.25" customHeight="1" x14ac:dyDescent="0.2">
      <c r="A5" s="26"/>
      <c r="B5" s="27"/>
      <c r="C5" s="201"/>
      <c r="D5" s="202"/>
      <c r="E5" s="202"/>
      <c r="F5" s="202"/>
      <c r="G5" s="203"/>
      <c r="H5" s="28"/>
    </row>
    <row r="6" spans="1:11" ht="14.25" customHeight="1" x14ac:dyDescent="0.2">
      <c r="A6" s="26"/>
      <c r="B6" s="27"/>
      <c r="C6" s="204"/>
      <c r="D6" s="202"/>
      <c r="E6" s="205"/>
      <c r="F6" s="206" t="s">
        <v>53</v>
      </c>
      <c r="G6" s="207">
        <f ca="1">TODAY()</f>
        <v>45974</v>
      </c>
      <c r="H6" s="28"/>
    </row>
    <row r="7" spans="1:11" ht="14.25" customHeight="1" x14ac:dyDescent="0.2">
      <c r="A7" s="26"/>
      <c r="B7" s="27"/>
      <c r="C7" s="204"/>
      <c r="D7" s="202"/>
      <c r="E7" s="205"/>
      <c r="F7" s="206"/>
      <c r="G7" s="203"/>
      <c r="H7" s="28"/>
    </row>
    <row r="8" spans="1:11" ht="14.25" customHeight="1" x14ac:dyDescent="0.2">
      <c r="A8" s="26"/>
      <c r="B8" s="27"/>
      <c r="C8" s="208"/>
      <c r="D8" s="209"/>
      <c r="E8" s="205"/>
      <c r="F8" s="206"/>
      <c r="G8" s="203"/>
      <c r="H8" s="28"/>
    </row>
    <row r="9" spans="1:11" ht="14.25" customHeight="1" x14ac:dyDescent="0.2">
      <c r="A9" s="26"/>
      <c r="B9" s="27"/>
      <c r="C9" s="210"/>
      <c r="D9" s="209"/>
      <c r="E9" s="205"/>
      <c r="F9" s="206"/>
      <c r="G9" s="203"/>
      <c r="H9" s="28"/>
    </row>
    <row r="10" spans="1:11" ht="14.25" customHeight="1" thickBot="1" x14ac:dyDescent="0.25">
      <c r="A10" s="26"/>
      <c r="B10" s="27"/>
      <c r="C10" s="211"/>
      <c r="D10" s="212"/>
      <c r="E10" s="205"/>
      <c r="F10" s="202"/>
      <c r="G10" s="203"/>
      <c r="H10" s="28"/>
    </row>
    <row r="11" spans="1:11" ht="14.25" customHeight="1" thickBot="1" x14ac:dyDescent="0.25">
      <c r="A11" s="26"/>
      <c r="B11" s="27"/>
      <c r="C11" s="213" t="s">
        <v>54</v>
      </c>
      <c r="D11" s="44" t="s">
        <v>55</v>
      </c>
      <c r="E11" s="44" t="s">
        <v>56</v>
      </c>
      <c r="F11" s="44" t="s">
        <v>57</v>
      </c>
      <c r="G11" s="214" t="s">
        <v>58</v>
      </c>
      <c r="H11" s="28"/>
    </row>
    <row r="12" spans="1:11" ht="14.25" customHeight="1" x14ac:dyDescent="0.2">
      <c r="A12" s="26"/>
      <c r="B12" s="27"/>
      <c r="C12" s="215">
        <v>1</v>
      </c>
      <c r="D12" s="216" t="s">
        <v>14</v>
      </c>
      <c r="E12" s="217">
        <v>1</v>
      </c>
      <c r="F12" s="218">
        <v>3539</v>
      </c>
      <c r="G12" s="219">
        <f>+Table_2161817212427[[#This Row],[Cantidad]]*Table_2161817212427[[#This Row],[Subtotal]]</f>
        <v>3539</v>
      </c>
      <c r="H12" s="28"/>
      <c r="I12" s="228" t="s">
        <v>220</v>
      </c>
      <c r="K12" s="72"/>
    </row>
    <row r="13" spans="1:11" ht="14.25" customHeight="1" x14ac:dyDescent="0.2">
      <c r="A13" s="26"/>
      <c r="B13" s="27"/>
      <c r="C13" s="215">
        <v>2</v>
      </c>
      <c r="D13" s="216" t="s">
        <v>207</v>
      </c>
      <c r="E13" s="217">
        <v>1</v>
      </c>
      <c r="F13" s="218">
        <f>1858.94-48.08</f>
        <v>1810.8600000000001</v>
      </c>
      <c r="G13" s="219">
        <f>+Table_2161817212427[[#This Row],[Cantidad]]*Table_2161817212427[[#This Row],[Subtotal]]</f>
        <v>1810.8600000000001</v>
      </c>
      <c r="H13" s="28"/>
      <c r="I13" s="228"/>
      <c r="K13" s="72"/>
    </row>
    <row r="14" spans="1:11" ht="14.25" customHeight="1" x14ac:dyDescent="0.2">
      <c r="A14" s="26"/>
      <c r="B14" s="27"/>
      <c r="C14" s="221"/>
      <c r="D14" s="222"/>
      <c r="E14" s="222"/>
      <c r="F14" s="223" t="s">
        <v>57</v>
      </c>
      <c r="G14" s="224">
        <f>+G13</f>
        <v>1810.8600000000001</v>
      </c>
      <c r="H14" s="28"/>
    </row>
    <row r="15" spans="1:11" ht="14.25" customHeight="1" thickBot="1" x14ac:dyDescent="0.25">
      <c r="A15" s="26"/>
      <c r="B15" s="27"/>
      <c r="C15" s="288"/>
      <c r="D15" s="289"/>
      <c r="E15" s="225"/>
      <c r="F15" s="226"/>
      <c r="G15" s="227"/>
      <c r="H15" s="28"/>
    </row>
    <row r="16" spans="1:11" ht="14.25" customHeight="1" thickBot="1" x14ac:dyDescent="0.25">
      <c r="A16" s="26"/>
      <c r="B16" s="66"/>
      <c r="C16" s="290"/>
      <c r="D16" s="291"/>
      <c r="E16" s="67"/>
      <c r="F16" s="68" t="e">
        <f>'Calculadora Conec Diciembre'!Saldo_pendiente</f>
        <v>#REF!</v>
      </c>
      <c r="G16" s="69"/>
      <c r="H16" s="70"/>
    </row>
    <row r="17" spans="4:4" ht="14.25" customHeight="1" x14ac:dyDescent="0.2"/>
    <row r="18" spans="4:4" ht="14.25" customHeight="1" x14ac:dyDescent="0.2">
      <c r="D18" s="200"/>
    </row>
    <row r="19" spans="4:4" ht="14.25" customHeight="1" x14ac:dyDescent="0.2"/>
    <row r="20" spans="4:4" ht="14.25" customHeight="1" x14ac:dyDescent="0.2"/>
    <row r="21" spans="4:4" ht="14.25" customHeight="1" x14ac:dyDescent="0.2"/>
    <row r="22" spans="4:4" ht="14.25" customHeight="1" x14ac:dyDescent="0.2"/>
    <row r="23" spans="4:4" ht="14.25" customHeight="1" x14ac:dyDescent="0.2"/>
    <row r="24" spans="4:4" ht="14.25" customHeight="1" x14ac:dyDescent="0.2"/>
    <row r="25" spans="4:4" ht="14.25" customHeight="1" x14ac:dyDescent="0.2"/>
    <row r="26" spans="4:4" ht="14.25" customHeight="1" x14ac:dyDescent="0.2"/>
    <row r="27" spans="4:4" ht="14.25" customHeight="1" x14ac:dyDescent="0.2"/>
    <row r="28" spans="4:4" ht="14.25" customHeight="1" x14ac:dyDescent="0.2"/>
    <row r="29" spans="4:4" ht="14.25" customHeight="1" x14ac:dyDescent="0.2"/>
    <row r="30" spans="4:4" ht="14.25" customHeight="1" x14ac:dyDescent="0.2"/>
    <row r="31" spans="4:4" ht="14.25" customHeight="1" x14ac:dyDescent="0.2"/>
    <row r="32" spans="4:4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</sheetData>
  <mergeCells count="4">
    <mergeCell ref="C3:G3"/>
    <mergeCell ref="C4:G4"/>
    <mergeCell ref="C15:D15"/>
    <mergeCell ref="C16:D16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9E2C-BDBB-8248-886E-5FC5FFE04B3E}">
  <dimension ref="A1:O998"/>
  <sheetViews>
    <sheetView showGridLines="0" zoomScale="114" zoomScaleNormal="140" workbookViewId="0">
      <selection activeCell="G14" sqref="G14"/>
    </sheetView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3.5" customWidth="1"/>
    <col min="5" max="5" width="17.33203125" customWidth="1"/>
    <col min="6" max="6" width="13.33203125" customWidth="1"/>
    <col min="7" max="7" width="14.6640625" customWidth="1"/>
    <col min="8" max="8" width="5.33203125" customWidth="1"/>
    <col min="9" max="9" width="10.6640625" customWidth="1"/>
    <col min="10" max="10" width="15.5" bestFit="1" customWidth="1"/>
    <col min="11" max="12" width="10.6640625" customWidth="1"/>
    <col min="13" max="13" width="14.5" bestFit="1" customWidth="1"/>
    <col min="14" max="25" width="10.6640625" customWidth="1"/>
  </cols>
  <sheetData>
    <row r="1" spans="1:11" ht="14.25" customHeight="1" thickBot="1" x14ac:dyDescent="0.25"/>
    <row r="2" spans="1:11" ht="14.25" customHeight="1" thickBot="1" x14ac:dyDescent="0.25">
      <c r="B2" s="23"/>
      <c r="C2" s="24"/>
      <c r="D2" s="24"/>
      <c r="E2" s="24"/>
      <c r="F2" s="24"/>
      <c r="G2" s="24"/>
      <c r="H2" s="25"/>
    </row>
    <row r="3" spans="1:11" ht="14.25" customHeight="1" thickBot="1" x14ac:dyDescent="0.25">
      <c r="A3" s="26"/>
      <c r="B3" s="27"/>
      <c r="C3" s="282" t="s">
        <v>52</v>
      </c>
      <c r="D3" s="283"/>
      <c r="E3" s="283"/>
      <c r="F3" s="283"/>
      <c r="G3" s="284"/>
      <c r="H3" s="28"/>
    </row>
    <row r="4" spans="1:11" ht="14.25" customHeight="1" x14ac:dyDescent="0.2">
      <c r="A4" s="26"/>
      <c r="B4" s="27"/>
      <c r="C4" s="285"/>
      <c r="D4" s="286"/>
      <c r="E4" s="286"/>
      <c r="F4" s="286"/>
      <c r="G4" s="287"/>
      <c r="H4" s="28"/>
    </row>
    <row r="5" spans="1:11" ht="14.25" customHeight="1" x14ac:dyDescent="0.2">
      <c r="A5" s="26"/>
      <c r="B5" s="27"/>
      <c r="C5" s="201"/>
      <c r="D5" s="202"/>
      <c r="E5" s="202"/>
      <c r="F5" s="202"/>
      <c r="G5" s="203"/>
      <c r="H5" s="28"/>
    </row>
    <row r="6" spans="1:11" ht="14.25" customHeight="1" x14ac:dyDescent="0.2">
      <c r="A6" s="26"/>
      <c r="B6" s="27"/>
      <c r="C6" s="204"/>
      <c r="D6" s="202"/>
      <c r="E6" s="205"/>
      <c r="F6" s="206" t="s">
        <v>53</v>
      </c>
      <c r="G6" s="207">
        <f ca="1">TODAY()</f>
        <v>45974</v>
      </c>
      <c r="H6" s="28"/>
    </row>
    <row r="7" spans="1:11" ht="14.25" customHeight="1" x14ac:dyDescent="0.2">
      <c r="A7" s="26"/>
      <c r="B7" s="27"/>
      <c r="C7" s="204"/>
      <c r="D7" s="202"/>
      <c r="E7" s="205"/>
      <c r="F7" s="206"/>
      <c r="G7" s="203"/>
      <c r="H7" s="28"/>
    </row>
    <row r="8" spans="1:11" ht="14.25" customHeight="1" x14ac:dyDescent="0.2">
      <c r="A8" s="26"/>
      <c r="B8" s="27"/>
      <c r="C8" s="208"/>
      <c r="D8" s="209"/>
      <c r="E8" s="205"/>
      <c r="F8" s="206"/>
      <c r="G8" s="203"/>
      <c r="H8" s="28"/>
    </row>
    <row r="9" spans="1:11" ht="14.25" customHeight="1" x14ac:dyDescent="0.2">
      <c r="A9" s="26"/>
      <c r="B9" s="27"/>
      <c r="C9" s="210"/>
      <c r="D9" s="209"/>
      <c r="E9" s="205"/>
      <c r="F9" s="206"/>
      <c r="G9" s="203"/>
      <c r="H9" s="28"/>
    </row>
    <row r="10" spans="1:11" ht="14.25" customHeight="1" thickBot="1" x14ac:dyDescent="0.25">
      <c r="A10" s="26"/>
      <c r="B10" s="27"/>
      <c r="C10" s="211"/>
      <c r="D10" s="212"/>
      <c r="E10" s="205"/>
      <c r="F10" s="202"/>
      <c r="G10" s="203"/>
      <c r="H10" s="28"/>
    </row>
    <row r="11" spans="1:11" ht="14.25" customHeight="1" thickBot="1" x14ac:dyDescent="0.25">
      <c r="A11" s="26"/>
      <c r="B11" s="27"/>
      <c r="C11" s="213" t="s">
        <v>54</v>
      </c>
      <c r="D11" s="44" t="s">
        <v>55</v>
      </c>
      <c r="E11" s="44" t="s">
        <v>56</v>
      </c>
      <c r="F11" s="44" t="s">
        <v>57</v>
      </c>
      <c r="G11" s="214" t="s">
        <v>58</v>
      </c>
      <c r="H11" s="28"/>
    </row>
    <row r="12" spans="1:11" ht="14.25" customHeight="1" x14ac:dyDescent="0.2">
      <c r="A12" s="26"/>
      <c r="B12" s="27"/>
      <c r="C12" s="215">
        <v>1</v>
      </c>
      <c r="D12" s="216" t="s">
        <v>10</v>
      </c>
      <c r="E12" s="217">
        <v>2</v>
      </c>
      <c r="F12" s="218">
        <v>3150</v>
      </c>
      <c r="G12" s="219">
        <f>+Table_21618202326[[#This Row],[Cantidad]]*Table_21618202326[[#This Row],[Subtotal]]</f>
        <v>6300</v>
      </c>
      <c r="H12" s="28"/>
      <c r="K12" s="72"/>
    </row>
    <row r="13" spans="1:11" ht="14" customHeight="1" x14ac:dyDescent="0.2">
      <c r="A13" s="26"/>
      <c r="B13" s="27"/>
      <c r="C13" s="215">
        <v>2</v>
      </c>
      <c r="D13" s="216" t="s">
        <v>12</v>
      </c>
      <c r="E13" s="220">
        <v>47</v>
      </c>
      <c r="F13" s="218">
        <v>12.5</v>
      </c>
      <c r="G13" s="219">
        <f>+Table_21618202326[[#This Row],[Cantidad]]*Table_21618202326[[#This Row],[Subtotal]]</f>
        <v>587.5</v>
      </c>
      <c r="H13" s="28"/>
      <c r="J13" s="292"/>
      <c r="K13" s="292"/>
    </row>
    <row r="14" spans="1:11" ht="14" customHeight="1" x14ac:dyDescent="0.2">
      <c r="A14" s="26"/>
      <c r="B14" s="27"/>
      <c r="C14" s="215">
        <v>3</v>
      </c>
      <c r="D14" s="216" t="s">
        <v>216</v>
      </c>
      <c r="E14" s="220">
        <v>7</v>
      </c>
      <c r="F14" s="218">
        <v>1500</v>
      </c>
      <c r="G14" s="219">
        <f>+Table_21618202326[[#This Row],[Cantidad]]*Table_21618202326[[#This Row],[Subtotal]]</f>
        <v>10500</v>
      </c>
      <c r="H14" s="28"/>
      <c r="J14" s="228"/>
      <c r="K14" s="256"/>
    </row>
    <row r="15" spans="1:11" ht="14" customHeight="1" x14ac:dyDescent="0.2">
      <c r="A15" s="26"/>
      <c r="B15" s="27"/>
      <c r="C15" s="215">
        <v>4</v>
      </c>
      <c r="D15" s="216" t="s">
        <v>62</v>
      </c>
      <c r="E15" s="220">
        <v>1</v>
      </c>
      <c r="F15" s="218">
        <v>500</v>
      </c>
      <c r="G15" s="219">
        <f>+Table_21618202326[[#This Row],[Cantidad]]*Table_21618202326[[#This Row],[Subtotal]]</f>
        <v>500</v>
      </c>
      <c r="H15" s="28"/>
      <c r="J15" s="228"/>
      <c r="K15" s="256"/>
    </row>
    <row r="16" spans="1:11" ht="14" customHeight="1" x14ac:dyDescent="0.2">
      <c r="A16" s="26"/>
      <c r="B16" s="27"/>
      <c r="C16" s="215">
        <v>5</v>
      </c>
      <c r="D16" s="216" t="s">
        <v>20</v>
      </c>
      <c r="E16" s="220">
        <v>1</v>
      </c>
      <c r="F16" s="218">
        <v>105</v>
      </c>
      <c r="G16" s="219">
        <f>+Table_21618202326[[#This Row],[Cantidad]]*Table_21618202326[[#This Row],[Subtotal]]</f>
        <v>105</v>
      </c>
      <c r="H16" s="28"/>
      <c r="J16" s="228" t="s">
        <v>239</v>
      </c>
      <c r="K16" s="259">
        <f>+G21</f>
        <v>42088.08</v>
      </c>
    </row>
    <row r="17" spans="1:15" ht="14" customHeight="1" x14ac:dyDescent="0.2">
      <c r="A17" s="26"/>
      <c r="B17" s="27"/>
      <c r="C17" s="215">
        <v>6</v>
      </c>
      <c r="D17" s="216" t="s">
        <v>22</v>
      </c>
      <c r="E17" s="220">
        <v>1</v>
      </c>
      <c r="F17" s="218">
        <v>87.5</v>
      </c>
      <c r="G17" s="219">
        <f>+Table_21618202326[[#This Row],[Cantidad]]*Table_21618202326[[#This Row],[Subtotal]]</f>
        <v>87.5</v>
      </c>
      <c r="H17" s="28"/>
      <c r="J17" s="228" t="s">
        <v>29</v>
      </c>
      <c r="K17" s="260">
        <v>34771.22</v>
      </c>
    </row>
    <row r="18" spans="1:15" ht="14" customHeight="1" x14ac:dyDescent="0.2">
      <c r="A18" s="26"/>
      <c r="B18" s="27"/>
      <c r="C18" s="215">
        <v>7</v>
      </c>
      <c r="D18" s="216" t="s">
        <v>24</v>
      </c>
      <c r="E18" s="220">
        <v>1</v>
      </c>
      <c r="F18" s="218">
        <v>350</v>
      </c>
      <c r="G18" s="219">
        <f>+Table_21618202326[[#This Row],[Cantidad]]*Table_21618202326[[#This Row],[Subtotal]]</f>
        <v>350</v>
      </c>
      <c r="H18" s="28"/>
      <c r="J18" s="228"/>
      <c r="K18" s="259">
        <f>+K16-K17</f>
        <v>7316.8600000000006</v>
      </c>
    </row>
    <row r="19" spans="1:15" ht="14" customHeight="1" x14ac:dyDescent="0.2">
      <c r="A19" s="26"/>
      <c r="B19" s="27"/>
      <c r="C19" s="215">
        <v>8</v>
      </c>
      <c r="D19" s="216" t="s">
        <v>217</v>
      </c>
      <c r="E19" s="220">
        <v>1</v>
      </c>
      <c r="F19" s="218">
        <v>23610</v>
      </c>
      <c r="G19" s="219">
        <f>+Table_21618202326[[#This Row],[Cantidad]]*Table_21618202326[[#This Row],[Subtotal]]</f>
        <v>23610</v>
      </c>
      <c r="H19" s="28"/>
      <c r="J19" s="228"/>
      <c r="K19" s="256"/>
    </row>
    <row r="20" spans="1:15" ht="14" customHeight="1" x14ac:dyDescent="0.2">
      <c r="A20" s="26"/>
      <c r="B20" s="27"/>
      <c r="C20" s="215">
        <v>9</v>
      </c>
      <c r="D20" s="216" t="s">
        <v>240</v>
      </c>
      <c r="E20" s="220">
        <v>1</v>
      </c>
      <c r="F20" s="218">
        <v>48.08</v>
      </c>
      <c r="G20" s="219">
        <f>+Table_21618202326[[#This Row],[Cantidad]]*Table_21618202326[[#This Row],[Subtotal]]</f>
        <v>48.08</v>
      </c>
      <c r="H20" s="28"/>
      <c r="I20" s="228"/>
      <c r="J20" s="228"/>
      <c r="K20" s="256"/>
    </row>
    <row r="21" spans="1:15" ht="14.25" customHeight="1" x14ac:dyDescent="0.2">
      <c r="A21" s="26"/>
      <c r="B21" s="27"/>
      <c r="C21" s="221"/>
      <c r="D21" s="222"/>
      <c r="E21" s="222"/>
      <c r="F21" s="223" t="s">
        <v>57</v>
      </c>
      <c r="G21" s="224">
        <f>SUBTOTAL(109,G12:G20)</f>
        <v>42088.08</v>
      </c>
      <c r="H21" s="28"/>
      <c r="J21" s="200"/>
      <c r="K21" s="257"/>
    </row>
    <row r="22" spans="1:15" ht="14.25" customHeight="1" thickBot="1" x14ac:dyDescent="0.25">
      <c r="A22" s="26"/>
      <c r="B22" s="27"/>
      <c r="C22" s="288"/>
      <c r="D22" s="289"/>
      <c r="E22" s="225"/>
      <c r="F22" s="226"/>
      <c r="G22" s="227"/>
      <c r="H22" s="28"/>
    </row>
    <row r="23" spans="1:15" ht="14.25" customHeight="1" thickBot="1" x14ac:dyDescent="0.25">
      <c r="A23" s="26"/>
      <c r="B23" s="66"/>
      <c r="C23" s="290"/>
      <c r="D23" s="291"/>
      <c r="E23" s="67"/>
      <c r="F23" s="68" t="e">
        <f>'Calculadora Corp Diciembre'!Saldo_pendiente</f>
        <v>#REF!</v>
      </c>
      <c r="G23" s="69"/>
      <c r="H23" s="70"/>
    </row>
    <row r="24" spans="1:15" ht="14.25" customHeight="1" x14ac:dyDescent="0.2"/>
    <row r="25" spans="1:15" ht="14.25" customHeight="1" x14ac:dyDescent="0.2">
      <c r="D25" s="200"/>
    </row>
    <row r="26" spans="1:15" ht="14.25" customHeight="1" x14ac:dyDescent="0.2"/>
    <row r="27" spans="1:15" ht="14.25" customHeight="1" x14ac:dyDescent="0.2"/>
    <row r="28" spans="1:15" ht="14.25" customHeight="1" x14ac:dyDescent="0.2"/>
    <row r="29" spans="1:15" ht="14.25" customHeight="1" x14ac:dyDescent="0.2">
      <c r="M29" s="228" t="s">
        <v>241</v>
      </c>
      <c r="N29" s="256">
        <v>24765</v>
      </c>
    </row>
    <row r="30" spans="1:15" ht="14.25" customHeight="1" x14ac:dyDescent="0.2">
      <c r="M30" s="197">
        <v>0.64</v>
      </c>
      <c r="N30" s="256">
        <f>+$N$29*M30</f>
        <v>15849.6</v>
      </c>
      <c r="O30" s="228" t="s">
        <v>242</v>
      </c>
    </row>
    <row r="31" spans="1:15" ht="14.25" customHeight="1" x14ac:dyDescent="0.2">
      <c r="M31" s="197">
        <v>0.3</v>
      </c>
      <c r="N31" s="256">
        <f t="shared" ref="N31:N32" si="0">+$N$29*M31</f>
        <v>7429.5</v>
      </c>
      <c r="O31" s="228" t="s">
        <v>243</v>
      </c>
    </row>
    <row r="32" spans="1:15" ht="14.25" customHeight="1" x14ac:dyDescent="0.2">
      <c r="M32" s="197">
        <v>0.06</v>
      </c>
      <c r="N32" s="256">
        <f t="shared" si="0"/>
        <v>1485.8999999999999</v>
      </c>
      <c r="O32" s="228" t="s">
        <v>244</v>
      </c>
    </row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</sheetData>
  <mergeCells count="5">
    <mergeCell ref="C3:G3"/>
    <mergeCell ref="C4:G4"/>
    <mergeCell ref="J13:K13"/>
    <mergeCell ref="C22:D22"/>
    <mergeCell ref="C23:D23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B5702-558D-4B48-8F57-0708FF05ACCB}">
  <dimension ref="A1:N993"/>
  <sheetViews>
    <sheetView showGridLines="0" zoomScale="125" zoomScaleNormal="70" workbookViewId="0">
      <selection activeCell="G14" sqref="G14"/>
    </sheetView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3.5" customWidth="1"/>
    <col min="5" max="5" width="9.83203125" bestFit="1" customWidth="1"/>
    <col min="6" max="6" width="13.33203125" customWidth="1"/>
    <col min="7" max="7" width="14.6640625" customWidth="1"/>
    <col min="8" max="8" width="18" bestFit="1" customWidth="1"/>
    <col min="9" max="9" width="14.6640625" customWidth="1"/>
    <col min="10" max="10" width="16" customWidth="1"/>
    <col min="11" max="11" width="5.33203125" customWidth="1"/>
    <col min="12" max="28" width="10.6640625" customWidth="1"/>
  </cols>
  <sheetData>
    <row r="1" spans="1:14" ht="14.25" customHeight="1" thickBot="1" x14ac:dyDescent="0.25"/>
    <row r="2" spans="1:14" ht="14.25" customHeight="1" thickBot="1" x14ac:dyDescent="0.25">
      <c r="B2" s="23"/>
      <c r="C2" s="24"/>
      <c r="D2" s="24"/>
      <c r="E2" s="24"/>
      <c r="F2" s="24"/>
      <c r="G2" s="24"/>
      <c r="H2" s="24"/>
      <c r="I2" s="24"/>
      <c r="J2" s="24"/>
      <c r="K2" s="25"/>
    </row>
    <row r="3" spans="1:14" ht="14.25" customHeight="1" thickBot="1" x14ac:dyDescent="0.25">
      <c r="A3" s="26"/>
      <c r="B3" s="27"/>
      <c r="C3" s="293" t="s">
        <v>52</v>
      </c>
      <c r="D3" s="294"/>
      <c r="E3" s="294"/>
      <c r="F3" s="294"/>
      <c r="G3" s="294"/>
      <c r="H3" s="295"/>
      <c r="I3" s="295"/>
      <c r="J3" s="296"/>
      <c r="K3" s="28"/>
    </row>
    <row r="4" spans="1:14" ht="14.25" customHeight="1" x14ac:dyDescent="0.2">
      <c r="A4" s="26"/>
      <c r="B4" s="27"/>
      <c r="C4" s="297"/>
      <c r="D4" s="286"/>
      <c r="E4" s="286"/>
      <c r="F4" s="286"/>
      <c r="G4" s="286"/>
      <c r="H4" s="29"/>
      <c r="I4" s="29"/>
      <c r="J4" s="30"/>
      <c r="K4" s="28"/>
    </row>
    <row r="5" spans="1:14" ht="14.25" customHeight="1" x14ac:dyDescent="0.2">
      <c r="A5" s="26"/>
      <c r="B5" s="27"/>
      <c r="C5" s="31"/>
      <c r="D5" s="26"/>
      <c r="E5" s="26"/>
      <c r="F5" s="26"/>
      <c r="G5" s="26"/>
      <c r="H5" s="26"/>
      <c r="I5" s="26"/>
      <c r="J5" s="32"/>
      <c r="K5" s="28"/>
    </row>
    <row r="6" spans="1:14" ht="14.25" customHeight="1" x14ac:dyDescent="0.2">
      <c r="A6" s="26"/>
      <c r="B6" s="27"/>
      <c r="C6" s="33"/>
      <c r="D6" s="26"/>
      <c r="E6" s="34"/>
      <c r="F6" s="35" t="s">
        <v>53</v>
      </c>
      <c r="G6" s="36">
        <f ca="1">TODAY()</f>
        <v>45974</v>
      </c>
      <c r="H6" s="36"/>
      <c r="I6" s="36"/>
      <c r="J6" s="37"/>
      <c r="K6" s="28"/>
    </row>
    <row r="7" spans="1:14" ht="14.25" customHeight="1" x14ac:dyDescent="0.2">
      <c r="A7" s="26"/>
      <c r="B7" s="27"/>
      <c r="C7" s="33"/>
      <c r="D7" s="26"/>
      <c r="E7" s="34"/>
      <c r="F7" s="35"/>
      <c r="G7" s="26"/>
      <c r="H7" s="26"/>
      <c r="I7" s="26"/>
      <c r="J7" s="32"/>
      <c r="K7" s="28"/>
    </row>
    <row r="8" spans="1:14" ht="14.25" customHeight="1" x14ac:dyDescent="0.2">
      <c r="A8" s="26"/>
      <c r="B8" s="27"/>
      <c r="C8" s="38"/>
      <c r="D8" s="39"/>
      <c r="E8" s="34"/>
      <c r="F8" s="35"/>
      <c r="G8" s="26"/>
      <c r="H8" s="26"/>
      <c r="I8" s="26"/>
      <c r="J8" s="32"/>
      <c r="K8" s="28"/>
    </row>
    <row r="9" spans="1:14" ht="14.25" customHeight="1" x14ac:dyDescent="0.2">
      <c r="A9" s="26"/>
      <c r="B9" s="27"/>
      <c r="C9" s="40"/>
      <c r="D9" s="39"/>
      <c r="E9" s="34"/>
      <c r="F9" s="35"/>
      <c r="G9" s="26"/>
      <c r="H9" s="26"/>
      <c r="I9" s="26"/>
      <c r="J9" s="32"/>
      <c r="K9" s="28"/>
    </row>
    <row r="10" spans="1:14" ht="14.25" customHeight="1" thickBot="1" x14ac:dyDescent="0.25">
      <c r="A10" s="26"/>
      <c r="B10" s="27"/>
      <c r="C10" s="41"/>
      <c r="D10" s="42"/>
      <c r="E10" s="34"/>
      <c r="F10" s="26"/>
      <c r="G10" s="26"/>
      <c r="H10" s="26"/>
      <c r="I10" s="26"/>
      <c r="J10" s="32"/>
      <c r="K10" s="28"/>
    </row>
    <row r="11" spans="1:14" ht="14.25" customHeight="1" thickBot="1" x14ac:dyDescent="0.25">
      <c r="A11" s="26"/>
      <c r="B11" s="27"/>
      <c r="C11" s="43" t="s">
        <v>54</v>
      </c>
      <c r="D11" s="44" t="s">
        <v>55</v>
      </c>
      <c r="E11" s="44" t="s">
        <v>56</v>
      </c>
      <c r="F11" s="44" t="s">
        <v>57</v>
      </c>
      <c r="G11" s="44" t="s">
        <v>58</v>
      </c>
      <c r="H11" s="194" t="s">
        <v>4</v>
      </c>
      <c r="I11" s="44" t="s">
        <v>214</v>
      </c>
      <c r="J11" s="44" t="s">
        <v>215</v>
      </c>
      <c r="K11" s="28"/>
    </row>
    <row r="12" spans="1:14" ht="14.25" customHeight="1" x14ac:dyDescent="0.2">
      <c r="A12" s="26"/>
      <c r="B12" s="27"/>
      <c r="C12" s="46">
        <v>1</v>
      </c>
      <c r="D12" s="47" t="s">
        <v>211</v>
      </c>
      <c r="E12" s="48">
        <v>1</v>
      </c>
      <c r="F12" s="49">
        <f>+'Servicios de Cabina INC'!V61-3150</f>
        <v>-3150</v>
      </c>
      <c r="G12" s="50">
        <f>+'Calculadora Cabina Diciembre'!$F12</f>
        <v>-3150</v>
      </c>
      <c r="H12" s="50">
        <f>+Table_2161922[[#This Row],[Total]]</f>
        <v>48940.267751483749</v>
      </c>
      <c r="I12" s="50">
        <f>+Table_216192225[[#This Row],[Subtotal]]-Table_216192225[[#This Row],[Cabina Mes Anterior]]</f>
        <v>-52090.267751483749</v>
      </c>
      <c r="J12" s="195">
        <f>+Table_216192225[[#This Row],[Variación]]/Table_216192225[[#This Row],[Total]]</f>
        <v>16.536592936978966</v>
      </c>
      <c r="K12" s="28"/>
      <c r="N12" s="72"/>
    </row>
    <row r="13" spans="1:14" ht="14" customHeight="1" x14ac:dyDescent="0.2">
      <c r="A13" s="26"/>
      <c r="B13" s="27"/>
      <c r="C13" s="46">
        <v>2</v>
      </c>
      <c r="D13" s="47" t="s">
        <v>212</v>
      </c>
      <c r="E13" s="52">
        <v>1</v>
      </c>
      <c r="F13" s="49">
        <v>500</v>
      </c>
      <c r="G13" s="50">
        <f>'Calculadora Cabina Diciembre'!$E13*'Calculadora Cabina Diciembre'!$F13</f>
        <v>500</v>
      </c>
      <c r="H13" s="50">
        <v>500</v>
      </c>
      <c r="I13" s="50">
        <f>+Table_216192225[[#This Row],[Total]]-Table_216192225[[#This Row],[Cabina Mes Anterior]]</f>
        <v>0</v>
      </c>
      <c r="J13" s="71">
        <f>+Table_216192225[[#This Row],[Variación]]/Table_216192225[[#This Row],[Total]]</f>
        <v>0</v>
      </c>
      <c r="K13" s="28"/>
    </row>
    <row r="14" spans="1:14" ht="14" customHeight="1" x14ac:dyDescent="0.2">
      <c r="A14" s="26"/>
      <c r="B14" s="27"/>
      <c r="C14" s="193">
        <v>4</v>
      </c>
      <c r="D14" s="47" t="s">
        <v>213</v>
      </c>
      <c r="E14" s="52">
        <v>1</v>
      </c>
      <c r="F14" s="49">
        <f>+'Servicios de Cabina MCS'!V61-3150</f>
        <v>-3150</v>
      </c>
      <c r="G14" s="50">
        <v>170796.87158300003</v>
      </c>
      <c r="H14" s="50">
        <f>+Table_2161922[[#This Row],[Total]]</f>
        <v>210268.66506723501</v>
      </c>
      <c r="I14" s="50">
        <f>+Table_216192225[[#This Row],[Subtotal]]-Table_216192225[[#This Row],[Cabina Mes Anterior]]</f>
        <v>-213418.66506723501</v>
      </c>
      <c r="J14" s="255">
        <f>+Table_216192225[[#This Row],[Variación]]/Table_216192225[[#This Row],[Total]]</f>
        <v>-1.2495466871799381</v>
      </c>
      <c r="K14" s="28"/>
    </row>
    <row r="15" spans="1:14" ht="14" customHeight="1" x14ac:dyDescent="0.2">
      <c r="A15" s="26"/>
      <c r="B15" s="27"/>
      <c r="C15" s="193"/>
      <c r="D15" s="47"/>
      <c r="E15" s="52"/>
      <c r="F15" s="49"/>
      <c r="G15" s="50"/>
      <c r="H15" s="50"/>
      <c r="I15" s="50"/>
      <c r="J15" s="195"/>
      <c r="K15" s="28"/>
    </row>
    <row r="16" spans="1:14" ht="14.25" customHeight="1" x14ac:dyDescent="0.2">
      <c r="A16" s="26"/>
      <c r="B16" s="27"/>
      <c r="C16" s="58"/>
      <c r="D16" s="59"/>
      <c r="E16" s="59"/>
      <c r="F16" s="60" t="s">
        <v>57</v>
      </c>
      <c r="G16" s="199">
        <f>SUBTOTAL(109,G12:G14)</f>
        <v>168146.87158300003</v>
      </c>
      <c r="H16" s="50"/>
      <c r="I16" s="50"/>
      <c r="J16" s="187"/>
      <c r="K16" s="28"/>
    </row>
    <row r="17" spans="1:11" ht="14.25" customHeight="1" thickBot="1" x14ac:dyDescent="0.25">
      <c r="A17" s="26"/>
      <c r="B17" s="27"/>
      <c r="C17" s="298"/>
      <c r="D17" s="299"/>
      <c r="E17" s="62"/>
      <c r="F17" s="63"/>
      <c r="G17" s="64"/>
      <c r="H17" s="64"/>
      <c r="I17" s="64"/>
      <c r="J17" s="65"/>
      <c r="K17" s="28"/>
    </row>
    <row r="18" spans="1:11" ht="14.25" customHeight="1" thickBot="1" x14ac:dyDescent="0.25">
      <c r="A18" s="26"/>
      <c r="B18" s="66"/>
      <c r="C18" s="290"/>
      <c r="D18" s="291"/>
      <c r="E18" s="67"/>
      <c r="F18" s="68" t="e">
        <f>'Calculadora Cabina Diciembre'!Saldo_pendiente</f>
        <v>#REF!</v>
      </c>
      <c r="G18" s="69"/>
      <c r="H18" s="69"/>
      <c r="I18" s="69"/>
      <c r="J18" s="69"/>
      <c r="K18" s="70"/>
    </row>
    <row r="19" spans="1:11" ht="14.25" customHeight="1" x14ac:dyDescent="0.2"/>
    <row r="20" spans="1:11" ht="14.25" customHeight="1" x14ac:dyDescent="0.2">
      <c r="E20" s="196" t="s">
        <v>9</v>
      </c>
      <c r="F20" s="197">
        <v>0.71</v>
      </c>
      <c r="G20" s="198">
        <f>+G16*F20</f>
        <v>119384.27882393001</v>
      </c>
      <c r="H20" s="258">
        <f>+G20+3539</f>
        <v>122923.27882393001</v>
      </c>
      <c r="I20" s="200" t="s">
        <v>229</v>
      </c>
    </row>
    <row r="21" spans="1:11" ht="14.25" customHeight="1" x14ac:dyDescent="0.2">
      <c r="E21" s="196" t="s">
        <v>11</v>
      </c>
      <c r="F21" s="197">
        <v>0.28999999999999998</v>
      </c>
      <c r="G21" s="198">
        <f>+G16*F21</f>
        <v>48762.592759070008</v>
      </c>
      <c r="H21" s="258">
        <f>+G21</f>
        <v>48762.592759070008</v>
      </c>
    </row>
    <row r="22" spans="1:11" ht="14.25" customHeight="1" x14ac:dyDescent="0.2"/>
    <row r="23" spans="1:11" ht="14.25" customHeight="1" x14ac:dyDescent="0.2"/>
    <row r="24" spans="1:11" ht="14.25" customHeight="1" x14ac:dyDescent="0.2"/>
    <row r="25" spans="1:11" ht="14.25" customHeight="1" x14ac:dyDescent="0.2"/>
    <row r="26" spans="1:11" ht="14.25" customHeight="1" x14ac:dyDescent="0.2"/>
    <row r="27" spans="1:11" ht="14.25" customHeight="1" x14ac:dyDescent="0.2"/>
    <row r="28" spans="1:11" ht="14.25" customHeight="1" x14ac:dyDescent="0.2"/>
    <row r="29" spans="1:11" ht="14.25" customHeight="1" x14ac:dyDescent="0.2"/>
    <row r="30" spans="1:11" ht="14.25" customHeight="1" x14ac:dyDescent="0.2"/>
    <row r="31" spans="1:11" ht="14.25" customHeight="1" x14ac:dyDescent="0.2"/>
    <row r="32" spans="1:11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</sheetData>
  <mergeCells count="4">
    <mergeCell ref="C3:J3"/>
    <mergeCell ref="C4:G4"/>
    <mergeCell ref="C17:D17"/>
    <mergeCell ref="C18:D18"/>
  </mergeCells>
  <pageMargins left="0.7" right="0.7" top="0.75" bottom="0.75" header="0" footer="0"/>
  <pageSetup orientation="landscape"/>
  <drawing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6DCFA-B406-4148-9164-EE1CCC028885}">
  <dimension ref="A1:K991"/>
  <sheetViews>
    <sheetView showGridLines="0" zoomScale="134" zoomScaleNormal="70" workbookViewId="0">
      <selection activeCell="I15" sqref="I15"/>
    </sheetView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3.5" customWidth="1"/>
    <col min="5" max="5" width="17.33203125" customWidth="1"/>
    <col min="6" max="6" width="13.33203125" customWidth="1"/>
    <col min="7" max="7" width="14.6640625" customWidth="1"/>
    <col min="8" max="8" width="5.33203125" customWidth="1"/>
    <col min="9" max="25" width="10.6640625" customWidth="1"/>
  </cols>
  <sheetData>
    <row r="1" spans="1:11" ht="14.25" customHeight="1" thickBot="1" x14ac:dyDescent="0.25"/>
    <row r="2" spans="1:11" ht="14.25" customHeight="1" thickBot="1" x14ac:dyDescent="0.25">
      <c r="B2" s="23"/>
      <c r="C2" s="24"/>
      <c r="D2" s="24"/>
      <c r="E2" s="24"/>
      <c r="F2" s="24"/>
      <c r="G2" s="24"/>
      <c r="H2" s="25"/>
    </row>
    <row r="3" spans="1:11" ht="14.25" customHeight="1" thickBot="1" x14ac:dyDescent="0.25">
      <c r="A3" s="26"/>
      <c r="B3" s="27"/>
      <c r="C3" s="282" t="s">
        <v>52</v>
      </c>
      <c r="D3" s="283"/>
      <c r="E3" s="283"/>
      <c r="F3" s="283"/>
      <c r="G3" s="284"/>
      <c r="H3" s="28"/>
    </row>
    <row r="4" spans="1:11" ht="14.25" customHeight="1" x14ac:dyDescent="0.2">
      <c r="A4" s="26"/>
      <c r="B4" s="27"/>
      <c r="C4" s="285"/>
      <c r="D4" s="286"/>
      <c r="E4" s="286"/>
      <c r="F4" s="286"/>
      <c r="G4" s="287"/>
      <c r="H4" s="28"/>
    </row>
    <row r="5" spans="1:11" ht="14.25" customHeight="1" x14ac:dyDescent="0.2">
      <c r="A5" s="26"/>
      <c r="B5" s="27"/>
      <c r="C5" s="201"/>
      <c r="D5" s="202"/>
      <c r="E5" s="202"/>
      <c r="F5" s="202"/>
      <c r="G5" s="203"/>
      <c r="H5" s="28"/>
    </row>
    <row r="6" spans="1:11" ht="14.25" customHeight="1" x14ac:dyDescent="0.2">
      <c r="A6" s="26"/>
      <c r="B6" s="27"/>
      <c r="C6" s="204"/>
      <c r="D6" s="202"/>
      <c r="E6" s="205"/>
      <c r="F6" s="206" t="s">
        <v>53</v>
      </c>
      <c r="G6" s="207">
        <f ca="1">TODAY()</f>
        <v>45974</v>
      </c>
      <c r="H6" s="28"/>
    </row>
    <row r="7" spans="1:11" ht="14.25" customHeight="1" x14ac:dyDescent="0.2">
      <c r="A7" s="26"/>
      <c r="B7" s="27"/>
      <c r="C7" s="204"/>
      <c r="D7" s="202"/>
      <c r="E7" s="205"/>
      <c r="F7" s="206"/>
      <c r="G7" s="203"/>
      <c r="H7" s="28"/>
    </row>
    <row r="8" spans="1:11" ht="14.25" customHeight="1" x14ac:dyDescent="0.2">
      <c r="A8" s="26"/>
      <c r="B8" s="27"/>
      <c r="C8" s="208"/>
      <c r="D8" s="209"/>
      <c r="E8" s="205"/>
      <c r="F8" s="206"/>
      <c r="G8" s="203"/>
      <c r="H8" s="28"/>
    </row>
    <row r="9" spans="1:11" ht="14.25" customHeight="1" x14ac:dyDescent="0.2">
      <c r="A9" s="26"/>
      <c r="B9" s="27"/>
      <c r="C9" s="210"/>
      <c r="D9" s="209"/>
      <c r="E9" s="205"/>
      <c r="F9" s="206"/>
      <c r="G9" s="203"/>
      <c r="H9" s="28"/>
    </row>
    <row r="10" spans="1:11" ht="14.25" customHeight="1" thickBot="1" x14ac:dyDescent="0.25">
      <c r="A10" s="26"/>
      <c r="B10" s="27"/>
      <c r="C10" s="211"/>
      <c r="D10" s="212"/>
      <c r="E10" s="205"/>
      <c r="F10" s="202"/>
      <c r="G10" s="203"/>
      <c r="H10" s="28"/>
    </row>
    <row r="11" spans="1:11" ht="14.25" customHeight="1" thickBot="1" x14ac:dyDescent="0.25">
      <c r="A11" s="26"/>
      <c r="B11" s="27"/>
      <c r="C11" s="213" t="s">
        <v>54</v>
      </c>
      <c r="D11" s="44" t="s">
        <v>55</v>
      </c>
      <c r="E11" s="44" t="s">
        <v>56</v>
      </c>
      <c r="F11" s="44" t="s">
        <v>57</v>
      </c>
      <c r="G11" s="214" t="s">
        <v>58</v>
      </c>
      <c r="H11" s="28"/>
    </row>
    <row r="12" spans="1:11" ht="14.25" customHeight="1" x14ac:dyDescent="0.2">
      <c r="A12" s="26"/>
      <c r="B12" s="27"/>
      <c r="C12" s="215">
        <v>1</v>
      </c>
      <c r="D12" s="216" t="s">
        <v>14</v>
      </c>
      <c r="E12" s="217">
        <v>1</v>
      </c>
      <c r="F12" s="218">
        <v>3539</v>
      </c>
      <c r="G12" s="219">
        <f>+Table_21618172124[[#This Row],[Cantidad]]*Table_21618172124[[#This Row],[Subtotal]]</f>
        <v>3539</v>
      </c>
      <c r="H12" s="28"/>
      <c r="I12" s="228" t="s">
        <v>220</v>
      </c>
      <c r="K12" s="72"/>
    </row>
    <row r="13" spans="1:11" ht="14.25" customHeight="1" x14ac:dyDescent="0.2">
      <c r="A13" s="26"/>
      <c r="B13" s="27"/>
      <c r="C13" s="215">
        <v>2</v>
      </c>
      <c r="D13" s="216" t="s">
        <v>207</v>
      </c>
      <c r="E13" s="217">
        <v>1</v>
      </c>
      <c r="F13" s="218">
        <v>10616</v>
      </c>
      <c r="G13" s="219">
        <f>+Table_21618172124[[#This Row],[Cantidad]]*Table_21618172124[[#This Row],[Subtotal]]</f>
        <v>10616</v>
      </c>
      <c r="H13" s="28"/>
      <c r="I13" s="228"/>
      <c r="K13" s="72"/>
    </row>
    <row r="14" spans="1:11" ht="14.25" customHeight="1" x14ac:dyDescent="0.2">
      <c r="A14" s="26"/>
      <c r="B14" s="27"/>
      <c r="C14" s="221"/>
      <c r="D14" s="222"/>
      <c r="E14" s="222"/>
      <c r="F14" s="223" t="s">
        <v>57</v>
      </c>
      <c r="G14" s="224">
        <f>SUBTOTAL(109,G12:G13)</f>
        <v>14155</v>
      </c>
      <c r="H14" s="28"/>
    </row>
    <row r="15" spans="1:11" ht="14.25" customHeight="1" thickBot="1" x14ac:dyDescent="0.25">
      <c r="A15" s="26"/>
      <c r="B15" s="27"/>
      <c r="C15" s="288"/>
      <c r="D15" s="289"/>
      <c r="E15" s="225"/>
      <c r="F15" s="226"/>
      <c r="G15" s="227"/>
      <c r="H15" s="28"/>
    </row>
    <row r="16" spans="1:11" ht="14.25" customHeight="1" thickBot="1" x14ac:dyDescent="0.25">
      <c r="A16" s="26"/>
      <c r="B16" s="66"/>
      <c r="C16" s="290"/>
      <c r="D16" s="291"/>
      <c r="E16" s="67"/>
      <c r="F16" s="68" t="e">
        <f>'Calculadora Conec Noviembre'!Saldo_pendiente</f>
        <v>#REF!</v>
      </c>
      <c r="G16" s="69"/>
      <c r="H16" s="70"/>
    </row>
    <row r="17" spans="4:4" ht="14.25" customHeight="1" x14ac:dyDescent="0.2"/>
    <row r="18" spans="4:4" ht="14.25" customHeight="1" x14ac:dyDescent="0.2">
      <c r="D18" s="200" t="s">
        <v>230</v>
      </c>
    </row>
    <row r="19" spans="4:4" ht="14.25" customHeight="1" x14ac:dyDescent="0.2"/>
    <row r="20" spans="4:4" ht="14.25" customHeight="1" x14ac:dyDescent="0.2"/>
    <row r="21" spans="4:4" ht="14.25" customHeight="1" x14ac:dyDescent="0.2"/>
    <row r="22" spans="4:4" ht="14.25" customHeight="1" x14ac:dyDescent="0.2"/>
    <row r="23" spans="4:4" ht="14.25" customHeight="1" x14ac:dyDescent="0.2"/>
    <row r="24" spans="4:4" ht="14.25" customHeight="1" x14ac:dyDescent="0.2"/>
    <row r="25" spans="4:4" ht="14.25" customHeight="1" x14ac:dyDescent="0.2"/>
    <row r="26" spans="4:4" ht="14.25" customHeight="1" x14ac:dyDescent="0.2"/>
    <row r="27" spans="4:4" ht="14.25" customHeight="1" x14ac:dyDescent="0.2"/>
    <row r="28" spans="4:4" ht="14.25" customHeight="1" x14ac:dyDescent="0.2"/>
    <row r="29" spans="4:4" ht="14.25" customHeight="1" x14ac:dyDescent="0.2"/>
    <row r="30" spans="4:4" ht="14.25" customHeight="1" x14ac:dyDescent="0.2"/>
    <row r="31" spans="4:4" ht="14.25" customHeight="1" x14ac:dyDescent="0.2"/>
    <row r="32" spans="4:4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</sheetData>
  <mergeCells count="4">
    <mergeCell ref="C3:G3"/>
    <mergeCell ref="C4:G4"/>
    <mergeCell ref="C15:D15"/>
    <mergeCell ref="C16:D16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ACAD7-26C3-DB42-9E1E-A23FE9C5F538}">
  <dimension ref="A1:K998"/>
  <sheetViews>
    <sheetView showGridLines="0" topLeftCell="A5" zoomScale="140" zoomScaleNormal="140" workbookViewId="0">
      <selection activeCell="G22" sqref="G22"/>
    </sheetView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3.5" customWidth="1"/>
    <col min="5" max="5" width="17.33203125" customWidth="1"/>
    <col min="6" max="6" width="13.33203125" customWidth="1"/>
    <col min="7" max="7" width="14.6640625" customWidth="1"/>
    <col min="8" max="8" width="5.33203125" customWidth="1"/>
    <col min="9" max="9" width="10.6640625" customWidth="1"/>
    <col min="10" max="10" width="15.5" bestFit="1" customWidth="1"/>
    <col min="11" max="25" width="10.6640625" customWidth="1"/>
  </cols>
  <sheetData>
    <row r="1" spans="1:11" ht="14.25" customHeight="1" thickBot="1" x14ac:dyDescent="0.25"/>
    <row r="2" spans="1:11" ht="14.25" customHeight="1" thickBot="1" x14ac:dyDescent="0.25">
      <c r="B2" s="23"/>
      <c r="C2" s="24"/>
      <c r="D2" s="24"/>
      <c r="E2" s="24"/>
      <c r="F2" s="24"/>
      <c r="G2" s="24"/>
      <c r="H2" s="25"/>
    </row>
    <row r="3" spans="1:11" ht="14.25" customHeight="1" thickBot="1" x14ac:dyDescent="0.25">
      <c r="A3" s="26"/>
      <c r="B3" s="27"/>
      <c r="C3" s="282" t="s">
        <v>52</v>
      </c>
      <c r="D3" s="283"/>
      <c r="E3" s="283"/>
      <c r="F3" s="283"/>
      <c r="G3" s="284"/>
      <c r="H3" s="28"/>
    </row>
    <row r="4" spans="1:11" ht="14.25" customHeight="1" x14ac:dyDescent="0.2">
      <c r="A4" s="26"/>
      <c r="B4" s="27"/>
      <c r="C4" s="285"/>
      <c r="D4" s="286"/>
      <c r="E4" s="286"/>
      <c r="F4" s="286"/>
      <c r="G4" s="287"/>
      <c r="H4" s="28"/>
    </row>
    <row r="5" spans="1:11" ht="14.25" customHeight="1" x14ac:dyDescent="0.2">
      <c r="A5" s="26"/>
      <c r="B5" s="27"/>
      <c r="C5" s="201"/>
      <c r="D5" s="202"/>
      <c r="E5" s="202"/>
      <c r="F5" s="202"/>
      <c r="G5" s="203"/>
      <c r="H5" s="28"/>
    </row>
    <row r="6" spans="1:11" ht="14.25" customHeight="1" x14ac:dyDescent="0.2">
      <c r="A6" s="26"/>
      <c r="B6" s="27"/>
      <c r="C6" s="204"/>
      <c r="D6" s="202"/>
      <c r="E6" s="205"/>
      <c r="F6" s="206" t="s">
        <v>53</v>
      </c>
      <c r="G6" s="207">
        <f ca="1">TODAY()</f>
        <v>45974</v>
      </c>
      <c r="H6" s="28"/>
    </row>
    <row r="7" spans="1:11" ht="14.25" customHeight="1" x14ac:dyDescent="0.2">
      <c r="A7" s="26"/>
      <c r="B7" s="27"/>
      <c r="C7" s="204"/>
      <c r="D7" s="202"/>
      <c r="E7" s="205"/>
      <c r="F7" s="206"/>
      <c r="G7" s="203"/>
      <c r="H7" s="28"/>
    </row>
    <row r="8" spans="1:11" ht="14.25" customHeight="1" x14ac:dyDescent="0.2">
      <c r="A8" s="26"/>
      <c r="B8" s="27"/>
      <c r="C8" s="208"/>
      <c r="D8" s="209"/>
      <c r="E8" s="205"/>
      <c r="F8" s="206"/>
      <c r="G8" s="203"/>
      <c r="H8" s="28"/>
    </row>
    <row r="9" spans="1:11" ht="14.25" customHeight="1" x14ac:dyDescent="0.2">
      <c r="A9" s="26"/>
      <c r="B9" s="27"/>
      <c r="C9" s="210"/>
      <c r="D9" s="209"/>
      <c r="E9" s="205"/>
      <c r="F9" s="206"/>
      <c r="G9" s="203"/>
      <c r="H9" s="28"/>
    </row>
    <row r="10" spans="1:11" ht="14.25" customHeight="1" thickBot="1" x14ac:dyDescent="0.25">
      <c r="A10" s="26"/>
      <c r="B10" s="27"/>
      <c r="C10" s="211"/>
      <c r="D10" s="212"/>
      <c r="E10" s="205"/>
      <c r="F10" s="202"/>
      <c r="G10" s="203"/>
      <c r="H10" s="28"/>
    </row>
    <row r="11" spans="1:11" ht="14.25" customHeight="1" thickBot="1" x14ac:dyDescent="0.25">
      <c r="A11" s="26"/>
      <c r="B11" s="27"/>
      <c r="C11" s="213" t="s">
        <v>54</v>
      </c>
      <c r="D11" s="44" t="s">
        <v>55</v>
      </c>
      <c r="E11" s="44" t="s">
        <v>56</v>
      </c>
      <c r="F11" s="44" t="s">
        <v>57</v>
      </c>
      <c r="G11" s="214" t="s">
        <v>58</v>
      </c>
      <c r="H11" s="28"/>
    </row>
    <row r="12" spans="1:11" ht="14.25" customHeight="1" x14ac:dyDescent="0.2">
      <c r="A12" s="26"/>
      <c r="B12" s="27"/>
      <c r="C12" s="215">
        <v>1</v>
      </c>
      <c r="D12" s="216" t="s">
        <v>10</v>
      </c>
      <c r="E12" s="217">
        <v>2</v>
      </c>
      <c r="F12" s="218">
        <v>3150</v>
      </c>
      <c r="G12" s="219">
        <f>+Table_216182023[[#This Row],[Cantidad]]*Table_216182023[[#This Row],[Subtotal]]</f>
        <v>6300</v>
      </c>
      <c r="H12" s="28"/>
      <c r="K12" s="72"/>
    </row>
    <row r="13" spans="1:11" ht="14" customHeight="1" x14ac:dyDescent="0.2">
      <c r="A13" s="26"/>
      <c r="B13" s="27"/>
      <c r="C13" s="215">
        <v>2</v>
      </c>
      <c r="D13" s="216" t="s">
        <v>12</v>
      </c>
      <c r="E13" s="220">
        <v>47</v>
      </c>
      <c r="F13" s="218">
        <v>12.5</v>
      </c>
      <c r="G13" s="219">
        <f>+Table_216182023[[#This Row],[Cantidad]]*Table_216182023[[#This Row],[Subtotal]]</f>
        <v>587.5</v>
      </c>
      <c r="H13" s="28"/>
      <c r="J13" s="292"/>
      <c r="K13" s="292"/>
    </row>
    <row r="14" spans="1:11" ht="14" customHeight="1" x14ac:dyDescent="0.2">
      <c r="A14" s="26"/>
      <c r="B14" s="27"/>
      <c r="C14" s="215">
        <v>3</v>
      </c>
      <c r="D14" s="216" t="s">
        <v>216</v>
      </c>
      <c r="E14" s="220">
        <v>7</v>
      </c>
      <c r="F14" s="218">
        <v>1500</v>
      </c>
      <c r="G14" s="219">
        <f>+Table_216182023[[#This Row],[Cantidad]]*Table_216182023[[#This Row],[Subtotal]]</f>
        <v>10500</v>
      </c>
      <c r="H14" s="28"/>
      <c r="J14" s="228"/>
      <c r="K14" s="256"/>
    </row>
    <row r="15" spans="1:11" ht="14" customHeight="1" x14ac:dyDescent="0.2">
      <c r="A15" s="26"/>
      <c r="B15" s="27"/>
      <c r="C15" s="215">
        <v>4</v>
      </c>
      <c r="D15" s="216" t="s">
        <v>62</v>
      </c>
      <c r="E15" s="220">
        <v>1</v>
      </c>
      <c r="F15" s="218">
        <v>500</v>
      </c>
      <c r="G15" s="219">
        <f>+Table_216182023[[#This Row],[Cantidad]]*Table_216182023[[#This Row],[Subtotal]]</f>
        <v>500</v>
      </c>
      <c r="H15" s="28"/>
      <c r="J15" s="228"/>
      <c r="K15" s="256"/>
    </row>
    <row r="16" spans="1:11" ht="14" customHeight="1" x14ac:dyDescent="0.2">
      <c r="A16" s="26"/>
      <c r="B16" s="27"/>
      <c r="C16" s="215">
        <v>5</v>
      </c>
      <c r="D16" s="216" t="s">
        <v>20</v>
      </c>
      <c r="E16" s="220">
        <v>1</v>
      </c>
      <c r="F16" s="218">
        <v>105</v>
      </c>
      <c r="G16" s="219">
        <f>+Table_216182023[[#This Row],[Cantidad]]*Table_216182023[[#This Row],[Subtotal]]</f>
        <v>105</v>
      </c>
      <c r="H16" s="28"/>
      <c r="J16" s="228" t="s">
        <v>239</v>
      </c>
      <c r="K16" s="259">
        <f>+G21</f>
        <v>42561</v>
      </c>
    </row>
    <row r="17" spans="1:11" ht="14" customHeight="1" x14ac:dyDescent="0.2">
      <c r="A17" s="26"/>
      <c r="B17" s="27"/>
      <c r="C17" s="215">
        <v>6</v>
      </c>
      <c r="D17" s="216" t="s">
        <v>22</v>
      </c>
      <c r="E17" s="220">
        <v>1</v>
      </c>
      <c r="F17" s="218">
        <v>87.5</v>
      </c>
      <c r="G17" s="219">
        <f>+Table_216182023[[#This Row],[Cantidad]]*Table_216182023[[#This Row],[Subtotal]]</f>
        <v>87.5</v>
      </c>
      <c r="H17" s="28"/>
      <c r="J17" s="228" t="s">
        <v>29</v>
      </c>
      <c r="K17" s="259">
        <v>34771.22</v>
      </c>
    </row>
    <row r="18" spans="1:11" ht="14" customHeight="1" x14ac:dyDescent="0.2">
      <c r="A18" s="26"/>
      <c r="B18" s="27"/>
      <c r="C18" s="215">
        <v>7</v>
      </c>
      <c r="D18" s="216" t="s">
        <v>24</v>
      </c>
      <c r="E18" s="220">
        <v>1</v>
      </c>
      <c r="F18" s="218">
        <v>350</v>
      </c>
      <c r="G18" s="219">
        <f>+Table_216182023[[#This Row],[Cantidad]]*Table_216182023[[#This Row],[Subtotal]]</f>
        <v>350</v>
      </c>
      <c r="H18" s="28"/>
      <c r="J18" s="228"/>
      <c r="K18" s="259">
        <f>+K16-K17</f>
        <v>7789.7799999999988</v>
      </c>
    </row>
    <row r="19" spans="1:11" ht="14" customHeight="1" x14ac:dyDescent="0.2">
      <c r="A19" s="26"/>
      <c r="B19" s="27"/>
      <c r="C19" s="215">
        <v>8</v>
      </c>
      <c r="D19" s="216" t="s">
        <v>217</v>
      </c>
      <c r="E19" s="220">
        <v>1</v>
      </c>
      <c r="F19" s="218">
        <v>23610</v>
      </c>
      <c r="G19" s="219">
        <f>+Table_216182023[[#This Row],[Cantidad]]*Table_216182023[[#This Row],[Subtotal]]</f>
        <v>23610</v>
      </c>
      <c r="H19" s="28"/>
      <c r="J19" s="228"/>
      <c r="K19" s="256"/>
    </row>
    <row r="20" spans="1:11" ht="14" customHeight="1" x14ac:dyDescent="0.2">
      <c r="A20" s="26"/>
      <c r="B20" s="27"/>
      <c r="C20" s="215">
        <v>9</v>
      </c>
      <c r="D20" s="216" t="s">
        <v>240</v>
      </c>
      <c r="E20" s="220">
        <v>1</v>
      </c>
      <c r="F20" s="218">
        <v>521</v>
      </c>
      <c r="G20" s="219">
        <f>+Table_216182023[[#This Row],[Cantidad]]*Table_216182023[[#This Row],[Subtotal]]</f>
        <v>521</v>
      </c>
      <c r="H20" s="28"/>
      <c r="J20" s="228"/>
      <c r="K20" s="256"/>
    </row>
    <row r="21" spans="1:11" ht="14.25" customHeight="1" x14ac:dyDescent="0.2">
      <c r="A21" s="26"/>
      <c r="B21" s="27"/>
      <c r="C21" s="221"/>
      <c r="D21" s="222"/>
      <c r="E21" s="222"/>
      <c r="F21" s="223" t="s">
        <v>57</v>
      </c>
      <c r="G21" s="224">
        <f>SUBTOTAL(109,G12:G20)</f>
        <v>42561</v>
      </c>
      <c r="H21" s="28"/>
      <c r="J21" s="200"/>
      <c r="K21" s="257"/>
    </row>
    <row r="22" spans="1:11" ht="14.25" customHeight="1" thickBot="1" x14ac:dyDescent="0.25">
      <c r="A22" s="26"/>
      <c r="B22" s="27"/>
      <c r="C22" s="288"/>
      <c r="D22" s="289"/>
      <c r="E22" s="225"/>
      <c r="F22" s="226"/>
      <c r="G22" s="227"/>
      <c r="H22" s="28"/>
    </row>
    <row r="23" spans="1:11" ht="14.25" customHeight="1" thickBot="1" x14ac:dyDescent="0.25">
      <c r="A23" s="26"/>
      <c r="B23" s="66"/>
      <c r="C23" s="290"/>
      <c r="D23" s="291"/>
      <c r="E23" s="67"/>
      <c r="F23" s="68" t="e">
        <f>'Calculadora Corp Noviembre'!Saldo_pendiente</f>
        <v>#REF!</v>
      </c>
      <c r="G23" s="69"/>
      <c r="H23" s="70"/>
    </row>
    <row r="24" spans="1:11" ht="14.25" customHeight="1" x14ac:dyDescent="0.2"/>
    <row r="25" spans="1:11" ht="14.25" customHeight="1" x14ac:dyDescent="0.2">
      <c r="D25" s="200" t="s">
        <v>238</v>
      </c>
    </row>
    <row r="26" spans="1:11" ht="14.25" customHeight="1" x14ac:dyDescent="0.2"/>
    <row r="27" spans="1:11" ht="14.25" customHeight="1" x14ac:dyDescent="0.2"/>
    <row r="28" spans="1:11" ht="14.25" customHeight="1" x14ac:dyDescent="0.2"/>
    <row r="29" spans="1:11" ht="14.25" customHeight="1" x14ac:dyDescent="0.2"/>
    <row r="30" spans="1:11" ht="14.25" customHeight="1" x14ac:dyDescent="0.2"/>
    <row r="31" spans="1:11" ht="14.25" customHeight="1" x14ac:dyDescent="0.2"/>
    <row r="32" spans="1:11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</sheetData>
  <mergeCells count="5">
    <mergeCell ref="C3:G3"/>
    <mergeCell ref="C4:G4"/>
    <mergeCell ref="J13:K13"/>
    <mergeCell ref="C22:D22"/>
    <mergeCell ref="C23:D23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ECDEF-D631-B748-A811-7ED1F06061EF}">
  <dimension ref="A1:N993"/>
  <sheetViews>
    <sheetView showGridLines="0" zoomScale="125" zoomScaleNormal="70" workbookViewId="0">
      <selection activeCell="G14" sqref="G14"/>
    </sheetView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3.5" customWidth="1"/>
    <col min="5" max="5" width="9.83203125" bestFit="1" customWidth="1"/>
    <col min="6" max="6" width="13.33203125" customWidth="1"/>
    <col min="7" max="7" width="14.6640625" customWidth="1"/>
    <col min="8" max="8" width="18" bestFit="1" customWidth="1"/>
    <col min="9" max="9" width="14.6640625" customWidth="1"/>
    <col min="10" max="10" width="16" customWidth="1"/>
    <col min="11" max="11" width="5.33203125" customWidth="1"/>
    <col min="12" max="28" width="10.6640625" customWidth="1"/>
  </cols>
  <sheetData>
    <row r="1" spans="1:14" ht="14.25" customHeight="1" thickBot="1" x14ac:dyDescent="0.25"/>
    <row r="2" spans="1:14" ht="14.25" customHeight="1" thickBot="1" x14ac:dyDescent="0.25">
      <c r="B2" s="23"/>
      <c r="C2" s="24"/>
      <c r="D2" s="24"/>
      <c r="E2" s="24"/>
      <c r="F2" s="24"/>
      <c r="G2" s="24"/>
      <c r="H2" s="24"/>
      <c r="I2" s="24"/>
      <c r="J2" s="24"/>
      <c r="K2" s="25"/>
    </row>
    <row r="3" spans="1:14" ht="14.25" customHeight="1" thickBot="1" x14ac:dyDescent="0.25">
      <c r="A3" s="26"/>
      <c r="B3" s="27"/>
      <c r="C3" s="293" t="s">
        <v>52</v>
      </c>
      <c r="D3" s="294"/>
      <c r="E3" s="294"/>
      <c r="F3" s="294"/>
      <c r="G3" s="294"/>
      <c r="H3" s="295"/>
      <c r="I3" s="295"/>
      <c r="J3" s="296"/>
      <c r="K3" s="28"/>
    </row>
    <row r="4" spans="1:14" ht="14.25" customHeight="1" x14ac:dyDescent="0.2">
      <c r="A4" s="26"/>
      <c r="B4" s="27"/>
      <c r="C4" s="297"/>
      <c r="D4" s="286"/>
      <c r="E4" s="286"/>
      <c r="F4" s="286"/>
      <c r="G4" s="286"/>
      <c r="H4" s="29"/>
      <c r="I4" s="29"/>
      <c r="J4" s="30"/>
      <c r="K4" s="28"/>
    </row>
    <row r="5" spans="1:14" ht="14.25" customHeight="1" x14ac:dyDescent="0.2">
      <c r="A5" s="26"/>
      <c r="B5" s="27"/>
      <c r="C5" s="31"/>
      <c r="D5" s="26"/>
      <c r="E5" s="26"/>
      <c r="F5" s="26"/>
      <c r="G5" s="26"/>
      <c r="H5" s="26"/>
      <c r="I5" s="26"/>
      <c r="J5" s="32"/>
      <c r="K5" s="28"/>
    </row>
    <row r="6" spans="1:14" ht="14.25" customHeight="1" x14ac:dyDescent="0.2">
      <c r="A6" s="26"/>
      <c r="B6" s="27"/>
      <c r="C6" s="33"/>
      <c r="D6" s="26"/>
      <c r="E6" s="34"/>
      <c r="F6" s="35" t="s">
        <v>53</v>
      </c>
      <c r="G6" s="36">
        <f ca="1">TODAY()</f>
        <v>45974</v>
      </c>
      <c r="H6" s="36"/>
      <c r="I6" s="36"/>
      <c r="J6" s="37"/>
      <c r="K6" s="28"/>
    </row>
    <row r="7" spans="1:14" ht="14.25" customHeight="1" x14ac:dyDescent="0.2">
      <c r="A7" s="26"/>
      <c r="B7" s="27"/>
      <c r="C7" s="33"/>
      <c r="D7" s="26"/>
      <c r="E7" s="34"/>
      <c r="F7" s="35"/>
      <c r="G7" s="26"/>
      <c r="H7" s="26"/>
      <c r="I7" s="26"/>
      <c r="J7" s="32"/>
      <c r="K7" s="28"/>
    </row>
    <row r="8" spans="1:14" ht="14.25" customHeight="1" x14ac:dyDescent="0.2">
      <c r="A8" s="26"/>
      <c r="B8" s="27"/>
      <c r="C8" s="38"/>
      <c r="D8" s="39"/>
      <c r="E8" s="34"/>
      <c r="F8" s="35"/>
      <c r="G8" s="26"/>
      <c r="H8" s="26"/>
      <c r="I8" s="26"/>
      <c r="J8" s="32"/>
      <c r="K8" s="28"/>
    </row>
    <row r="9" spans="1:14" ht="14.25" customHeight="1" x14ac:dyDescent="0.2">
      <c r="A9" s="26"/>
      <c r="B9" s="27"/>
      <c r="C9" s="40"/>
      <c r="D9" s="39"/>
      <c r="E9" s="34"/>
      <c r="F9" s="35"/>
      <c r="G9" s="26"/>
      <c r="H9" s="26"/>
      <c r="I9" s="26"/>
      <c r="J9" s="32"/>
      <c r="K9" s="28"/>
    </row>
    <row r="10" spans="1:14" ht="14.25" customHeight="1" thickBot="1" x14ac:dyDescent="0.25">
      <c r="A10" s="26"/>
      <c r="B10" s="27"/>
      <c r="C10" s="41"/>
      <c r="D10" s="42"/>
      <c r="E10" s="34"/>
      <c r="F10" s="26"/>
      <c r="G10" s="26"/>
      <c r="H10" s="26"/>
      <c r="I10" s="26"/>
      <c r="J10" s="32"/>
      <c r="K10" s="28"/>
    </row>
    <row r="11" spans="1:14" ht="14.25" customHeight="1" thickBot="1" x14ac:dyDescent="0.25">
      <c r="A11" s="26"/>
      <c r="B11" s="27"/>
      <c r="C11" s="43" t="s">
        <v>54</v>
      </c>
      <c r="D11" s="44" t="s">
        <v>55</v>
      </c>
      <c r="E11" s="44" t="s">
        <v>56</v>
      </c>
      <c r="F11" s="44" t="s">
        <v>57</v>
      </c>
      <c r="G11" s="44" t="s">
        <v>58</v>
      </c>
      <c r="H11" s="194" t="s">
        <v>4</v>
      </c>
      <c r="I11" s="44" t="s">
        <v>214</v>
      </c>
      <c r="J11" s="44" t="s">
        <v>215</v>
      </c>
      <c r="K11" s="28"/>
    </row>
    <row r="12" spans="1:14" ht="14.25" customHeight="1" x14ac:dyDescent="0.2">
      <c r="A12" s="26"/>
      <c r="B12" s="27"/>
      <c r="C12" s="46">
        <v>1</v>
      </c>
      <c r="D12" s="47" t="s">
        <v>211</v>
      </c>
      <c r="E12" s="48">
        <v>1</v>
      </c>
      <c r="F12" s="49">
        <f>+'Servicios de Cabina INC'!U61-3150</f>
        <v>48940.267751483749</v>
      </c>
      <c r="G12" s="50">
        <f>+'Calculadora Cabina Noviembre'!$F12</f>
        <v>48940.267751483749</v>
      </c>
      <c r="H12" s="50">
        <f>+Table_21619[[#This Row],[Total]]</f>
        <v>46654.245407599999</v>
      </c>
      <c r="I12" s="50">
        <f>+Table_2161922[[#This Row],[Subtotal]]-Table_2161922[[#This Row],[Cabina Mes Anterior]]</f>
        <v>2286.0223438837493</v>
      </c>
      <c r="J12" s="195">
        <f>+Table_2161922[[#This Row],[Variación]]/Table_2161922[[#This Row],[Total]]</f>
        <v>4.6710458461160398E-2</v>
      </c>
      <c r="K12" s="28"/>
      <c r="N12" s="72"/>
    </row>
    <row r="13" spans="1:14" ht="14" customHeight="1" x14ac:dyDescent="0.2">
      <c r="A13" s="26"/>
      <c r="B13" s="27"/>
      <c r="C13" s="46">
        <v>2</v>
      </c>
      <c r="D13" s="47" t="s">
        <v>212</v>
      </c>
      <c r="E13" s="52">
        <v>1</v>
      </c>
      <c r="F13" s="49">
        <v>500</v>
      </c>
      <c r="G13" s="50">
        <f>'Calculadora Cabina Noviembre'!$E13*'Calculadora Cabina Noviembre'!$F13</f>
        <v>500</v>
      </c>
      <c r="H13" s="50">
        <v>500</v>
      </c>
      <c r="I13" s="50">
        <f>+Table_2161922[[#This Row],[Total]]-Table_2161922[[#This Row],[Cabina Mes Anterior]]</f>
        <v>0</v>
      </c>
      <c r="J13" s="71">
        <f>+Table_2161922[[#This Row],[Variación]]/Table_2161922[[#This Row],[Total]]</f>
        <v>0</v>
      </c>
      <c r="K13" s="28"/>
    </row>
    <row r="14" spans="1:14" ht="14" customHeight="1" x14ac:dyDescent="0.2">
      <c r="A14" s="26"/>
      <c r="B14" s="27"/>
      <c r="C14" s="193">
        <v>4</v>
      </c>
      <c r="D14" s="47" t="s">
        <v>213</v>
      </c>
      <c r="E14" s="52">
        <v>1</v>
      </c>
      <c r="F14" s="49">
        <f>+'Servicios de Cabina MCS'!U61-3150</f>
        <v>210268.66506723501</v>
      </c>
      <c r="G14" s="50">
        <f>+Table_2161922[[#This Row],[Subtotal]]</f>
        <v>210268.66506723501</v>
      </c>
      <c r="H14" s="50">
        <f>+Table_21619[[#This Row],[Total]]</f>
        <v>162617.4312815</v>
      </c>
      <c r="I14" s="50">
        <f>+Table_2161922[[#This Row],[Subtotal]]-Table_2161922[[#This Row],[Cabina Mes Anterior]]</f>
        <v>47651.233785735007</v>
      </c>
      <c r="J14" s="255">
        <f>+Table_2161922[[#This Row],[Variación]]/Table_2161922[[#This Row],[Total]]</f>
        <v>0.22662070818064195</v>
      </c>
      <c r="K14" s="28"/>
    </row>
    <row r="15" spans="1:14" ht="14" customHeight="1" x14ac:dyDescent="0.2">
      <c r="A15" s="26"/>
      <c r="B15" s="27"/>
      <c r="C15" s="193"/>
      <c r="D15" s="47"/>
      <c r="E15" s="52"/>
      <c r="F15" s="49"/>
      <c r="G15" s="50"/>
      <c r="H15" s="50"/>
      <c r="I15" s="50"/>
      <c r="J15" s="195"/>
      <c r="K15" s="28"/>
    </row>
    <row r="16" spans="1:14" ht="14.25" customHeight="1" x14ac:dyDescent="0.2">
      <c r="A16" s="26"/>
      <c r="B16" s="27"/>
      <c r="C16" s="58"/>
      <c r="D16" s="59"/>
      <c r="E16" s="59"/>
      <c r="F16" s="60" t="s">
        <v>57</v>
      </c>
      <c r="G16" s="199">
        <f>SUBTOTAL(109,G12:G14)</f>
        <v>259708.93281871875</v>
      </c>
      <c r="H16" s="50"/>
      <c r="I16" s="50"/>
      <c r="J16" s="187"/>
      <c r="K16" s="28"/>
    </row>
    <row r="17" spans="1:11" ht="14.25" customHeight="1" thickBot="1" x14ac:dyDescent="0.25">
      <c r="A17" s="26"/>
      <c r="B17" s="27"/>
      <c r="C17" s="298"/>
      <c r="D17" s="299"/>
      <c r="E17" s="62"/>
      <c r="F17" s="63"/>
      <c r="G17" s="64"/>
      <c r="H17" s="64"/>
      <c r="I17" s="64"/>
      <c r="J17" s="65"/>
      <c r="K17" s="28"/>
    </row>
    <row r="18" spans="1:11" ht="14.25" customHeight="1" thickBot="1" x14ac:dyDescent="0.25">
      <c r="A18" s="26"/>
      <c r="B18" s="66"/>
      <c r="C18" s="290"/>
      <c r="D18" s="291"/>
      <c r="E18" s="67"/>
      <c r="F18" s="68" t="e">
        <f>'Calculadora Cabina Noviembre'!Saldo_pendiente</f>
        <v>#REF!</v>
      </c>
      <c r="G18" s="69"/>
      <c r="H18" s="69"/>
      <c r="I18" s="69"/>
      <c r="J18" s="69"/>
      <c r="K18" s="70"/>
    </row>
    <row r="19" spans="1:11" ht="14.25" customHeight="1" x14ac:dyDescent="0.2"/>
    <row r="20" spans="1:11" ht="14.25" customHeight="1" x14ac:dyDescent="0.2">
      <c r="E20" s="196" t="s">
        <v>9</v>
      </c>
      <c r="F20" s="197">
        <v>0.71</v>
      </c>
      <c r="G20" s="198">
        <f>+G16*F20</f>
        <v>184393.34230129031</v>
      </c>
      <c r="H20" s="258">
        <f>+G20+3539</f>
        <v>187932.34230129031</v>
      </c>
      <c r="I20" s="200" t="s">
        <v>229</v>
      </c>
    </row>
    <row r="21" spans="1:11" ht="14.25" customHeight="1" x14ac:dyDescent="0.2">
      <c r="E21" s="196" t="s">
        <v>11</v>
      </c>
      <c r="F21" s="197">
        <v>0.28999999999999998</v>
      </c>
      <c r="G21" s="198">
        <f>+G16*F21</f>
        <v>75315.590517428427</v>
      </c>
      <c r="H21" s="258">
        <f>+G21</f>
        <v>75315.590517428427</v>
      </c>
    </row>
    <row r="22" spans="1:11" ht="14.25" customHeight="1" x14ac:dyDescent="0.2"/>
    <row r="23" spans="1:11" ht="14.25" customHeight="1" x14ac:dyDescent="0.2"/>
    <row r="24" spans="1:11" ht="14.25" customHeight="1" x14ac:dyDescent="0.2"/>
    <row r="25" spans="1:11" ht="14.25" customHeight="1" x14ac:dyDescent="0.2"/>
    <row r="26" spans="1:11" ht="14.25" customHeight="1" x14ac:dyDescent="0.2"/>
    <row r="27" spans="1:11" ht="14.25" customHeight="1" x14ac:dyDescent="0.2"/>
    <row r="28" spans="1:11" ht="14.25" customHeight="1" x14ac:dyDescent="0.2"/>
    <row r="29" spans="1:11" ht="14.25" customHeight="1" x14ac:dyDescent="0.2"/>
    <row r="30" spans="1:11" ht="14.25" customHeight="1" x14ac:dyDescent="0.2"/>
    <row r="31" spans="1:11" ht="14.25" customHeight="1" x14ac:dyDescent="0.2"/>
    <row r="32" spans="1:11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</sheetData>
  <mergeCells count="4">
    <mergeCell ref="C3:J3"/>
    <mergeCell ref="C4:G4"/>
    <mergeCell ref="C17:D17"/>
    <mergeCell ref="C18:D18"/>
  </mergeCells>
  <pageMargins left="0.7" right="0.7" top="0.75" bottom="0.75" header="0" footer="0"/>
  <pageSetup orientation="landscape"/>
  <drawing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FF53B-979D-3C48-85EE-C93B410910A3}">
  <dimension ref="A1:K990"/>
  <sheetViews>
    <sheetView showGridLines="0" topLeftCell="B1" zoomScale="134" zoomScaleNormal="70" workbookViewId="0">
      <selection activeCell="D21" sqref="D21"/>
    </sheetView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3.5" customWidth="1"/>
    <col min="5" max="5" width="17.33203125" customWidth="1"/>
    <col min="6" max="6" width="13.33203125" customWidth="1"/>
    <col min="7" max="7" width="14.6640625" customWidth="1"/>
    <col min="8" max="8" width="5.33203125" customWidth="1"/>
    <col min="9" max="25" width="10.6640625" customWidth="1"/>
  </cols>
  <sheetData>
    <row r="1" spans="1:11" ht="14.25" customHeight="1" thickBot="1" x14ac:dyDescent="0.25"/>
    <row r="2" spans="1:11" ht="14.25" customHeight="1" thickBot="1" x14ac:dyDescent="0.25">
      <c r="B2" s="23"/>
      <c r="C2" s="24"/>
      <c r="D2" s="24"/>
      <c r="E2" s="24"/>
      <c r="F2" s="24"/>
      <c r="G2" s="24"/>
      <c r="H2" s="25"/>
    </row>
    <row r="3" spans="1:11" ht="14.25" customHeight="1" thickBot="1" x14ac:dyDescent="0.25">
      <c r="A3" s="26"/>
      <c r="B3" s="27"/>
      <c r="C3" s="282" t="s">
        <v>52</v>
      </c>
      <c r="D3" s="283"/>
      <c r="E3" s="283"/>
      <c r="F3" s="283"/>
      <c r="G3" s="284"/>
      <c r="H3" s="28"/>
    </row>
    <row r="4" spans="1:11" ht="14.25" customHeight="1" x14ac:dyDescent="0.2">
      <c r="A4" s="26"/>
      <c r="B4" s="27"/>
      <c r="C4" s="285"/>
      <c r="D4" s="286"/>
      <c r="E4" s="286"/>
      <c r="F4" s="286"/>
      <c r="G4" s="287"/>
      <c r="H4" s="28"/>
    </row>
    <row r="5" spans="1:11" ht="14.25" customHeight="1" x14ac:dyDescent="0.2">
      <c r="A5" s="26"/>
      <c r="B5" s="27"/>
      <c r="C5" s="201"/>
      <c r="D5" s="202"/>
      <c r="E5" s="202"/>
      <c r="F5" s="202"/>
      <c r="G5" s="203"/>
      <c r="H5" s="28"/>
    </row>
    <row r="6" spans="1:11" ht="14.25" customHeight="1" x14ac:dyDescent="0.2">
      <c r="A6" s="26"/>
      <c r="B6" s="27"/>
      <c r="C6" s="204"/>
      <c r="D6" s="202"/>
      <c r="E6" s="205"/>
      <c r="F6" s="206" t="s">
        <v>53</v>
      </c>
      <c r="G6" s="207">
        <f ca="1">TODAY()</f>
        <v>45974</v>
      </c>
      <c r="H6" s="28"/>
    </row>
    <row r="7" spans="1:11" ht="14.25" customHeight="1" x14ac:dyDescent="0.2">
      <c r="A7" s="26"/>
      <c r="B7" s="27"/>
      <c r="C7" s="204"/>
      <c r="D7" s="202"/>
      <c r="E7" s="205"/>
      <c r="F7" s="206"/>
      <c r="G7" s="203"/>
      <c r="H7" s="28"/>
    </row>
    <row r="8" spans="1:11" ht="14.25" customHeight="1" x14ac:dyDescent="0.2">
      <c r="A8" s="26"/>
      <c r="B8" s="27"/>
      <c r="C8" s="208"/>
      <c r="D8" s="209"/>
      <c r="E8" s="205"/>
      <c r="F8" s="206"/>
      <c r="G8" s="203"/>
      <c r="H8" s="28"/>
    </row>
    <row r="9" spans="1:11" ht="14.25" customHeight="1" x14ac:dyDescent="0.2">
      <c r="A9" s="26"/>
      <c r="B9" s="27"/>
      <c r="C9" s="210"/>
      <c r="D9" s="209"/>
      <c r="E9" s="205"/>
      <c r="F9" s="206"/>
      <c r="G9" s="203"/>
      <c r="H9" s="28"/>
    </row>
    <row r="10" spans="1:11" ht="14.25" customHeight="1" thickBot="1" x14ac:dyDescent="0.25">
      <c r="A10" s="26"/>
      <c r="B10" s="27"/>
      <c r="C10" s="211"/>
      <c r="D10" s="212"/>
      <c r="E10" s="205"/>
      <c r="F10" s="202"/>
      <c r="G10" s="203"/>
      <c r="H10" s="28"/>
    </row>
    <row r="11" spans="1:11" ht="14.25" customHeight="1" thickBot="1" x14ac:dyDescent="0.25">
      <c r="A11" s="26"/>
      <c r="B11" s="27"/>
      <c r="C11" s="213" t="s">
        <v>54</v>
      </c>
      <c r="D11" s="44" t="s">
        <v>55</v>
      </c>
      <c r="E11" s="44" t="s">
        <v>56</v>
      </c>
      <c r="F11" s="44" t="s">
        <v>57</v>
      </c>
      <c r="G11" s="214" t="s">
        <v>58</v>
      </c>
      <c r="H11" s="28"/>
    </row>
    <row r="12" spans="1:11" ht="14.25" customHeight="1" x14ac:dyDescent="0.2">
      <c r="A12" s="26"/>
      <c r="B12" s="27"/>
      <c r="C12" s="215">
        <v>1</v>
      </c>
      <c r="D12" s="216" t="s">
        <v>14</v>
      </c>
      <c r="E12" s="217">
        <v>1</v>
      </c>
      <c r="F12" s="218">
        <v>3539</v>
      </c>
      <c r="G12" s="219">
        <f>+Table_216181721[[#This Row],[Cantidad]]*Table_216181721[[#This Row],[Subtotal]]</f>
        <v>3539</v>
      </c>
      <c r="H12" s="28"/>
      <c r="I12" s="228" t="s">
        <v>220</v>
      </c>
      <c r="K12" s="72"/>
    </row>
    <row r="13" spans="1:11" ht="14.25" customHeight="1" x14ac:dyDescent="0.2">
      <c r="A13" s="26"/>
      <c r="B13" s="27"/>
      <c r="C13" s="221"/>
      <c r="D13" s="222"/>
      <c r="E13" s="222"/>
      <c r="F13" s="223" t="s">
        <v>57</v>
      </c>
      <c r="G13" s="224">
        <f>SUBTOTAL(109,G12:G12)</f>
        <v>3539</v>
      </c>
      <c r="H13" s="28"/>
    </row>
    <row r="14" spans="1:11" ht="14.25" customHeight="1" thickBot="1" x14ac:dyDescent="0.25">
      <c r="A14" s="26"/>
      <c r="B14" s="27"/>
      <c r="C14" s="288"/>
      <c r="D14" s="289"/>
      <c r="E14" s="225"/>
      <c r="F14" s="226"/>
      <c r="G14" s="227"/>
      <c r="H14" s="28"/>
    </row>
    <row r="15" spans="1:11" ht="14.25" customHeight="1" thickBot="1" x14ac:dyDescent="0.25">
      <c r="A15" s="26"/>
      <c r="B15" s="66"/>
      <c r="C15" s="290"/>
      <c r="D15" s="291"/>
      <c r="E15" s="67"/>
      <c r="F15" s="68" t="e">
        <f>'Calculadora Conec Octubre'!Saldo_pendiente</f>
        <v>#REF!</v>
      </c>
      <c r="G15" s="69"/>
      <c r="H15" s="70"/>
    </row>
    <row r="16" spans="1:11" ht="14.25" customHeight="1" x14ac:dyDescent="0.2"/>
    <row r="17" spans="4:4" ht="14.25" customHeight="1" x14ac:dyDescent="0.2">
      <c r="D17" s="200" t="s">
        <v>230</v>
      </c>
    </row>
    <row r="18" spans="4:4" ht="14.25" customHeight="1" x14ac:dyDescent="0.2"/>
    <row r="19" spans="4:4" ht="14.25" customHeight="1" x14ac:dyDescent="0.2"/>
    <row r="20" spans="4:4" ht="14.25" customHeight="1" x14ac:dyDescent="0.2"/>
    <row r="21" spans="4:4" ht="14.25" customHeight="1" x14ac:dyDescent="0.2"/>
    <row r="22" spans="4:4" ht="14.25" customHeight="1" x14ac:dyDescent="0.2"/>
    <row r="23" spans="4:4" ht="14.25" customHeight="1" x14ac:dyDescent="0.2"/>
    <row r="24" spans="4:4" ht="14.25" customHeight="1" x14ac:dyDescent="0.2"/>
    <row r="25" spans="4:4" ht="14.25" customHeight="1" x14ac:dyDescent="0.2"/>
    <row r="26" spans="4:4" ht="14.25" customHeight="1" x14ac:dyDescent="0.2"/>
    <row r="27" spans="4:4" ht="14.25" customHeight="1" x14ac:dyDescent="0.2"/>
    <row r="28" spans="4:4" ht="14.25" customHeight="1" x14ac:dyDescent="0.2"/>
    <row r="29" spans="4:4" ht="14.25" customHeight="1" x14ac:dyDescent="0.2"/>
    <row r="30" spans="4:4" ht="14.25" customHeight="1" x14ac:dyDescent="0.2"/>
    <row r="31" spans="4:4" ht="14.25" customHeight="1" x14ac:dyDescent="0.2"/>
    <row r="32" spans="4:4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</sheetData>
  <mergeCells count="4">
    <mergeCell ref="C3:G3"/>
    <mergeCell ref="C4:G4"/>
    <mergeCell ref="C14:D14"/>
    <mergeCell ref="C15:D15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8BFA-E8AC-B542-B146-2BDAE638C8C5}">
  <dimension ref="A1:K997"/>
  <sheetViews>
    <sheetView showGridLines="0" zoomScale="140" zoomScaleNormal="140" workbookViewId="0">
      <selection activeCell="J23" sqref="J23"/>
    </sheetView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3.5" customWidth="1"/>
    <col min="5" max="5" width="17.33203125" customWidth="1"/>
    <col min="6" max="6" width="13.33203125" customWidth="1"/>
    <col min="7" max="7" width="14.6640625" customWidth="1"/>
    <col min="8" max="8" width="5.33203125" customWidth="1"/>
    <col min="9" max="9" width="10.6640625" customWidth="1"/>
    <col min="10" max="10" width="15.5" bestFit="1" customWidth="1"/>
    <col min="11" max="25" width="10.6640625" customWidth="1"/>
  </cols>
  <sheetData>
    <row r="1" spans="1:11" ht="14.25" customHeight="1" thickBot="1" x14ac:dyDescent="0.25"/>
    <row r="2" spans="1:11" ht="14.25" customHeight="1" thickBot="1" x14ac:dyDescent="0.25">
      <c r="B2" s="23"/>
      <c r="C2" s="24"/>
      <c r="D2" s="24"/>
      <c r="E2" s="24"/>
      <c r="F2" s="24"/>
      <c r="G2" s="24"/>
      <c r="H2" s="25"/>
    </row>
    <row r="3" spans="1:11" ht="14.25" customHeight="1" thickBot="1" x14ac:dyDescent="0.25">
      <c r="A3" s="26"/>
      <c r="B3" s="27"/>
      <c r="C3" s="282" t="s">
        <v>52</v>
      </c>
      <c r="D3" s="283"/>
      <c r="E3" s="283"/>
      <c r="F3" s="283"/>
      <c r="G3" s="284"/>
      <c r="H3" s="28"/>
    </row>
    <row r="4" spans="1:11" ht="14.25" customHeight="1" x14ac:dyDescent="0.2">
      <c r="A4" s="26"/>
      <c r="B4" s="27"/>
      <c r="C4" s="285"/>
      <c r="D4" s="286"/>
      <c r="E4" s="286"/>
      <c r="F4" s="286"/>
      <c r="G4" s="287"/>
      <c r="H4" s="28"/>
    </row>
    <row r="5" spans="1:11" ht="14.25" customHeight="1" x14ac:dyDescent="0.2">
      <c r="A5" s="26"/>
      <c r="B5" s="27"/>
      <c r="C5" s="201"/>
      <c r="D5" s="202"/>
      <c r="E5" s="202"/>
      <c r="F5" s="202"/>
      <c r="G5" s="203"/>
      <c r="H5" s="28"/>
    </row>
    <row r="6" spans="1:11" ht="14.25" customHeight="1" x14ac:dyDescent="0.2">
      <c r="A6" s="26"/>
      <c r="B6" s="27"/>
      <c r="C6" s="204"/>
      <c r="D6" s="202"/>
      <c r="E6" s="205"/>
      <c r="F6" s="206" t="s">
        <v>53</v>
      </c>
      <c r="G6" s="207">
        <f ca="1">TODAY()</f>
        <v>45974</v>
      </c>
      <c r="H6" s="28"/>
    </row>
    <row r="7" spans="1:11" ht="14.25" customHeight="1" x14ac:dyDescent="0.2">
      <c r="A7" s="26"/>
      <c r="B7" s="27"/>
      <c r="C7" s="204"/>
      <c r="D7" s="202"/>
      <c r="E7" s="205"/>
      <c r="F7" s="206"/>
      <c r="G7" s="203"/>
      <c r="H7" s="28"/>
    </row>
    <row r="8" spans="1:11" ht="14.25" customHeight="1" x14ac:dyDescent="0.2">
      <c r="A8" s="26"/>
      <c r="B8" s="27"/>
      <c r="C8" s="208"/>
      <c r="D8" s="209"/>
      <c r="E8" s="205"/>
      <c r="F8" s="206"/>
      <c r="G8" s="203"/>
      <c r="H8" s="28"/>
    </row>
    <row r="9" spans="1:11" ht="14.25" customHeight="1" x14ac:dyDescent="0.2">
      <c r="A9" s="26"/>
      <c r="B9" s="27"/>
      <c r="C9" s="210"/>
      <c r="D9" s="209"/>
      <c r="E9" s="205"/>
      <c r="F9" s="206"/>
      <c r="G9" s="203"/>
      <c r="H9" s="28"/>
    </row>
    <row r="10" spans="1:11" ht="14.25" customHeight="1" thickBot="1" x14ac:dyDescent="0.25">
      <c r="A10" s="26"/>
      <c r="B10" s="27"/>
      <c r="C10" s="211"/>
      <c r="D10" s="212"/>
      <c r="E10" s="205"/>
      <c r="F10" s="202"/>
      <c r="G10" s="203"/>
      <c r="H10" s="28"/>
    </row>
    <row r="11" spans="1:11" ht="14.25" customHeight="1" thickBot="1" x14ac:dyDescent="0.25">
      <c r="A11" s="26"/>
      <c r="B11" s="27"/>
      <c r="C11" s="213" t="s">
        <v>54</v>
      </c>
      <c r="D11" s="44" t="s">
        <v>55</v>
      </c>
      <c r="E11" s="44" t="s">
        <v>56</v>
      </c>
      <c r="F11" s="44" t="s">
        <v>57</v>
      </c>
      <c r="G11" s="214" t="s">
        <v>58</v>
      </c>
      <c r="H11" s="28"/>
    </row>
    <row r="12" spans="1:11" ht="14.25" customHeight="1" x14ac:dyDescent="0.2">
      <c r="A12" s="26"/>
      <c r="B12" s="27"/>
      <c r="C12" s="215">
        <v>1</v>
      </c>
      <c r="D12" s="216" t="s">
        <v>10</v>
      </c>
      <c r="E12" s="217">
        <v>2</v>
      </c>
      <c r="F12" s="218">
        <v>3150</v>
      </c>
      <c r="G12" s="219">
        <f>+Table_2161820[[#This Row],[Cantidad]]*Table_2161820[[#This Row],[Subtotal]]</f>
        <v>6300</v>
      </c>
      <c r="H12" s="28"/>
      <c r="K12" s="72"/>
    </row>
    <row r="13" spans="1:11" ht="14" customHeight="1" x14ac:dyDescent="0.2">
      <c r="A13" s="26"/>
      <c r="B13" s="27"/>
      <c r="C13" s="215">
        <v>2</v>
      </c>
      <c r="D13" s="216" t="s">
        <v>12</v>
      </c>
      <c r="E13" s="220">
        <v>47</v>
      </c>
      <c r="F13" s="218">
        <v>12.5</v>
      </c>
      <c r="G13" s="219">
        <f>+Table_2161820[[#This Row],[Cantidad]]*Table_2161820[[#This Row],[Subtotal]]</f>
        <v>587.5</v>
      </c>
      <c r="H13" s="28"/>
      <c r="J13" s="292" t="s">
        <v>232</v>
      </c>
      <c r="K13" s="292"/>
    </row>
    <row r="14" spans="1:11" ht="14" customHeight="1" x14ac:dyDescent="0.2">
      <c r="A14" s="26"/>
      <c r="B14" s="27"/>
      <c r="C14" s="215">
        <v>3</v>
      </c>
      <c r="D14" s="216" t="s">
        <v>216</v>
      </c>
      <c r="E14" s="220">
        <v>7</v>
      </c>
      <c r="F14" s="218">
        <v>1500</v>
      </c>
      <c r="G14" s="219">
        <f>+Table_2161820[[#This Row],[Cantidad]]*Table_2161820[[#This Row],[Subtotal]]</f>
        <v>10500</v>
      </c>
      <c r="H14" s="28"/>
      <c r="J14" s="228" t="s">
        <v>231</v>
      </c>
      <c r="K14" s="256">
        <v>23610</v>
      </c>
    </row>
    <row r="15" spans="1:11" ht="14" customHeight="1" x14ac:dyDescent="0.2">
      <c r="A15" s="26"/>
      <c r="B15" s="27"/>
      <c r="C15" s="215">
        <v>4</v>
      </c>
      <c r="D15" s="216" t="s">
        <v>62</v>
      </c>
      <c r="E15" s="220">
        <v>1</v>
      </c>
      <c r="F15" s="218">
        <v>500</v>
      </c>
      <c r="G15" s="219">
        <f>+Table_2161820[[#This Row],[Cantidad]]*Table_2161820[[#This Row],[Subtotal]]</f>
        <v>500</v>
      </c>
      <c r="H15" s="28"/>
      <c r="J15" s="228" t="s">
        <v>236</v>
      </c>
      <c r="K15" s="256">
        <f>1750000/4100</f>
        <v>426.82926829268291</v>
      </c>
    </row>
    <row r="16" spans="1:11" ht="14" customHeight="1" x14ac:dyDescent="0.2">
      <c r="A16" s="26"/>
      <c r="B16" s="27"/>
      <c r="C16" s="215">
        <v>5</v>
      </c>
      <c r="D16" s="216" t="s">
        <v>20</v>
      </c>
      <c r="E16" s="220">
        <v>1</v>
      </c>
      <c r="F16" s="218">
        <v>105</v>
      </c>
      <c r="G16" s="219">
        <f>+Table_2161820[[#This Row],[Cantidad]]*Table_2161820[[#This Row],[Subtotal]]</f>
        <v>105</v>
      </c>
      <c r="H16" s="28"/>
      <c r="J16" s="228" t="s">
        <v>233</v>
      </c>
      <c r="K16" s="256">
        <f>150000/4100</f>
        <v>36.585365853658537</v>
      </c>
    </row>
    <row r="17" spans="1:11" ht="14" customHeight="1" x14ac:dyDescent="0.2">
      <c r="A17" s="26"/>
      <c r="B17" s="27"/>
      <c r="C17" s="215">
        <v>6</v>
      </c>
      <c r="D17" s="216" t="s">
        <v>22</v>
      </c>
      <c r="E17" s="220">
        <v>1</v>
      </c>
      <c r="F17" s="218">
        <v>87.5</v>
      </c>
      <c r="G17" s="219">
        <f>+Table_2161820[[#This Row],[Cantidad]]*Table_2161820[[#This Row],[Subtotal]]</f>
        <v>87.5</v>
      </c>
      <c r="H17" s="28"/>
      <c r="J17" s="228" t="s">
        <v>234</v>
      </c>
      <c r="K17" s="256">
        <f>538200/4100</f>
        <v>131.26829268292684</v>
      </c>
    </row>
    <row r="18" spans="1:11" ht="14" customHeight="1" x14ac:dyDescent="0.2">
      <c r="A18" s="26"/>
      <c r="B18" s="27"/>
      <c r="C18" s="215">
        <v>7</v>
      </c>
      <c r="D18" s="216" t="s">
        <v>24</v>
      </c>
      <c r="E18" s="220">
        <v>1</v>
      </c>
      <c r="F18" s="218">
        <v>350</v>
      </c>
      <c r="G18" s="219">
        <f>+Table_2161820[[#This Row],[Cantidad]]*Table_2161820[[#This Row],[Subtotal]]</f>
        <v>350</v>
      </c>
      <c r="H18" s="28"/>
      <c r="J18" s="228" t="s">
        <v>235</v>
      </c>
      <c r="K18" s="256">
        <f>303333/4100</f>
        <v>73.983658536585367</v>
      </c>
    </row>
    <row r="19" spans="1:11" ht="14" customHeight="1" x14ac:dyDescent="0.2">
      <c r="A19" s="26"/>
      <c r="B19" s="27"/>
      <c r="C19" s="215">
        <v>8</v>
      </c>
      <c r="D19" s="216" t="s">
        <v>217</v>
      </c>
      <c r="E19" s="220">
        <v>1</v>
      </c>
      <c r="F19" s="218">
        <f>23610+1450-614</f>
        <v>24446</v>
      </c>
      <c r="G19" s="219">
        <f>+Table_2161820[[#This Row],[Cantidad]]*Table_2161820[[#This Row],[Subtotal]]</f>
        <v>24446</v>
      </c>
      <c r="H19" s="28"/>
      <c r="J19" s="228" t="s">
        <v>237</v>
      </c>
      <c r="K19" s="256">
        <f>687000/4100</f>
        <v>167.5609756097561</v>
      </c>
    </row>
    <row r="20" spans="1:11" ht="14.25" customHeight="1" x14ac:dyDescent="0.2">
      <c r="A20" s="26"/>
      <c r="B20" s="27"/>
      <c r="C20" s="221"/>
      <c r="D20" s="222"/>
      <c r="E20" s="222"/>
      <c r="F20" s="223" t="s">
        <v>57</v>
      </c>
      <c r="G20" s="224">
        <f>SUBTOTAL(109,G12:G19)</f>
        <v>42876</v>
      </c>
      <c r="H20" s="28"/>
      <c r="J20" s="200" t="s">
        <v>58</v>
      </c>
      <c r="K20" s="257">
        <f>SUM(K14:K19)</f>
        <v>24446.227560975607</v>
      </c>
    </row>
    <row r="21" spans="1:11" ht="14.25" customHeight="1" thickBot="1" x14ac:dyDescent="0.25">
      <c r="A21" s="26"/>
      <c r="B21" s="27"/>
      <c r="C21" s="288"/>
      <c r="D21" s="289"/>
      <c r="E21" s="225"/>
      <c r="F21" s="226"/>
      <c r="G21" s="227"/>
      <c r="H21" s="28"/>
    </row>
    <row r="22" spans="1:11" ht="14.25" customHeight="1" thickBot="1" x14ac:dyDescent="0.25">
      <c r="A22" s="26"/>
      <c r="B22" s="66"/>
      <c r="C22" s="290"/>
      <c r="D22" s="291"/>
      <c r="E22" s="67"/>
      <c r="F22" s="68" t="e">
        <f>'Calculadora Corp Octubre'!Saldo_pendiente</f>
        <v>#REF!</v>
      </c>
      <c r="G22" s="69"/>
      <c r="H22" s="70"/>
    </row>
    <row r="23" spans="1:11" ht="14.25" customHeight="1" x14ac:dyDescent="0.2"/>
    <row r="24" spans="1:11" ht="14.25" customHeight="1" x14ac:dyDescent="0.2">
      <c r="D24" s="200" t="s">
        <v>230</v>
      </c>
    </row>
    <row r="25" spans="1:11" ht="14.25" customHeight="1" x14ac:dyDescent="0.2"/>
    <row r="26" spans="1:11" ht="14.25" customHeight="1" x14ac:dyDescent="0.2"/>
    <row r="27" spans="1:11" ht="14.25" customHeight="1" x14ac:dyDescent="0.2"/>
    <row r="28" spans="1:11" ht="14.25" customHeight="1" x14ac:dyDescent="0.2"/>
    <row r="29" spans="1:11" ht="14.25" customHeight="1" x14ac:dyDescent="0.2"/>
    <row r="30" spans="1:11" ht="14.25" customHeight="1" x14ac:dyDescent="0.2"/>
    <row r="31" spans="1:11" ht="14.25" customHeight="1" x14ac:dyDescent="0.2"/>
    <row r="32" spans="1:11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</sheetData>
  <mergeCells count="5">
    <mergeCell ref="C3:G3"/>
    <mergeCell ref="C4:G4"/>
    <mergeCell ref="C21:D21"/>
    <mergeCell ref="C22:D22"/>
    <mergeCell ref="J13:K13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C66E-6001-EC49-BAC7-477625A5F1E4}">
  <dimension ref="A1:N993"/>
  <sheetViews>
    <sheetView showGridLines="0" topLeftCell="D1" zoomScale="150" zoomScaleNormal="70" workbookViewId="0">
      <selection activeCell="G14" sqref="G14"/>
    </sheetView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3.5" customWidth="1"/>
    <col min="5" max="5" width="9.83203125" bestFit="1" customWidth="1"/>
    <col min="6" max="6" width="13.33203125" customWidth="1"/>
    <col min="7" max="7" width="14.6640625" customWidth="1"/>
    <col min="8" max="8" width="18" bestFit="1" customWidth="1"/>
    <col min="9" max="9" width="14.6640625" customWidth="1"/>
    <col min="10" max="10" width="16" customWidth="1"/>
    <col min="11" max="11" width="5.33203125" customWidth="1"/>
    <col min="12" max="28" width="10.6640625" customWidth="1"/>
  </cols>
  <sheetData>
    <row r="1" spans="1:14" ht="14.25" customHeight="1" thickBot="1" x14ac:dyDescent="0.25"/>
    <row r="2" spans="1:14" ht="14.25" customHeight="1" thickBot="1" x14ac:dyDescent="0.25">
      <c r="B2" s="23"/>
      <c r="C2" s="24"/>
      <c r="D2" s="24"/>
      <c r="E2" s="24"/>
      <c r="F2" s="24"/>
      <c r="G2" s="24"/>
      <c r="H2" s="24"/>
      <c r="I2" s="24"/>
      <c r="J2" s="24"/>
      <c r="K2" s="25"/>
    </row>
    <row r="3" spans="1:14" ht="14.25" customHeight="1" thickBot="1" x14ac:dyDescent="0.25">
      <c r="A3" s="26"/>
      <c r="B3" s="27"/>
      <c r="C3" s="293" t="s">
        <v>52</v>
      </c>
      <c r="D3" s="294"/>
      <c r="E3" s="294"/>
      <c r="F3" s="294"/>
      <c r="G3" s="294"/>
      <c r="H3" s="295"/>
      <c r="I3" s="295"/>
      <c r="J3" s="296"/>
      <c r="K3" s="28"/>
    </row>
    <row r="4" spans="1:14" ht="14.25" customHeight="1" x14ac:dyDescent="0.2">
      <c r="A4" s="26"/>
      <c r="B4" s="27"/>
      <c r="C4" s="297"/>
      <c r="D4" s="286"/>
      <c r="E4" s="286"/>
      <c r="F4" s="286"/>
      <c r="G4" s="286"/>
      <c r="H4" s="29"/>
      <c r="I4" s="29"/>
      <c r="J4" s="30"/>
      <c r="K4" s="28"/>
    </row>
    <row r="5" spans="1:14" ht="14.25" customHeight="1" x14ac:dyDescent="0.2">
      <c r="A5" s="26"/>
      <c r="B5" s="27"/>
      <c r="C5" s="31"/>
      <c r="D5" s="26"/>
      <c r="E5" s="26"/>
      <c r="F5" s="26"/>
      <c r="G5" s="26"/>
      <c r="H5" s="26"/>
      <c r="I5" s="26"/>
      <c r="J5" s="32"/>
      <c r="K5" s="28"/>
    </row>
    <row r="6" spans="1:14" ht="14.25" customHeight="1" x14ac:dyDescent="0.2">
      <c r="A6" s="26"/>
      <c r="B6" s="27"/>
      <c r="C6" s="33"/>
      <c r="D6" s="26"/>
      <c r="E6" s="34"/>
      <c r="F6" s="35" t="s">
        <v>53</v>
      </c>
      <c r="G6" s="36">
        <f ca="1">TODAY()</f>
        <v>45974</v>
      </c>
      <c r="H6" s="36"/>
      <c r="I6" s="36"/>
      <c r="J6" s="37"/>
      <c r="K6" s="28"/>
    </row>
    <row r="7" spans="1:14" ht="14.25" customHeight="1" x14ac:dyDescent="0.2">
      <c r="A7" s="26"/>
      <c r="B7" s="27"/>
      <c r="C7" s="33"/>
      <c r="D7" s="26"/>
      <c r="E7" s="34"/>
      <c r="F7" s="35"/>
      <c r="G7" s="26"/>
      <c r="H7" s="26"/>
      <c r="I7" s="26"/>
      <c r="J7" s="32"/>
      <c r="K7" s="28"/>
    </row>
    <row r="8" spans="1:14" ht="14.25" customHeight="1" x14ac:dyDescent="0.2">
      <c r="A8" s="26"/>
      <c r="B8" s="27"/>
      <c r="C8" s="38"/>
      <c r="D8" s="39"/>
      <c r="E8" s="34"/>
      <c r="F8" s="35"/>
      <c r="G8" s="26"/>
      <c r="H8" s="26"/>
      <c r="I8" s="26"/>
      <c r="J8" s="32"/>
      <c r="K8" s="28"/>
    </row>
    <row r="9" spans="1:14" ht="14.25" customHeight="1" x14ac:dyDescent="0.2">
      <c r="A9" s="26"/>
      <c r="B9" s="27"/>
      <c r="C9" s="40"/>
      <c r="D9" s="39"/>
      <c r="E9" s="34"/>
      <c r="F9" s="35"/>
      <c r="G9" s="26"/>
      <c r="H9" s="26"/>
      <c r="I9" s="26"/>
      <c r="J9" s="32"/>
      <c r="K9" s="28"/>
    </row>
    <row r="10" spans="1:14" ht="14.25" customHeight="1" thickBot="1" x14ac:dyDescent="0.25">
      <c r="A10" s="26"/>
      <c r="B10" s="27"/>
      <c r="C10" s="41"/>
      <c r="D10" s="42"/>
      <c r="E10" s="34"/>
      <c r="F10" s="26"/>
      <c r="G10" s="26"/>
      <c r="H10" s="26"/>
      <c r="I10" s="26"/>
      <c r="J10" s="32"/>
      <c r="K10" s="28"/>
    </row>
    <row r="11" spans="1:14" ht="14.25" customHeight="1" thickBot="1" x14ac:dyDescent="0.25">
      <c r="A11" s="26"/>
      <c r="B11" s="27"/>
      <c r="C11" s="43" t="s">
        <v>54</v>
      </c>
      <c r="D11" s="44" t="s">
        <v>55</v>
      </c>
      <c r="E11" s="44" t="s">
        <v>56</v>
      </c>
      <c r="F11" s="44" t="s">
        <v>57</v>
      </c>
      <c r="G11" s="44" t="s">
        <v>58</v>
      </c>
      <c r="H11" s="194" t="s">
        <v>4</v>
      </c>
      <c r="I11" s="44" t="s">
        <v>214</v>
      </c>
      <c r="J11" s="44" t="s">
        <v>215</v>
      </c>
      <c r="K11" s="28"/>
    </row>
    <row r="12" spans="1:14" ht="14.25" customHeight="1" x14ac:dyDescent="0.2">
      <c r="A12" s="26"/>
      <c r="B12" s="27"/>
      <c r="C12" s="46">
        <v>1</v>
      </c>
      <c r="D12" s="47" t="s">
        <v>211</v>
      </c>
      <c r="E12" s="48">
        <v>1</v>
      </c>
      <c r="F12" s="49">
        <f>+'Servicios de Cabina INC'!T61-3150</f>
        <v>46654.245407599999</v>
      </c>
      <c r="G12" s="50">
        <f>+'Calculadora Cabina Octubre'!$F12</f>
        <v>46654.245407599999</v>
      </c>
      <c r="H12" s="50">
        <v>42042.878360250004</v>
      </c>
      <c r="I12" s="50">
        <f>+Table_21619[[#This Row],[Subtotal]]-Table_21619[[#This Row],[Cabina Mes Anterior]]</f>
        <v>4611.3670473499951</v>
      </c>
      <c r="J12" s="195">
        <f>+Table_21619[[#This Row],[Variación]]/Table_21619[[#This Row],[Total]]</f>
        <v>9.884131673467815E-2</v>
      </c>
      <c r="K12" s="28"/>
      <c r="N12" s="72"/>
    </row>
    <row r="13" spans="1:14" ht="14" customHeight="1" x14ac:dyDescent="0.2">
      <c r="A13" s="26"/>
      <c r="B13" s="27"/>
      <c r="C13" s="46">
        <v>2</v>
      </c>
      <c r="D13" s="47" t="s">
        <v>212</v>
      </c>
      <c r="E13" s="52">
        <v>1</v>
      </c>
      <c r="F13" s="49">
        <v>500</v>
      </c>
      <c r="G13" s="50">
        <f>'Calculadora Cabina Octubre'!$E13*'Calculadora Cabina Octubre'!$F13</f>
        <v>500</v>
      </c>
      <c r="H13" s="50">
        <v>500</v>
      </c>
      <c r="I13" s="50">
        <f>+Table_21619[[#This Row],[Total]]-Table_21619[[#This Row],[Cabina Mes Anterior]]</f>
        <v>0</v>
      </c>
      <c r="J13" s="71">
        <f>+Table_21619[[#This Row],[Variación]]/Table_21619[[#This Row],[Total]]</f>
        <v>0</v>
      </c>
      <c r="K13" s="28"/>
    </row>
    <row r="14" spans="1:14" ht="14" customHeight="1" x14ac:dyDescent="0.2">
      <c r="A14" s="26"/>
      <c r="B14" s="27"/>
      <c r="C14" s="193">
        <v>4</v>
      </c>
      <c r="D14" s="47" t="s">
        <v>213</v>
      </c>
      <c r="E14" s="52">
        <v>1</v>
      </c>
      <c r="F14" s="49">
        <f>+'Servicios de Cabina MCS'!T61-3150</f>
        <v>200833.19978932245</v>
      </c>
      <c r="G14" s="50">
        <v>162617.4312815</v>
      </c>
      <c r="H14" s="50">
        <f>+'Calculadora MCS Agosto'!G12-3150</f>
        <v>184096.57105876249</v>
      </c>
      <c r="I14" s="50">
        <f>+Table_21619[[#This Row],[Subtotal]]-Table_21619[[#This Row],[Cabina Mes Anterior]]</f>
        <v>16736.628730559954</v>
      </c>
      <c r="J14" s="255">
        <f>+Table_21619[[#This Row],[Variación]]/Table_21619[[#This Row],[Total]]</f>
        <v>0.10292026259834286</v>
      </c>
      <c r="K14" s="28"/>
    </row>
    <row r="15" spans="1:14" ht="14" customHeight="1" x14ac:dyDescent="0.2">
      <c r="A15" s="26"/>
      <c r="B15" s="27"/>
      <c r="C15" s="193"/>
      <c r="D15" s="47"/>
      <c r="E15" s="52"/>
      <c r="F15" s="49"/>
      <c r="G15" s="50"/>
      <c r="H15" s="50"/>
      <c r="I15" s="50"/>
      <c r="J15" s="195"/>
      <c r="K15" s="28"/>
    </row>
    <row r="16" spans="1:14" ht="14.25" customHeight="1" x14ac:dyDescent="0.2">
      <c r="A16" s="26"/>
      <c r="B16" s="27"/>
      <c r="C16" s="58"/>
      <c r="D16" s="59"/>
      <c r="E16" s="59"/>
      <c r="F16" s="60" t="s">
        <v>57</v>
      </c>
      <c r="G16" s="199">
        <f>SUBTOTAL(109,G12:G14)</f>
        <v>209771.67668909999</v>
      </c>
      <c r="H16" s="50"/>
      <c r="I16" s="50"/>
      <c r="J16" s="187"/>
      <c r="K16" s="28"/>
    </row>
    <row r="17" spans="1:11" ht="14.25" customHeight="1" thickBot="1" x14ac:dyDescent="0.25">
      <c r="A17" s="26"/>
      <c r="B17" s="27"/>
      <c r="C17" s="298"/>
      <c r="D17" s="299"/>
      <c r="E17" s="62"/>
      <c r="F17" s="63"/>
      <c r="G17" s="64"/>
      <c r="H17" s="64"/>
      <c r="I17" s="64"/>
      <c r="J17" s="65"/>
      <c r="K17" s="28"/>
    </row>
    <row r="18" spans="1:11" ht="14.25" customHeight="1" thickBot="1" x14ac:dyDescent="0.25">
      <c r="A18" s="26"/>
      <c r="B18" s="66"/>
      <c r="C18" s="290"/>
      <c r="D18" s="291"/>
      <c r="E18" s="67"/>
      <c r="F18" s="68" t="e">
        <f>'Calculadora Cabina Octubre'!Saldo_pendiente</f>
        <v>#REF!</v>
      </c>
      <c r="G18" s="69"/>
      <c r="H18" s="69"/>
      <c r="I18" s="69"/>
      <c r="J18" s="69"/>
      <c r="K18" s="70"/>
    </row>
    <row r="19" spans="1:11" ht="14.25" customHeight="1" x14ac:dyDescent="0.2"/>
    <row r="20" spans="1:11" ht="14.25" customHeight="1" x14ac:dyDescent="0.2">
      <c r="E20" s="196" t="s">
        <v>9</v>
      </c>
      <c r="F20" s="197">
        <v>0.7</v>
      </c>
      <c r="G20" s="198">
        <f>+G16*F20-3150</f>
        <v>143690.17368236999</v>
      </c>
      <c r="H20" s="229">
        <f>+G20+3539</f>
        <v>147229.17368236999</v>
      </c>
      <c r="I20" s="200" t="s">
        <v>229</v>
      </c>
    </row>
    <row r="21" spans="1:11" ht="14.25" customHeight="1" x14ac:dyDescent="0.2">
      <c r="E21" s="196" t="s">
        <v>11</v>
      </c>
      <c r="F21" s="197">
        <v>0.3</v>
      </c>
      <c r="G21" s="198">
        <f>+G16*F21</f>
        <v>62931.503006729996</v>
      </c>
    </row>
    <row r="22" spans="1:11" ht="14.25" customHeight="1" x14ac:dyDescent="0.2"/>
    <row r="23" spans="1:11" ht="14.25" customHeight="1" x14ac:dyDescent="0.2"/>
    <row r="24" spans="1:11" ht="14.25" customHeight="1" x14ac:dyDescent="0.2"/>
    <row r="25" spans="1:11" ht="14.25" customHeight="1" x14ac:dyDescent="0.2"/>
    <row r="26" spans="1:11" ht="14.25" customHeight="1" x14ac:dyDescent="0.2"/>
    <row r="27" spans="1:11" ht="14.25" customHeight="1" x14ac:dyDescent="0.2"/>
    <row r="28" spans="1:11" ht="14.25" customHeight="1" x14ac:dyDescent="0.2"/>
    <row r="29" spans="1:11" ht="14.25" customHeight="1" x14ac:dyDescent="0.2"/>
    <row r="30" spans="1:11" ht="14.25" customHeight="1" x14ac:dyDescent="0.2"/>
    <row r="31" spans="1:11" ht="14.25" customHeight="1" x14ac:dyDescent="0.2"/>
    <row r="32" spans="1:11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</sheetData>
  <mergeCells count="4">
    <mergeCell ref="C3:J3"/>
    <mergeCell ref="C4:G4"/>
    <mergeCell ref="C17:D17"/>
    <mergeCell ref="C18:D18"/>
  </mergeCells>
  <pageMargins left="0.7" right="0.7" top="0.75" bottom="0.75" header="0" footer="0"/>
  <pageSetup orientation="landscape"/>
  <drawing r:id="rId1"/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6E8D-41C9-4CA3-A618-0FF5616C8271}">
  <dimension ref="A1:K990"/>
  <sheetViews>
    <sheetView showGridLines="0" zoomScale="70" zoomScaleNormal="70" workbookViewId="0">
      <selection activeCell="H16" sqref="H16"/>
    </sheetView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3.5" customWidth="1"/>
    <col min="5" max="5" width="17.33203125" customWidth="1"/>
    <col min="6" max="6" width="13.33203125" customWidth="1"/>
    <col min="7" max="7" width="14.6640625" customWidth="1"/>
    <col min="8" max="8" width="5.33203125" customWidth="1"/>
    <col min="9" max="25" width="10.6640625" customWidth="1"/>
  </cols>
  <sheetData>
    <row r="1" spans="1:11" ht="14.25" customHeight="1" thickBot="1" x14ac:dyDescent="0.25"/>
    <row r="2" spans="1:11" ht="14.25" customHeight="1" thickBot="1" x14ac:dyDescent="0.25">
      <c r="B2" s="23"/>
      <c r="C2" s="24"/>
      <c r="D2" s="24"/>
      <c r="E2" s="24"/>
      <c r="F2" s="24"/>
      <c r="G2" s="24"/>
      <c r="H2" s="25"/>
    </row>
    <row r="3" spans="1:11" ht="14.25" customHeight="1" thickBot="1" x14ac:dyDescent="0.25">
      <c r="A3" s="26"/>
      <c r="B3" s="27"/>
      <c r="C3" s="282" t="s">
        <v>52</v>
      </c>
      <c r="D3" s="283"/>
      <c r="E3" s="283"/>
      <c r="F3" s="283"/>
      <c r="G3" s="284"/>
      <c r="H3" s="28"/>
    </row>
    <row r="4" spans="1:11" ht="14.25" customHeight="1" x14ac:dyDescent="0.2">
      <c r="A4" s="26"/>
      <c r="B4" s="27"/>
      <c r="C4" s="285"/>
      <c r="D4" s="286"/>
      <c r="E4" s="286"/>
      <c r="F4" s="286"/>
      <c r="G4" s="287"/>
      <c r="H4" s="28"/>
    </row>
    <row r="5" spans="1:11" ht="14.25" customHeight="1" x14ac:dyDescent="0.2">
      <c r="A5" s="26"/>
      <c r="B5" s="27"/>
      <c r="C5" s="201"/>
      <c r="D5" s="202"/>
      <c r="E5" s="202"/>
      <c r="F5" s="202"/>
      <c r="G5" s="203"/>
      <c r="H5" s="28"/>
    </row>
    <row r="6" spans="1:11" ht="14.25" customHeight="1" x14ac:dyDescent="0.2">
      <c r="A6" s="26"/>
      <c r="B6" s="27"/>
      <c r="C6" s="204"/>
      <c r="D6" s="202"/>
      <c r="E6" s="205"/>
      <c r="F6" s="206" t="s">
        <v>53</v>
      </c>
      <c r="G6" s="207">
        <f ca="1">TODAY()</f>
        <v>45974</v>
      </c>
      <c r="H6" s="28"/>
    </row>
    <row r="7" spans="1:11" ht="14.25" customHeight="1" x14ac:dyDescent="0.2">
      <c r="A7" s="26"/>
      <c r="B7" s="27"/>
      <c r="C7" s="204"/>
      <c r="D7" s="202"/>
      <c r="E7" s="205"/>
      <c r="F7" s="206"/>
      <c r="G7" s="203"/>
      <c r="H7" s="28"/>
    </row>
    <row r="8" spans="1:11" ht="14.25" customHeight="1" x14ac:dyDescent="0.2">
      <c r="A8" s="26"/>
      <c r="B8" s="27"/>
      <c r="C8" s="208"/>
      <c r="D8" s="209"/>
      <c r="E8" s="205"/>
      <c r="F8" s="206"/>
      <c r="G8" s="203"/>
      <c r="H8" s="28"/>
    </row>
    <row r="9" spans="1:11" ht="14.25" customHeight="1" x14ac:dyDescent="0.2">
      <c r="A9" s="26"/>
      <c r="B9" s="27"/>
      <c r="C9" s="210"/>
      <c r="D9" s="209"/>
      <c r="E9" s="205"/>
      <c r="F9" s="206"/>
      <c r="G9" s="203"/>
      <c r="H9" s="28"/>
    </row>
    <row r="10" spans="1:11" ht="14.25" customHeight="1" thickBot="1" x14ac:dyDescent="0.25">
      <c r="A10" s="26"/>
      <c r="B10" s="27"/>
      <c r="C10" s="211"/>
      <c r="D10" s="212"/>
      <c r="E10" s="205"/>
      <c r="F10" s="202"/>
      <c r="G10" s="203"/>
      <c r="H10" s="28"/>
    </row>
    <row r="11" spans="1:11" ht="14.25" customHeight="1" thickBot="1" x14ac:dyDescent="0.25">
      <c r="A11" s="26"/>
      <c r="B11" s="27"/>
      <c r="C11" s="213" t="s">
        <v>54</v>
      </c>
      <c r="D11" s="44" t="s">
        <v>55</v>
      </c>
      <c r="E11" s="44" t="s">
        <v>56</v>
      </c>
      <c r="F11" s="44" t="s">
        <v>57</v>
      </c>
      <c r="G11" s="214" t="s">
        <v>58</v>
      </c>
      <c r="H11" s="28"/>
    </row>
    <row r="12" spans="1:11" ht="14.25" customHeight="1" x14ac:dyDescent="0.2">
      <c r="A12" s="26"/>
      <c r="B12" s="27"/>
      <c r="C12" s="215">
        <v>1</v>
      </c>
      <c r="D12" s="216" t="s">
        <v>14</v>
      </c>
      <c r="E12" s="217">
        <v>1</v>
      </c>
      <c r="F12" s="218">
        <v>3539</v>
      </c>
      <c r="G12" s="219">
        <f>+Table_2161817[[#This Row],[Cantidad]]*Table_2161817[[#This Row],[Subtotal]]</f>
        <v>3539</v>
      </c>
      <c r="H12" s="28"/>
      <c r="I12" s="228" t="s">
        <v>220</v>
      </c>
      <c r="K12" s="72"/>
    </row>
    <row r="13" spans="1:11" ht="14.25" customHeight="1" x14ac:dyDescent="0.2">
      <c r="A13" s="26"/>
      <c r="B13" s="27"/>
      <c r="C13" s="221"/>
      <c r="D13" s="222"/>
      <c r="E13" s="222"/>
      <c r="F13" s="223" t="s">
        <v>57</v>
      </c>
      <c r="G13" s="224">
        <f>SUBTOTAL(109,G12:G12)</f>
        <v>3539</v>
      </c>
      <c r="H13" s="28"/>
    </row>
    <row r="14" spans="1:11" ht="14.25" customHeight="1" thickBot="1" x14ac:dyDescent="0.25">
      <c r="A14" s="26"/>
      <c r="B14" s="27"/>
      <c r="C14" s="288"/>
      <c r="D14" s="289"/>
      <c r="E14" s="225"/>
      <c r="F14" s="226"/>
      <c r="G14" s="227"/>
      <c r="H14" s="28"/>
    </row>
    <row r="15" spans="1:11" ht="14.25" customHeight="1" thickBot="1" x14ac:dyDescent="0.25">
      <c r="A15" s="26"/>
      <c r="B15" s="66"/>
      <c r="C15" s="290"/>
      <c r="D15" s="291"/>
      <c r="E15" s="67"/>
      <c r="F15" s="68" t="e">
        <f>'Calculadora Conec Septiembre'!Saldo_pendiente</f>
        <v>#REF!</v>
      </c>
      <c r="G15" s="69"/>
      <c r="H15" s="70"/>
    </row>
    <row r="16" spans="1:11" ht="14.25" customHeight="1" x14ac:dyDescent="0.2"/>
    <row r="17" spans="4:4" ht="14.25" customHeight="1" x14ac:dyDescent="0.2">
      <c r="D17" s="200" t="s">
        <v>218</v>
      </c>
    </row>
    <row r="18" spans="4:4" ht="14.25" customHeight="1" x14ac:dyDescent="0.2"/>
    <row r="19" spans="4:4" ht="14.25" customHeight="1" x14ac:dyDescent="0.2"/>
    <row r="20" spans="4:4" ht="14.25" customHeight="1" x14ac:dyDescent="0.2"/>
    <row r="21" spans="4:4" ht="14.25" customHeight="1" x14ac:dyDescent="0.2"/>
    <row r="22" spans="4:4" ht="14.25" customHeight="1" x14ac:dyDescent="0.2"/>
    <row r="23" spans="4:4" ht="14.25" customHeight="1" x14ac:dyDescent="0.2"/>
    <row r="24" spans="4:4" ht="14.25" customHeight="1" x14ac:dyDescent="0.2"/>
    <row r="25" spans="4:4" ht="14.25" customHeight="1" x14ac:dyDescent="0.2"/>
    <row r="26" spans="4:4" ht="14.25" customHeight="1" x14ac:dyDescent="0.2"/>
    <row r="27" spans="4:4" ht="14.25" customHeight="1" x14ac:dyDescent="0.2"/>
    <row r="28" spans="4:4" ht="14.25" customHeight="1" x14ac:dyDescent="0.2"/>
    <row r="29" spans="4:4" ht="14.25" customHeight="1" x14ac:dyDescent="0.2"/>
    <row r="30" spans="4:4" ht="14.25" customHeight="1" x14ac:dyDescent="0.2"/>
    <row r="31" spans="4:4" ht="14.25" customHeight="1" x14ac:dyDescent="0.2"/>
    <row r="32" spans="4:4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</sheetData>
  <mergeCells count="4">
    <mergeCell ref="C3:G3"/>
    <mergeCell ref="C4:G4"/>
    <mergeCell ref="C14:D14"/>
    <mergeCell ref="C15:D15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736A-733F-4DC8-81DA-5A983B7D7B8E}">
  <dimension ref="A1:K997"/>
  <sheetViews>
    <sheetView showGridLines="0" topLeftCell="A4" zoomScale="70" zoomScaleNormal="70" workbookViewId="0">
      <selection activeCell="F20" sqref="F20"/>
    </sheetView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3.5" customWidth="1"/>
    <col min="5" max="5" width="17.33203125" customWidth="1"/>
    <col min="6" max="6" width="13.33203125" customWidth="1"/>
    <col min="7" max="7" width="14.6640625" customWidth="1"/>
    <col min="8" max="8" width="5.33203125" customWidth="1"/>
    <col min="9" max="25" width="10.6640625" customWidth="1"/>
  </cols>
  <sheetData>
    <row r="1" spans="1:11" ht="14.25" customHeight="1" thickBot="1" x14ac:dyDescent="0.25"/>
    <row r="2" spans="1:11" ht="14.25" customHeight="1" thickBot="1" x14ac:dyDescent="0.25">
      <c r="B2" s="23"/>
      <c r="C2" s="24"/>
      <c r="D2" s="24"/>
      <c r="E2" s="24"/>
      <c r="F2" s="24"/>
      <c r="G2" s="24"/>
      <c r="H2" s="25"/>
    </row>
    <row r="3" spans="1:11" ht="14.25" customHeight="1" thickBot="1" x14ac:dyDescent="0.25">
      <c r="A3" s="26"/>
      <c r="B3" s="27"/>
      <c r="C3" s="282" t="s">
        <v>52</v>
      </c>
      <c r="D3" s="283"/>
      <c r="E3" s="283"/>
      <c r="F3" s="283"/>
      <c r="G3" s="284"/>
      <c r="H3" s="28"/>
    </row>
    <row r="4" spans="1:11" ht="14.25" customHeight="1" x14ac:dyDescent="0.2">
      <c r="A4" s="26"/>
      <c r="B4" s="27"/>
      <c r="C4" s="285"/>
      <c r="D4" s="286"/>
      <c r="E4" s="286"/>
      <c r="F4" s="286"/>
      <c r="G4" s="287"/>
      <c r="H4" s="28"/>
    </row>
    <row r="5" spans="1:11" ht="14.25" customHeight="1" x14ac:dyDescent="0.2">
      <c r="A5" s="26"/>
      <c r="B5" s="27"/>
      <c r="C5" s="201"/>
      <c r="D5" s="202"/>
      <c r="E5" s="202"/>
      <c r="F5" s="202"/>
      <c r="G5" s="203"/>
      <c r="H5" s="28"/>
    </row>
    <row r="6" spans="1:11" ht="14.25" customHeight="1" x14ac:dyDescent="0.2">
      <c r="A6" s="26"/>
      <c r="B6" s="27"/>
      <c r="C6" s="204"/>
      <c r="D6" s="202"/>
      <c r="E6" s="205"/>
      <c r="F6" s="206" t="s">
        <v>53</v>
      </c>
      <c r="G6" s="207">
        <f ca="1">TODAY()</f>
        <v>45974</v>
      </c>
      <c r="H6" s="28"/>
    </row>
    <row r="7" spans="1:11" ht="14.25" customHeight="1" x14ac:dyDescent="0.2">
      <c r="A7" s="26"/>
      <c r="B7" s="27"/>
      <c r="C7" s="204"/>
      <c r="D7" s="202"/>
      <c r="E7" s="205"/>
      <c r="F7" s="206"/>
      <c r="G7" s="203"/>
      <c r="H7" s="28"/>
    </row>
    <row r="8" spans="1:11" ht="14.25" customHeight="1" x14ac:dyDescent="0.2">
      <c r="A8" s="26"/>
      <c r="B8" s="27"/>
      <c r="C8" s="208"/>
      <c r="D8" s="209"/>
      <c r="E8" s="205"/>
      <c r="F8" s="206"/>
      <c r="G8" s="203"/>
      <c r="H8" s="28"/>
    </row>
    <row r="9" spans="1:11" ht="14.25" customHeight="1" x14ac:dyDescent="0.2">
      <c r="A9" s="26"/>
      <c r="B9" s="27"/>
      <c r="C9" s="210"/>
      <c r="D9" s="209"/>
      <c r="E9" s="205"/>
      <c r="F9" s="206"/>
      <c r="G9" s="203"/>
      <c r="H9" s="28"/>
    </row>
    <row r="10" spans="1:11" ht="14.25" customHeight="1" thickBot="1" x14ac:dyDescent="0.25">
      <c r="A10" s="26"/>
      <c r="B10" s="27"/>
      <c r="C10" s="211"/>
      <c r="D10" s="212"/>
      <c r="E10" s="205"/>
      <c r="F10" s="202"/>
      <c r="G10" s="203"/>
      <c r="H10" s="28"/>
    </row>
    <row r="11" spans="1:11" ht="14.25" customHeight="1" thickBot="1" x14ac:dyDescent="0.25">
      <c r="A11" s="26"/>
      <c r="B11" s="27"/>
      <c r="C11" s="213" t="s">
        <v>54</v>
      </c>
      <c r="D11" s="44" t="s">
        <v>55</v>
      </c>
      <c r="E11" s="44" t="s">
        <v>56</v>
      </c>
      <c r="F11" s="44" t="s">
        <v>57</v>
      </c>
      <c r="G11" s="214" t="s">
        <v>58</v>
      </c>
      <c r="H11" s="28"/>
    </row>
    <row r="12" spans="1:11" ht="14.25" customHeight="1" x14ac:dyDescent="0.2">
      <c r="A12" s="26"/>
      <c r="B12" s="27"/>
      <c r="C12" s="215">
        <v>1</v>
      </c>
      <c r="D12" s="216" t="s">
        <v>10</v>
      </c>
      <c r="E12" s="217">
        <v>2</v>
      </c>
      <c r="F12" s="218">
        <v>3150</v>
      </c>
      <c r="G12" s="219">
        <f>+Table_21618[[#This Row],[Cantidad]]*Table_21618[[#This Row],[Subtotal]]</f>
        <v>6300</v>
      </c>
      <c r="H12" s="28"/>
      <c r="K12" s="72"/>
    </row>
    <row r="13" spans="1:11" ht="14" customHeight="1" x14ac:dyDescent="0.2">
      <c r="A13" s="26"/>
      <c r="B13" s="27"/>
      <c r="C13" s="215">
        <v>2</v>
      </c>
      <c r="D13" s="216" t="s">
        <v>12</v>
      </c>
      <c r="E13" s="220">
        <v>47</v>
      </c>
      <c r="F13" s="218">
        <v>12.5</v>
      </c>
      <c r="G13" s="219">
        <f>+Table_21618[[#This Row],[Cantidad]]*Table_21618[[#This Row],[Subtotal]]</f>
        <v>587.5</v>
      </c>
      <c r="H13" s="28"/>
    </row>
    <row r="14" spans="1:11" ht="14" customHeight="1" x14ac:dyDescent="0.2">
      <c r="A14" s="26"/>
      <c r="B14" s="27"/>
      <c r="C14" s="215">
        <v>3</v>
      </c>
      <c r="D14" s="216" t="s">
        <v>216</v>
      </c>
      <c r="E14" s="220">
        <v>7</v>
      </c>
      <c r="F14" s="218">
        <v>1500</v>
      </c>
      <c r="G14" s="219">
        <f>+Table_21618[[#This Row],[Cantidad]]*Table_21618[[#This Row],[Subtotal]]</f>
        <v>10500</v>
      </c>
      <c r="H14" s="28"/>
    </row>
    <row r="15" spans="1:11" ht="14" customHeight="1" x14ac:dyDescent="0.2">
      <c r="A15" s="26"/>
      <c r="B15" s="27"/>
      <c r="C15" s="215">
        <v>4</v>
      </c>
      <c r="D15" s="216" t="s">
        <v>62</v>
      </c>
      <c r="E15" s="220">
        <v>1</v>
      </c>
      <c r="F15" s="218">
        <v>500</v>
      </c>
      <c r="G15" s="219">
        <f>+Table_21618[[#This Row],[Cantidad]]*Table_21618[[#This Row],[Subtotal]]</f>
        <v>500</v>
      </c>
      <c r="H15" s="28"/>
    </row>
    <row r="16" spans="1:11" ht="14" customHeight="1" x14ac:dyDescent="0.2">
      <c r="A16" s="26"/>
      <c r="B16" s="27"/>
      <c r="C16" s="215">
        <v>5</v>
      </c>
      <c r="D16" s="216" t="s">
        <v>20</v>
      </c>
      <c r="E16" s="220">
        <v>1</v>
      </c>
      <c r="F16" s="218">
        <v>105</v>
      </c>
      <c r="G16" s="219">
        <f>+Table_21618[[#This Row],[Cantidad]]*Table_21618[[#This Row],[Subtotal]]</f>
        <v>105</v>
      </c>
      <c r="H16" s="28"/>
    </row>
    <row r="17" spans="1:8" ht="14" customHeight="1" x14ac:dyDescent="0.2">
      <c r="A17" s="26"/>
      <c r="B17" s="27"/>
      <c r="C17" s="215">
        <v>6</v>
      </c>
      <c r="D17" s="216" t="s">
        <v>22</v>
      </c>
      <c r="E17" s="220">
        <v>1</v>
      </c>
      <c r="F17" s="218">
        <v>87.5</v>
      </c>
      <c r="G17" s="219">
        <f>+Table_21618[[#This Row],[Cantidad]]*Table_21618[[#This Row],[Subtotal]]</f>
        <v>87.5</v>
      </c>
      <c r="H17" s="28"/>
    </row>
    <row r="18" spans="1:8" ht="14" customHeight="1" x14ac:dyDescent="0.2">
      <c r="A18" s="26"/>
      <c r="B18" s="27"/>
      <c r="C18" s="215">
        <v>7</v>
      </c>
      <c r="D18" s="216" t="s">
        <v>24</v>
      </c>
      <c r="E18" s="220">
        <v>1</v>
      </c>
      <c r="F18" s="218">
        <v>350</v>
      </c>
      <c r="G18" s="219">
        <f>+Table_21618[[#This Row],[Cantidad]]*Table_21618[[#This Row],[Subtotal]]</f>
        <v>350</v>
      </c>
      <c r="H18" s="28"/>
    </row>
    <row r="19" spans="1:8" ht="14" customHeight="1" x14ac:dyDescent="0.2">
      <c r="A19" s="26"/>
      <c r="B19" s="27"/>
      <c r="C19" s="215">
        <v>8</v>
      </c>
      <c r="D19" s="216" t="s">
        <v>217</v>
      </c>
      <c r="E19" s="220">
        <v>1</v>
      </c>
      <c r="F19" s="218">
        <f>23610+1450</f>
        <v>25060</v>
      </c>
      <c r="G19" s="219">
        <f>+Table_21618[[#This Row],[Cantidad]]*Table_21618[[#This Row],[Subtotal]]</f>
        <v>25060</v>
      </c>
      <c r="H19" s="28"/>
    </row>
    <row r="20" spans="1:8" ht="14.25" customHeight="1" x14ac:dyDescent="0.2">
      <c r="A20" s="26"/>
      <c r="B20" s="27"/>
      <c r="C20" s="221"/>
      <c r="D20" s="222"/>
      <c r="E20" s="222"/>
      <c r="F20" s="223" t="s">
        <v>57</v>
      </c>
      <c r="G20" s="224">
        <f>SUBTOTAL(109,G12:G19)</f>
        <v>43490</v>
      </c>
      <c r="H20" s="28"/>
    </row>
    <row r="21" spans="1:8" ht="14.25" customHeight="1" thickBot="1" x14ac:dyDescent="0.25">
      <c r="A21" s="26"/>
      <c r="B21" s="27"/>
      <c r="C21" s="288"/>
      <c r="D21" s="289"/>
      <c r="E21" s="225"/>
      <c r="F21" s="226"/>
      <c r="G21" s="227"/>
      <c r="H21" s="28"/>
    </row>
    <row r="22" spans="1:8" ht="14.25" customHeight="1" thickBot="1" x14ac:dyDescent="0.25">
      <c r="A22" s="26"/>
      <c r="B22" s="66"/>
      <c r="C22" s="290"/>
      <c r="D22" s="291"/>
      <c r="E22" s="67"/>
      <c r="F22" s="68" t="e">
        <f>'Calculadora Corp Septiembre'!Saldo_pendiente</f>
        <v>#REF!</v>
      </c>
      <c r="G22" s="69"/>
      <c r="H22" s="70"/>
    </row>
    <row r="23" spans="1:8" ht="14.25" customHeight="1" x14ac:dyDescent="0.2"/>
    <row r="24" spans="1:8" ht="14.25" customHeight="1" x14ac:dyDescent="0.2">
      <c r="D24" s="200" t="s">
        <v>218</v>
      </c>
    </row>
    <row r="25" spans="1:8" ht="14.25" customHeight="1" x14ac:dyDescent="0.2"/>
    <row r="26" spans="1:8" ht="14.25" customHeight="1" x14ac:dyDescent="0.2"/>
    <row r="27" spans="1:8" ht="14.25" customHeight="1" x14ac:dyDescent="0.2"/>
    <row r="28" spans="1:8" ht="14.25" customHeight="1" x14ac:dyDescent="0.2"/>
    <row r="29" spans="1:8" ht="14.25" customHeight="1" x14ac:dyDescent="0.2"/>
    <row r="30" spans="1:8" ht="14.25" customHeight="1" x14ac:dyDescent="0.2"/>
    <row r="31" spans="1:8" ht="14.25" customHeight="1" x14ac:dyDescent="0.2"/>
    <row r="32" spans="1:8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</sheetData>
  <mergeCells count="4">
    <mergeCell ref="C3:G3"/>
    <mergeCell ref="C4:G4"/>
    <mergeCell ref="C21:D21"/>
    <mergeCell ref="C22:D22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5739-90CE-4B7D-8AEF-7CB11B1227FB}">
  <dimension ref="A1:N993"/>
  <sheetViews>
    <sheetView showGridLines="0" zoomScale="125" zoomScaleNormal="70" workbookViewId="0">
      <selection activeCell="G14" sqref="G14"/>
    </sheetView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3.5" customWidth="1"/>
    <col min="5" max="5" width="9.83203125" bestFit="1" customWidth="1"/>
    <col min="6" max="6" width="13.33203125" customWidth="1"/>
    <col min="7" max="7" width="14.6640625" customWidth="1"/>
    <col min="8" max="8" width="19.6640625" bestFit="1" customWidth="1"/>
    <col min="9" max="9" width="14.6640625" customWidth="1"/>
    <col min="10" max="10" width="16" customWidth="1"/>
    <col min="11" max="11" width="5.33203125" customWidth="1"/>
    <col min="12" max="28" width="10.6640625" customWidth="1"/>
  </cols>
  <sheetData>
    <row r="1" spans="1:14" ht="14.25" customHeight="1" thickBot="1" x14ac:dyDescent="0.25"/>
    <row r="2" spans="1:14" ht="14.25" customHeight="1" thickBot="1" x14ac:dyDescent="0.25">
      <c r="B2" s="23"/>
      <c r="C2" s="24"/>
      <c r="D2" s="24"/>
      <c r="E2" s="24"/>
      <c r="F2" s="24"/>
      <c r="G2" s="24"/>
      <c r="H2" s="24"/>
      <c r="I2" s="24"/>
      <c r="J2" s="24"/>
      <c r="K2" s="25"/>
    </row>
    <row r="3" spans="1:14" ht="14.25" customHeight="1" thickBot="1" x14ac:dyDescent="0.25">
      <c r="A3" s="26"/>
      <c r="B3" s="27"/>
      <c r="C3" s="293" t="s">
        <v>52</v>
      </c>
      <c r="D3" s="294"/>
      <c r="E3" s="294"/>
      <c r="F3" s="294"/>
      <c r="G3" s="294"/>
      <c r="H3" s="295"/>
      <c r="I3" s="295"/>
      <c r="J3" s="296"/>
      <c r="K3" s="28"/>
    </row>
    <row r="4" spans="1:14" ht="14.25" customHeight="1" x14ac:dyDescent="0.2">
      <c r="A4" s="26"/>
      <c r="B4" s="27"/>
      <c r="C4" s="297"/>
      <c r="D4" s="286"/>
      <c r="E4" s="286"/>
      <c r="F4" s="286"/>
      <c r="G4" s="286"/>
      <c r="H4" s="29"/>
      <c r="I4" s="29"/>
      <c r="J4" s="30"/>
      <c r="K4" s="28"/>
    </row>
    <row r="5" spans="1:14" ht="14.25" customHeight="1" x14ac:dyDescent="0.2">
      <c r="A5" s="26"/>
      <c r="B5" s="27"/>
      <c r="C5" s="31"/>
      <c r="D5" s="26"/>
      <c r="E5" s="26"/>
      <c r="F5" s="26"/>
      <c r="G5" s="26"/>
      <c r="H5" s="26"/>
      <c r="I5" s="26"/>
      <c r="J5" s="32"/>
      <c r="K5" s="28"/>
    </row>
    <row r="6" spans="1:14" ht="14.25" customHeight="1" x14ac:dyDescent="0.2">
      <c r="A6" s="26"/>
      <c r="B6" s="27"/>
      <c r="C6" s="33"/>
      <c r="D6" s="26"/>
      <c r="E6" s="34"/>
      <c r="F6" s="35" t="s">
        <v>53</v>
      </c>
      <c r="G6" s="36">
        <f ca="1">TODAY()</f>
        <v>45974</v>
      </c>
      <c r="H6" s="36"/>
      <c r="I6" s="36"/>
      <c r="J6" s="37"/>
      <c r="K6" s="28"/>
    </row>
    <row r="7" spans="1:14" ht="14.25" customHeight="1" x14ac:dyDescent="0.2">
      <c r="A7" s="26"/>
      <c r="B7" s="27"/>
      <c r="C7" s="33"/>
      <c r="D7" s="26"/>
      <c r="E7" s="34"/>
      <c r="F7" s="35"/>
      <c r="G7" s="26"/>
      <c r="H7" s="26"/>
      <c r="I7" s="26"/>
      <c r="J7" s="32"/>
      <c r="K7" s="28"/>
    </row>
    <row r="8" spans="1:14" ht="14.25" customHeight="1" x14ac:dyDescent="0.2">
      <c r="A8" s="26"/>
      <c r="B8" s="27"/>
      <c r="C8" s="38"/>
      <c r="D8" s="39"/>
      <c r="E8" s="34"/>
      <c r="F8" s="35"/>
      <c r="G8" s="26"/>
      <c r="H8" s="26"/>
      <c r="I8" s="26"/>
      <c r="J8" s="32"/>
      <c r="K8" s="28"/>
    </row>
    <row r="9" spans="1:14" ht="14.25" customHeight="1" x14ac:dyDescent="0.2">
      <c r="A9" s="26"/>
      <c r="B9" s="27"/>
      <c r="C9" s="40"/>
      <c r="D9" s="39"/>
      <c r="E9" s="34"/>
      <c r="F9" s="35"/>
      <c r="G9" s="26"/>
      <c r="H9" s="26"/>
      <c r="I9" s="26"/>
      <c r="J9" s="32"/>
      <c r="K9" s="28"/>
    </row>
    <row r="10" spans="1:14" ht="14.25" customHeight="1" thickBot="1" x14ac:dyDescent="0.25">
      <c r="A10" s="26"/>
      <c r="B10" s="27"/>
      <c r="C10" s="41"/>
      <c r="D10" s="42"/>
      <c r="E10" s="34"/>
      <c r="F10" s="26"/>
      <c r="G10" s="26"/>
      <c r="H10" s="26"/>
      <c r="I10" s="26"/>
      <c r="J10" s="32"/>
      <c r="K10" s="28"/>
    </row>
    <row r="11" spans="1:14" ht="14.25" customHeight="1" thickBot="1" x14ac:dyDescent="0.25">
      <c r="A11" s="26"/>
      <c r="B11" s="27"/>
      <c r="C11" s="43" t="s">
        <v>54</v>
      </c>
      <c r="D11" s="44" t="s">
        <v>55</v>
      </c>
      <c r="E11" s="44" t="s">
        <v>56</v>
      </c>
      <c r="F11" s="44" t="s">
        <v>57</v>
      </c>
      <c r="G11" s="44" t="s">
        <v>58</v>
      </c>
      <c r="H11" s="194" t="s">
        <v>4</v>
      </c>
      <c r="I11" s="44" t="s">
        <v>214</v>
      </c>
      <c r="J11" s="44" t="s">
        <v>215</v>
      </c>
      <c r="K11" s="28"/>
    </row>
    <row r="12" spans="1:14" ht="14.25" customHeight="1" x14ac:dyDescent="0.2">
      <c r="A12" s="26"/>
      <c r="B12" s="27"/>
      <c r="C12" s="46">
        <v>1</v>
      </c>
      <c r="D12" s="47" t="s">
        <v>211</v>
      </c>
      <c r="E12" s="48">
        <v>1</v>
      </c>
      <c r="F12" s="49">
        <f>+'Servicios de Cabina INC'!S61-3150</f>
        <v>48079.809146708751</v>
      </c>
      <c r="G12" s="50">
        <f>+'Calculadora Cabina Septiembre'!$F12</f>
        <v>48079.809146708751</v>
      </c>
      <c r="H12" s="50">
        <f>40773.08287925</f>
        <v>40773.082879250003</v>
      </c>
      <c r="I12" s="50">
        <f>+Table_216[[#This Row],[Subtotal]]-Table_216[[#This Row],[Cabina Mes Anterior]]</f>
        <v>7306.7262674587473</v>
      </c>
      <c r="J12" s="195">
        <f>+Table_216[[#This Row],[Variación]]/Table_216[[#This Row],[Total]]</f>
        <v>0.15197078351878027</v>
      </c>
      <c r="K12" s="28"/>
      <c r="N12" s="72"/>
    </row>
    <row r="13" spans="1:14" ht="14" customHeight="1" x14ac:dyDescent="0.2">
      <c r="A13" s="26"/>
      <c r="B13" s="27"/>
      <c r="C13" s="46">
        <v>2</v>
      </c>
      <c r="D13" s="47" t="s">
        <v>212</v>
      </c>
      <c r="E13" s="52">
        <v>1</v>
      </c>
      <c r="F13" s="49">
        <v>500</v>
      </c>
      <c r="G13" s="50">
        <f>'Calculadora Cabina Septiembre'!$E13*'Calculadora Cabina Septiembre'!$F13</f>
        <v>500</v>
      </c>
      <c r="H13" s="50">
        <v>500</v>
      </c>
      <c r="I13" s="50">
        <f>+Table_216[[#This Row],[Total]]-Table_216[[#This Row],[Cabina Mes Anterior]]</f>
        <v>0</v>
      </c>
      <c r="J13" s="71">
        <f>+Table_216[[#This Row],[Variación]]/Table_216[[#This Row],[Total]]</f>
        <v>0</v>
      </c>
      <c r="K13" s="28"/>
    </row>
    <row r="14" spans="1:14" ht="14" customHeight="1" x14ac:dyDescent="0.2">
      <c r="A14" s="26"/>
      <c r="B14" s="27"/>
      <c r="C14" s="193">
        <v>4</v>
      </c>
      <c r="D14" s="47" t="s">
        <v>213</v>
      </c>
      <c r="E14" s="52">
        <v>1</v>
      </c>
      <c r="F14" s="49">
        <f>+'Servicios de Cabina MCS'!S61-3150</f>
        <v>185343.95349557372</v>
      </c>
      <c r="G14" s="50">
        <v>165767.4312815</v>
      </c>
      <c r="H14" s="50">
        <f>+'Calculadora MCS Agosto'!G12-3150</f>
        <v>184096.57105876249</v>
      </c>
      <c r="I14" s="50">
        <f>+Table_216[[#This Row],[Subtotal]]-Table_216[[#This Row],[Cabina Mes Anterior]]</f>
        <v>1247.3824368112255</v>
      </c>
      <c r="J14" s="195">
        <f>+Table_216[[#This Row],[Variación]]/Table_216[[#This Row],[Total]]</f>
        <v>7.5248945294505267E-3</v>
      </c>
      <c r="K14" s="28"/>
    </row>
    <row r="15" spans="1:14" ht="14" customHeight="1" x14ac:dyDescent="0.2">
      <c r="A15" s="26"/>
      <c r="B15" s="27"/>
      <c r="C15" s="193"/>
      <c r="D15" s="47"/>
      <c r="E15" s="52"/>
      <c r="F15" s="49"/>
      <c r="G15" s="50"/>
      <c r="H15" s="50"/>
      <c r="I15" s="50"/>
      <c r="J15" s="195"/>
      <c r="K15" s="28"/>
    </row>
    <row r="16" spans="1:14" ht="14.25" customHeight="1" x14ac:dyDescent="0.2">
      <c r="A16" s="26"/>
      <c r="B16" s="27"/>
      <c r="C16" s="58"/>
      <c r="D16" s="59"/>
      <c r="E16" s="59"/>
      <c r="F16" s="60" t="s">
        <v>57</v>
      </c>
      <c r="G16" s="199">
        <f>SUBTOTAL(109,G12:G14)</f>
        <v>214347.24042820875</v>
      </c>
      <c r="H16" s="50"/>
      <c r="I16" s="50"/>
      <c r="J16" s="187"/>
      <c r="K16" s="28"/>
    </row>
    <row r="17" spans="1:11" ht="14.25" customHeight="1" thickBot="1" x14ac:dyDescent="0.25">
      <c r="A17" s="26"/>
      <c r="B17" s="27"/>
      <c r="C17" s="298"/>
      <c r="D17" s="299"/>
      <c r="E17" s="62"/>
      <c r="F17" s="63"/>
      <c r="G17" s="64"/>
      <c r="H17" s="64"/>
      <c r="I17" s="64"/>
      <c r="J17" s="65"/>
      <c r="K17" s="28"/>
    </row>
    <row r="18" spans="1:11" ht="14.25" customHeight="1" thickBot="1" x14ac:dyDescent="0.25">
      <c r="A18" s="26"/>
      <c r="B18" s="66"/>
      <c r="C18" s="290"/>
      <c r="D18" s="291"/>
      <c r="E18" s="67"/>
      <c r="F18" s="68" t="e">
        <f>'Calculadora Cabina Septiembre'!Saldo_pendiente</f>
        <v>#REF!</v>
      </c>
      <c r="G18" s="69"/>
      <c r="H18" s="69"/>
      <c r="I18" s="69"/>
      <c r="J18" s="69"/>
      <c r="K18" s="70"/>
    </row>
    <row r="19" spans="1:11" ht="14.25" customHeight="1" x14ac:dyDescent="0.2"/>
    <row r="20" spans="1:11" ht="14.25" customHeight="1" x14ac:dyDescent="0.2">
      <c r="E20" s="196" t="s">
        <v>9</v>
      </c>
      <c r="F20" s="197">
        <v>0.76</v>
      </c>
      <c r="G20" s="198">
        <f>+G16*F20</f>
        <v>162903.90272543865</v>
      </c>
      <c r="H20" s="229">
        <f>+G20+3539</f>
        <v>166442.90272543865</v>
      </c>
      <c r="I20" s="200" t="s">
        <v>219</v>
      </c>
    </row>
    <row r="21" spans="1:11" ht="14.25" customHeight="1" x14ac:dyDescent="0.2">
      <c r="E21" s="196" t="s">
        <v>11</v>
      </c>
      <c r="F21" s="197">
        <v>0.24</v>
      </c>
      <c r="G21" s="198">
        <v>49994.474314020001</v>
      </c>
    </row>
    <row r="22" spans="1:11" ht="14.25" customHeight="1" x14ac:dyDescent="0.2"/>
    <row r="23" spans="1:11" ht="14.25" customHeight="1" x14ac:dyDescent="0.2"/>
    <row r="24" spans="1:11" ht="14.25" customHeight="1" x14ac:dyDescent="0.2"/>
    <row r="25" spans="1:11" ht="14.25" customHeight="1" x14ac:dyDescent="0.2"/>
    <row r="26" spans="1:11" ht="14.25" customHeight="1" x14ac:dyDescent="0.2"/>
    <row r="27" spans="1:11" ht="14.25" customHeight="1" x14ac:dyDescent="0.2"/>
    <row r="28" spans="1:11" ht="14.25" customHeight="1" x14ac:dyDescent="0.2"/>
    <row r="29" spans="1:11" ht="14.25" customHeight="1" x14ac:dyDescent="0.2"/>
    <row r="30" spans="1:11" ht="14.25" customHeight="1" x14ac:dyDescent="0.2"/>
    <row r="31" spans="1:11" ht="14.25" customHeight="1" x14ac:dyDescent="0.2"/>
    <row r="32" spans="1:11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</sheetData>
  <mergeCells count="4">
    <mergeCell ref="C3:J3"/>
    <mergeCell ref="C4:G4"/>
    <mergeCell ref="C17:D17"/>
    <mergeCell ref="C18:D18"/>
  </mergeCells>
  <pageMargins left="0.7" right="0.7" top="0.75" bottom="0.75" header="0" footer="0"/>
  <pageSetup orientation="landscape"/>
  <drawing r:id="rId1"/>
  <legacy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V47" sqref="V47"/>
    </sheetView>
  </sheetViews>
  <sheetFormatPr baseColWidth="10" defaultColWidth="14.5" defaultRowHeight="15" customHeight="1" x14ac:dyDescent="0.2"/>
  <cols>
    <col min="1" max="1" width="10.6640625" customWidth="1"/>
    <col min="2" max="2" width="30" customWidth="1"/>
    <col min="3" max="3" width="11.6640625" customWidth="1"/>
    <col min="4" max="4" width="13.6640625" customWidth="1"/>
    <col min="5" max="5" width="12.5" customWidth="1"/>
    <col min="6" max="6" width="18.5" customWidth="1"/>
    <col min="7" max="7" width="14" customWidth="1"/>
    <col min="8" max="8" width="11.33203125" hidden="1" customWidth="1"/>
    <col min="9" max="9" width="14.6640625" hidden="1" customWidth="1"/>
    <col min="10" max="10" width="11.33203125" hidden="1" customWidth="1"/>
    <col min="11" max="11" width="11.5" customWidth="1"/>
    <col min="12" max="12" width="10.6640625" customWidth="1"/>
    <col min="13" max="13" width="13.33203125" hidden="1" customWidth="1"/>
    <col min="14" max="14" width="10.6640625" hidden="1" customWidth="1"/>
    <col min="15" max="26" width="10.6640625" customWidth="1"/>
  </cols>
  <sheetData>
    <row r="1" spans="2:17" ht="14.25" customHeight="1" x14ac:dyDescent="0.2"/>
    <row r="2" spans="2:17" ht="14.25" customHeight="1" x14ac:dyDescent="0.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I2" s="2" t="s">
        <v>6</v>
      </c>
      <c r="J2" s="2" t="s">
        <v>7</v>
      </c>
    </row>
    <row r="3" spans="2:17" ht="14.25" customHeight="1" x14ac:dyDescent="0.2">
      <c r="B3" s="3" t="s">
        <v>8</v>
      </c>
      <c r="C3" s="4">
        <f>+'Calculadora MCS Agosto'!G12-C4</f>
        <v>184096.57105876249</v>
      </c>
      <c r="D3" s="4">
        <f>+'Calculadora INC Agosto'!G12-D4</f>
        <v>46456.252170931257</v>
      </c>
      <c r="E3" s="4">
        <f t="shared" ref="E3:E13" si="0">SUM(C3:D3)</f>
        <v>230552.82322969375</v>
      </c>
      <c r="F3" s="5">
        <f>+'Consolidado Julio'!G3</f>
        <v>228463.77082253122</v>
      </c>
      <c r="G3" s="6">
        <f t="shared" ref="G3:G15" si="1">+E3</f>
        <v>230552.82322969375</v>
      </c>
      <c r="H3" s="4">
        <f>+E3-6300</f>
        <v>224252.82322969375</v>
      </c>
      <c r="I3" s="4">
        <f>+H3*C37</f>
        <v>179402.93134222471</v>
      </c>
      <c r="J3" s="4">
        <f>+H3*C39</f>
        <v>44849.891887469064</v>
      </c>
      <c r="K3" s="4">
        <f>+G3*80%</f>
        <v>184442.258583755</v>
      </c>
      <c r="L3" s="3" t="s">
        <v>9</v>
      </c>
    </row>
    <row r="4" spans="2:17" ht="14.25" customHeight="1" x14ac:dyDescent="0.2">
      <c r="B4" s="3" t="s">
        <v>10</v>
      </c>
      <c r="C4" s="4">
        <v>3150</v>
      </c>
      <c r="D4" s="4">
        <v>3150</v>
      </c>
      <c r="E4" s="4">
        <f t="shared" si="0"/>
        <v>6300</v>
      </c>
      <c r="F4" s="5">
        <f>+E3-F3</f>
        <v>2089.0524071625259</v>
      </c>
      <c r="G4" s="6">
        <f t="shared" si="1"/>
        <v>6300</v>
      </c>
      <c r="H4" s="4"/>
      <c r="I4" s="4"/>
      <c r="J4" s="4"/>
      <c r="K4" s="4">
        <f>+G3*20%</f>
        <v>46110.56464593875</v>
      </c>
      <c r="L4" s="3" t="s">
        <v>11</v>
      </c>
    </row>
    <row r="5" spans="2:17" ht="14.25" customHeight="1" x14ac:dyDescent="0.2">
      <c r="B5" s="3" t="s">
        <v>12</v>
      </c>
      <c r="C5" s="4">
        <f>'[3]Calculadora MCS Enero-24'!C15</f>
        <v>0</v>
      </c>
      <c r="D5" s="4">
        <f>+'Calculadora INC Agosto'!G13</f>
        <v>587.5</v>
      </c>
      <c r="E5" s="4">
        <f t="shared" si="0"/>
        <v>587.5</v>
      </c>
      <c r="F5" s="7">
        <f>+F4/F3</f>
        <v>9.1439110877027611E-3</v>
      </c>
      <c r="G5" s="6">
        <f t="shared" si="1"/>
        <v>587.5</v>
      </c>
      <c r="H5" s="4" t="e">
        <f>+E16-E3</f>
        <v>#REF!</v>
      </c>
    </row>
    <row r="6" spans="2:17" ht="14.25" customHeight="1" x14ac:dyDescent="0.2">
      <c r="B6" s="3" t="s">
        <v>13</v>
      </c>
      <c r="C6" s="4">
        <f>+'Calculadora MCS Agosto'!G13</f>
        <v>6000</v>
      </c>
      <c r="D6" s="4">
        <f>+'Calculadora INC Agosto'!G14+'Calculadora INC Agosto'!G15</f>
        <v>5000</v>
      </c>
      <c r="E6" s="4">
        <f t="shared" si="0"/>
        <v>11000</v>
      </c>
      <c r="G6" s="6">
        <f t="shared" si="1"/>
        <v>11000</v>
      </c>
    </row>
    <row r="7" spans="2:17" ht="14.25" customHeight="1" x14ac:dyDescent="0.2">
      <c r="B7" s="3" t="s">
        <v>14</v>
      </c>
      <c r="C7" s="4"/>
      <c r="D7" s="4">
        <f>+'Calculadora INC Agosto'!G19</f>
        <v>3539</v>
      </c>
      <c r="E7" s="4">
        <f t="shared" si="0"/>
        <v>3539</v>
      </c>
      <c r="G7" s="6">
        <f t="shared" si="1"/>
        <v>3539</v>
      </c>
      <c r="H7" s="3" t="s">
        <v>15</v>
      </c>
      <c r="I7" s="3">
        <v>3917</v>
      </c>
      <c r="J7" s="3">
        <v>7.7</v>
      </c>
    </row>
    <row r="8" spans="2:17" ht="14.25" customHeight="1" x14ac:dyDescent="0.2">
      <c r="B8" s="3" t="s">
        <v>16</v>
      </c>
      <c r="C8" s="4"/>
      <c r="D8" s="4">
        <f>+'Calculadora INC Agosto'!G20</f>
        <v>500</v>
      </c>
      <c r="E8" s="4">
        <f t="shared" si="0"/>
        <v>500</v>
      </c>
      <c r="G8" s="6">
        <f t="shared" si="1"/>
        <v>500</v>
      </c>
      <c r="M8" s="3" t="s">
        <v>17</v>
      </c>
    </row>
    <row r="9" spans="2:17" ht="14.25" customHeight="1" x14ac:dyDescent="0.2">
      <c r="B9" s="3" t="s">
        <v>18</v>
      </c>
      <c r="C9" s="4">
        <v>0</v>
      </c>
      <c r="D9" s="4">
        <f>+'Calculadora INC Agosto'!G21</f>
        <v>23610</v>
      </c>
      <c r="E9" s="4">
        <f t="shared" si="0"/>
        <v>23610</v>
      </c>
      <c r="G9" s="6">
        <f t="shared" si="1"/>
        <v>23610</v>
      </c>
      <c r="I9" s="4">
        <f t="shared" ref="I9:J9" si="2">+I3*I7</f>
        <v>702721282.06749415</v>
      </c>
      <c r="J9" s="4">
        <f t="shared" si="2"/>
        <v>345344.16753351182</v>
      </c>
      <c r="M9" s="4" t="s">
        <v>19</v>
      </c>
    </row>
    <row r="10" spans="2:17" ht="14.25" customHeight="1" x14ac:dyDescent="0.2">
      <c r="B10" s="3" t="s">
        <v>20</v>
      </c>
      <c r="C10" s="4"/>
      <c r="D10" s="4">
        <f>+'Calculadora INC Agosto'!G16</f>
        <v>105</v>
      </c>
      <c r="E10" s="4">
        <f t="shared" si="0"/>
        <v>105</v>
      </c>
      <c r="G10" s="6">
        <f t="shared" si="1"/>
        <v>105</v>
      </c>
      <c r="M10" s="4" t="s">
        <v>21</v>
      </c>
    </row>
    <row r="11" spans="2:17" ht="14.25" customHeight="1" x14ac:dyDescent="0.2">
      <c r="B11" s="3" t="s">
        <v>22</v>
      </c>
      <c r="C11" s="4"/>
      <c r="D11" s="4">
        <f>+'Calculadora INC Agosto'!G17</f>
        <v>87.5</v>
      </c>
      <c r="E11" s="4">
        <f t="shared" si="0"/>
        <v>87.5</v>
      </c>
      <c r="G11" s="6">
        <f t="shared" si="1"/>
        <v>87.5</v>
      </c>
      <c r="L11" s="8"/>
      <c r="M11" s="3" t="s">
        <v>23</v>
      </c>
      <c r="Q11" s="4"/>
    </row>
    <row r="12" spans="2:17" ht="14.25" customHeight="1" x14ac:dyDescent="0.2">
      <c r="B12" s="3" t="s">
        <v>24</v>
      </c>
      <c r="C12" s="4"/>
      <c r="D12" s="4">
        <f>+'Calculadora INC Agosto'!G18</f>
        <v>350</v>
      </c>
      <c r="E12" s="4">
        <f t="shared" si="0"/>
        <v>350</v>
      </c>
      <c r="G12" s="6">
        <f t="shared" si="1"/>
        <v>350</v>
      </c>
    </row>
    <row r="13" spans="2:17" ht="14.25" customHeight="1" x14ac:dyDescent="0.2">
      <c r="B13" s="3" t="s">
        <v>25</v>
      </c>
      <c r="C13" s="4">
        <f>+'[3]Calculadora MCS Enero-24'!C19</f>
        <v>0</v>
      </c>
      <c r="D13" s="4" t="e">
        <f>+#REF!</f>
        <v>#REF!</v>
      </c>
      <c r="E13" s="4" t="e">
        <f t="shared" si="0"/>
        <v>#REF!</v>
      </c>
      <c r="G13" s="6" t="e">
        <f t="shared" si="1"/>
        <v>#REF!</v>
      </c>
    </row>
    <row r="14" spans="2:17" ht="14.25" customHeight="1" x14ac:dyDescent="0.2">
      <c r="B14" s="3" t="s">
        <v>26</v>
      </c>
      <c r="C14" s="4"/>
      <c r="D14" s="4"/>
      <c r="E14" s="4">
        <v>929.3223999999999</v>
      </c>
      <c r="G14" s="6">
        <f t="shared" si="1"/>
        <v>929.3223999999999</v>
      </c>
    </row>
    <row r="15" spans="2:17" ht="14.25" customHeight="1" x14ac:dyDescent="0.2">
      <c r="B15" s="3" t="s">
        <v>27</v>
      </c>
      <c r="C15" s="4"/>
      <c r="D15" s="4"/>
      <c r="E15" s="4">
        <v>247</v>
      </c>
      <c r="G15" s="6">
        <f t="shared" si="1"/>
        <v>247</v>
      </c>
    </row>
    <row r="16" spans="2:17" ht="14.25" customHeight="1" x14ac:dyDescent="0.2">
      <c r="C16" s="9">
        <f t="shared" ref="C16:D16" si="3">SUM(C3:C13)</f>
        <v>193246.57105876249</v>
      </c>
      <c r="D16" s="9" t="e">
        <f t="shared" si="3"/>
        <v>#REF!</v>
      </c>
      <c r="E16" s="9" t="e">
        <f>SUM(E3:E15)</f>
        <v>#REF!</v>
      </c>
      <c r="G16" s="10" t="e">
        <f>SUM(G3:G15)</f>
        <v>#REF!</v>
      </c>
    </row>
    <row r="17" spans="2:14" ht="14.25" customHeight="1" x14ac:dyDescent="0.2">
      <c r="B17" s="1" t="s">
        <v>28</v>
      </c>
      <c r="C17" s="11"/>
      <c r="D17" s="11"/>
      <c r="E17" s="11"/>
    </row>
    <row r="18" spans="2:14" ht="14.25" customHeight="1" x14ac:dyDescent="0.2">
      <c r="C18" s="4"/>
      <c r="D18" s="4"/>
      <c r="E18" s="4"/>
    </row>
    <row r="19" spans="2:14" ht="14.25" customHeight="1" x14ac:dyDescent="0.2">
      <c r="C19" s="4"/>
      <c r="D19" s="4"/>
      <c r="E19" s="4"/>
      <c r="F19" s="4"/>
    </row>
    <row r="20" spans="2:14" ht="14.25" customHeight="1" x14ac:dyDescent="0.2">
      <c r="B20" s="1" t="s">
        <v>29</v>
      </c>
      <c r="C20" s="4"/>
      <c r="D20" s="4"/>
    </row>
    <row r="21" spans="2:14" ht="14.25" customHeight="1" x14ac:dyDescent="0.2">
      <c r="B21" s="3" t="s">
        <v>30</v>
      </c>
      <c r="C21" s="4">
        <f>+'Calculadora MCS Julio'!G14</f>
        <v>-19243</v>
      </c>
      <c r="D21" s="4"/>
      <c r="E21" s="4">
        <f t="shared" ref="E21:E31" si="4">SUM(C21:D21)</f>
        <v>-19243</v>
      </c>
      <c r="F21" s="4" t="s">
        <v>31</v>
      </c>
      <c r="G21" s="12">
        <f t="shared" ref="G21:G31" si="5">E21</f>
        <v>-19243</v>
      </c>
    </row>
    <row r="22" spans="2:14" ht="14.25" customHeight="1" x14ac:dyDescent="0.2">
      <c r="B22" s="3" t="s">
        <v>32</v>
      </c>
      <c r="C22" s="4">
        <f>+'Calculadora MCS Julio'!G15</f>
        <v>-2252</v>
      </c>
      <c r="D22" s="4"/>
      <c r="E22" s="4">
        <f t="shared" si="4"/>
        <v>-2252</v>
      </c>
      <c r="F22" s="4" t="s">
        <v>31</v>
      </c>
      <c r="G22" s="12">
        <f t="shared" si="5"/>
        <v>-2252</v>
      </c>
    </row>
    <row r="23" spans="2:14" ht="14.25" customHeight="1" x14ac:dyDescent="0.2">
      <c r="B23" s="3" t="s">
        <v>33</v>
      </c>
      <c r="C23" s="4">
        <f>+'Calculadora MCS Julio'!G16</f>
        <v>-187.5</v>
      </c>
      <c r="D23" s="4"/>
      <c r="E23" s="4">
        <f t="shared" si="4"/>
        <v>-187.5</v>
      </c>
      <c r="F23" s="4" t="s">
        <v>31</v>
      </c>
      <c r="G23" s="12">
        <f t="shared" si="5"/>
        <v>-187.5</v>
      </c>
    </row>
    <row r="24" spans="2:14" ht="14.25" customHeight="1" x14ac:dyDescent="0.2">
      <c r="B24" s="3" t="s">
        <v>34</v>
      </c>
      <c r="C24" s="4">
        <f>+'Calculadora MCS Julio'!G17</f>
        <v>-861.79</v>
      </c>
      <c r="D24" s="4"/>
      <c r="E24" s="4">
        <f t="shared" si="4"/>
        <v>-861.79</v>
      </c>
      <c r="F24" s="4" t="s">
        <v>31</v>
      </c>
      <c r="G24" s="12">
        <f t="shared" si="5"/>
        <v>-861.79</v>
      </c>
    </row>
    <row r="25" spans="2:14" ht="14.25" customHeight="1" x14ac:dyDescent="0.2">
      <c r="B25" s="13" t="s">
        <v>35</v>
      </c>
      <c r="C25" s="4">
        <f>'Calculadora MCS Julio'!F19</f>
        <v>-3679.38</v>
      </c>
      <c r="D25" s="4">
        <v>0</v>
      </c>
      <c r="E25" s="4">
        <f t="shared" si="4"/>
        <v>-3679.38</v>
      </c>
      <c r="F25" s="4" t="s">
        <v>31</v>
      </c>
      <c r="G25" s="12">
        <f t="shared" si="5"/>
        <v>-3679.38</v>
      </c>
      <c r="K25" s="14"/>
      <c r="N25" s="4">
        <f>+C3+C25</f>
        <v>180417.19105876249</v>
      </c>
    </row>
    <row r="26" spans="2:14" ht="14.25" customHeight="1" x14ac:dyDescent="0.2">
      <c r="B26" s="13" t="s">
        <v>36</v>
      </c>
      <c r="C26" s="4">
        <f>+'Calculadora MCS Julio'!F18</f>
        <v>-2995.63</v>
      </c>
      <c r="D26" s="4"/>
      <c r="E26" s="4">
        <f t="shared" si="4"/>
        <v>-2995.63</v>
      </c>
      <c r="F26" s="4" t="s">
        <v>31</v>
      </c>
      <c r="G26" s="12">
        <f t="shared" si="5"/>
        <v>-2995.63</v>
      </c>
    </row>
    <row r="27" spans="2:14" ht="14.25" customHeight="1" x14ac:dyDescent="0.2">
      <c r="B27" s="13" t="s">
        <v>37</v>
      </c>
      <c r="C27" s="4">
        <f>+'Calculadora MCS Julio'!G20</f>
        <v>0</v>
      </c>
      <c r="D27" s="4"/>
      <c r="E27" s="4">
        <f t="shared" si="4"/>
        <v>0</v>
      </c>
      <c r="F27" s="4" t="s">
        <v>31</v>
      </c>
      <c r="G27" s="12">
        <f t="shared" si="5"/>
        <v>0</v>
      </c>
    </row>
    <row r="28" spans="2:14" ht="14.25" customHeight="1" x14ac:dyDescent="0.2">
      <c r="B28" s="3" t="s">
        <v>38</v>
      </c>
      <c r="C28" s="4" t="e">
        <f>-#REF!</f>
        <v>#REF!</v>
      </c>
      <c r="D28" s="4"/>
      <c r="E28" s="4" t="e">
        <f t="shared" si="4"/>
        <v>#REF!</v>
      </c>
      <c r="F28" s="4" t="s">
        <v>31</v>
      </c>
      <c r="G28" s="12" t="e">
        <f t="shared" si="5"/>
        <v>#REF!</v>
      </c>
    </row>
    <row r="29" spans="2:14" ht="14.25" customHeight="1" x14ac:dyDescent="0.2">
      <c r="B29" s="3" t="s">
        <v>39</v>
      </c>
      <c r="C29" s="4" t="e">
        <f>-#REF!/6</f>
        <v>#REF!</v>
      </c>
      <c r="D29" s="4"/>
      <c r="E29" s="4" t="e">
        <f t="shared" si="4"/>
        <v>#REF!</v>
      </c>
      <c r="F29" s="4" t="s">
        <v>31</v>
      </c>
      <c r="G29" s="12" t="e">
        <f t="shared" si="5"/>
        <v>#REF!</v>
      </c>
    </row>
    <row r="30" spans="2:14" ht="14.25" customHeight="1" x14ac:dyDescent="0.2">
      <c r="B30" s="13" t="s">
        <v>40</v>
      </c>
      <c r="C30" s="4">
        <f>+'Calculadora MCS Julio'!G21</f>
        <v>-4248.2653333333328</v>
      </c>
      <c r="D30" s="4"/>
      <c r="E30" s="4">
        <f t="shared" si="4"/>
        <v>-4248.2653333333328</v>
      </c>
      <c r="F30" s="4" t="s">
        <v>31</v>
      </c>
      <c r="G30" s="12">
        <f t="shared" si="5"/>
        <v>-4248.2653333333328</v>
      </c>
    </row>
    <row r="31" spans="2:14" ht="14.25" customHeight="1" x14ac:dyDescent="0.2">
      <c r="B31" s="3" t="s">
        <v>41</v>
      </c>
      <c r="C31" s="4">
        <f>+'Calculadora MCS Agosto'!G22</f>
        <v>-215.18</v>
      </c>
      <c r="D31" s="4"/>
      <c r="E31" s="4">
        <f t="shared" si="4"/>
        <v>-215.18</v>
      </c>
      <c r="F31" s="4" t="s">
        <v>31</v>
      </c>
      <c r="G31" s="12">
        <f t="shared" si="5"/>
        <v>-215.18</v>
      </c>
    </row>
    <row r="32" spans="2:14" ht="14.25" customHeight="1" x14ac:dyDescent="0.2">
      <c r="C32" s="9" t="e">
        <f>SUM(C21:C31)</f>
        <v>#REF!</v>
      </c>
      <c r="D32" s="9">
        <f>SUM(D21:D30)</f>
        <v>0</v>
      </c>
      <c r="E32" s="9" t="e">
        <f>SUM(E21:E31)</f>
        <v>#REF!</v>
      </c>
      <c r="F32" s="4"/>
      <c r="G32" s="10" t="e">
        <f>SUM(G21:J31)</f>
        <v>#REF!</v>
      </c>
      <c r="M32" s="4"/>
    </row>
    <row r="33" spans="1:26" ht="14.25" customHeight="1" x14ac:dyDescent="0.2">
      <c r="C33" s="4"/>
      <c r="D33" s="4"/>
      <c r="E33" s="4"/>
      <c r="F33" s="4"/>
      <c r="G33" s="4"/>
    </row>
    <row r="34" spans="1:26" ht="14.25" customHeight="1" x14ac:dyDescent="0.2">
      <c r="C34" s="4"/>
      <c r="D34" s="4"/>
      <c r="E34" s="4"/>
      <c r="F34" s="4"/>
      <c r="G34" s="4"/>
    </row>
    <row r="35" spans="1:26" ht="14.25" customHeight="1" x14ac:dyDescent="0.2">
      <c r="C35" s="4"/>
      <c r="D35" s="4"/>
      <c r="E35" s="4"/>
      <c r="F35" s="4"/>
      <c r="G35" s="4"/>
    </row>
    <row r="36" spans="1:26" ht="14.25" customHeight="1" x14ac:dyDescent="0.2">
      <c r="B36" s="15"/>
      <c r="C36" s="15"/>
      <c r="D36" s="16" t="s">
        <v>42</v>
      </c>
      <c r="E36" s="16" t="s">
        <v>43</v>
      </c>
      <c r="F36" s="16" t="s">
        <v>44</v>
      </c>
      <c r="G36" s="16"/>
    </row>
    <row r="37" spans="1:26" ht="14.25" customHeight="1" x14ac:dyDescent="0.2">
      <c r="B37" s="15" t="s">
        <v>45</v>
      </c>
      <c r="C37" s="17">
        <f>100%-C39</f>
        <v>0.80000300000000002</v>
      </c>
      <c r="D37" s="18" t="e">
        <f t="shared" ref="D37:D39" si="6">+$G$16*C37</f>
        <v>#REF!</v>
      </c>
      <c r="E37" s="18" t="e">
        <f>+G32</f>
        <v>#REF!</v>
      </c>
      <c r="F37" s="18" t="e">
        <f t="shared" ref="F37:F39" si="7">+D37+E37</f>
        <v>#REF!</v>
      </c>
      <c r="G37" s="18"/>
      <c r="I37" s="4" t="e">
        <f>+D37-H5</f>
        <v>#REF!</v>
      </c>
    </row>
    <row r="38" spans="1:26" ht="14.25" customHeight="1" x14ac:dyDescent="0.2">
      <c r="B38" s="15" t="s">
        <v>46</v>
      </c>
      <c r="C38" s="17"/>
      <c r="D38" s="18" t="e">
        <f t="shared" si="6"/>
        <v>#REF!</v>
      </c>
      <c r="E38" s="18"/>
      <c r="F38" s="18" t="e">
        <f t="shared" si="7"/>
        <v>#REF!</v>
      </c>
      <c r="G38" s="18"/>
      <c r="I38" s="4" t="e">
        <f>+I37*I7</f>
        <v>#REF!</v>
      </c>
    </row>
    <row r="39" spans="1:26" ht="14.25" customHeight="1" x14ac:dyDescent="0.2">
      <c r="B39" s="15" t="s">
        <v>7</v>
      </c>
      <c r="C39" s="17">
        <v>0.19999700000000001</v>
      </c>
      <c r="D39" s="18" t="e">
        <f t="shared" si="6"/>
        <v>#REF!</v>
      </c>
      <c r="E39" s="18">
        <v>0</v>
      </c>
      <c r="F39" s="18" t="e">
        <f t="shared" si="7"/>
        <v>#REF!</v>
      </c>
      <c r="G39" s="18"/>
      <c r="N39" s="4"/>
    </row>
    <row r="40" spans="1:26" ht="14.25" customHeight="1" x14ac:dyDescent="0.2">
      <c r="B40" s="15"/>
      <c r="C40" s="15"/>
      <c r="D40" s="15"/>
      <c r="E40" s="15"/>
      <c r="F40" s="15"/>
      <c r="G40" s="15"/>
    </row>
    <row r="41" spans="1:26" ht="14.25" customHeight="1" x14ac:dyDescent="0.2">
      <c r="B41" s="15"/>
      <c r="C41" s="19">
        <f t="shared" ref="C41:F41" si="8">C37+C38+C39</f>
        <v>1</v>
      </c>
      <c r="D41" s="20" t="e">
        <f t="shared" si="8"/>
        <v>#REF!</v>
      </c>
      <c r="E41" s="20" t="e">
        <f t="shared" si="8"/>
        <v>#REF!</v>
      </c>
      <c r="F41" s="20" t="e">
        <f t="shared" si="8"/>
        <v>#REF!</v>
      </c>
      <c r="G41" s="20"/>
    </row>
    <row r="42" spans="1:26" ht="14.25" customHeight="1" x14ac:dyDescent="0.2">
      <c r="A42" s="13"/>
      <c r="B42" s="13"/>
      <c r="C42" s="4"/>
      <c r="D42" s="4"/>
      <c r="E42" s="4"/>
      <c r="F42" s="4"/>
      <c r="G42" s="4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4.25" customHeight="1" x14ac:dyDescent="0.2">
      <c r="A43" s="13"/>
      <c r="B43" s="13"/>
      <c r="C43" s="4"/>
      <c r="D43" s="4"/>
      <c r="E43" s="4"/>
      <c r="F43" s="4"/>
      <c r="G43" s="4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4.25" customHeight="1" x14ac:dyDescent="0.2">
      <c r="A44" s="13"/>
      <c r="B44" s="13" t="s">
        <v>47</v>
      </c>
      <c r="C44" s="4"/>
      <c r="D44" s="13"/>
      <c r="E44" s="4"/>
      <c r="F44" s="4"/>
      <c r="G44" s="4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4.25" customHeight="1" x14ac:dyDescent="0.2">
      <c r="A45" s="13"/>
      <c r="B45" s="13" t="s">
        <v>48</v>
      </c>
      <c r="C45" s="13"/>
      <c r="D45" s="8" t="e">
        <f>+F37</f>
        <v>#REF!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4.25" customHeight="1" x14ac:dyDescent="0.2">
      <c r="A46" s="13"/>
      <c r="B46" s="13" t="s">
        <v>49</v>
      </c>
      <c r="C46" s="13"/>
      <c r="D46" s="8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4.25" customHeight="1" x14ac:dyDescent="0.2">
      <c r="A47" s="13"/>
      <c r="B47" s="13" t="s">
        <v>50</v>
      </c>
      <c r="C47" s="13"/>
      <c r="D47" s="8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4.25" customHeight="1" x14ac:dyDescent="0.2">
      <c r="A48" s="13"/>
      <c r="B48" s="13" t="s">
        <v>51</v>
      </c>
      <c r="C48" s="13"/>
      <c r="D48" s="8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4.25" customHeight="1" x14ac:dyDescent="0.2">
      <c r="A49" s="21"/>
      <c r="B49" s="21"/>
      <c r="C49" s="21"/>
      <c r="D49" s="22" t="e">
        <f>SUM(D45:D48)</f>
        <v>#REF!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4.25" customHeight="1" x14ac:dyDescent="0.2"/>
    <row r="51" spans="1:26" ht="14.25" customHeight="1" x14ac:dyDescent="0.2"/>
    <row r="52" spans="1:26" ht="14.25" customHeight="1" x14ac:dyDescent="0.2"/>
    <row r="53" spans="1:26" ht="14.25" customHeight="1" x14ac:dyDescent="0.2"/>
    <row r="54" spans="1:26" ht="14.25" customHeight="1" x14ac:dyDescent="0.2"/>
    <row r="55" spans="1:26" ht="14.25" customHeight="1" x14ac:dyDescent="0.2"/>
    <row r="56" spans="1:26" ht="14.25" customHeight="1" x14ac:dyDescent="0.2"/>
    <row r="57" spans="1:26" ht="14.25" customHeight="1" x14ac:dyDescent="0.2"/>
    <row r="58" spans="1:26" ht="14.25" customHeight="1" x14ac:dyDescent="0.2"/>
    <row r="59" spans="1:26" ht="14.25" customHeight="1" x14ac:dyDescent="0.2"/>
    <row r="60" spans="1:26" ht="14.25" customHeight="1" x14ac:dyDescent="0.2"/>
    <row r="61" spans="1:26" ht="14.25" customHeight="1" x14ac:dyDescent="0.2"/>
    <row r="62" spans="1:26" ht="14.25" customHeight="1" x14ac:dyDescent="0.2"/>
    <row r="63" spans="1:26" ht="14.25" customHeight="1" x14ac:dyDescent="0.2"/>
    <row r="64" spans="1:26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opLeftCell="A4" workbookViewId="0"/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23.5" customWidth="1"/>
    <col min="5" max="5" width="17.33203125" customWidth="1"/>
    <col min="6" max="6" width="13.33203125" customWidth="1"/>
    <col min="7" max="7" width="13.6640625" customWidth="1"/>
    <col min="8" max="8" width="16" customWidth="1"/>
    <col min="9" max="9" width="5.33203125" customWidth="1"/>
    <col min="10" max="26" width="10.6640625" customWidth="1"/>
  </cols>
  <sheetData>
    <row r="1" spans="1:9" ht="14.25" customHeight="1" x14ac:dyDescent="0.2"/>
    <row r="2" spans="1:9" ht="14.25" customHeight="1" x14ac:dyDescent="0.2">
      <c r="B2" s="23"/>
      <c r="C2" s="24"/>
      <c r="D2" s="24"/>
      <c r="E2" s="24"/>
      <c r="F2" s="24"/>
      <c r="G2" s="24"/>
      <c r="H2" s="24"/>
      <c r="I2" s="25"/>
    </row>
    <row r="3" spans="1:9" ht="14.25" customHeight="1" x14ac:dyDescent="0.2">
      <c r="A3" s="26"/>
      <c r="B3" s="27"/>
      <c r="C3" s="293" t="s">
        <v>52</v>
      </c>
      <c r="D3" s="294"/>
      <c r="E3" s="294"/>
      <c r="F3" s="294"/>
      <c r="G3" s="294"/>
      <c r="H3" s="296"/>
      <c r="I3" s="28"/>
    </row>
    <row r="4" spans="1:9" ht="14.25" customHeight="1" x14ac:dyDescent="0.2">
      <c r="A4" s="26"/>
      <c r="B4" s="27"/>
      <c r="C4" s="297"/>
      <c r="D4" s="286"/>
      <c r="E4" s="286"/>
      <c r="F4" s="286"/>
      <c r="G4" s="286"/>
      <c r="H4" s="30"/>
      <c r="I4" s="28"/>
    </row>
    <row r="5" spans="1:9" ht="14.25" customHeight="1" x14ac:dyDescent="0.2">
      <c r="A5" s="26"/>
      <c r="B5" s="27"/>
      <c r="C5" s="31"/>
      <c r="D5" s="26"/>
      <c r="E5" s="26"/>
      <c r="F5" s="26"/>
      <c r="G5" s="26"/>
      <c r="H5" s="32"/>
      <c r="I5" s="28"/>
    </row>
    <row r="6" spans="1:9" ht="14.25" customHeight="1" x14ac:dyDescent="0.2">
      <c r="A6" s="26"/>
      <c r="B6" s="27"/>
      <c r="C6" s="33"/>
      <c r="D6" s="26"/>
      <c r="E6" s="34"/>
      <c r="F6" s="35" t="s">
        <v>53</v>
      </c>
      <c r="G6" s="36">
        <f ca="1">TODAY()</f>
        <v>45974</v>
      </c>
      <c r="H6" s="37"/>
      <c r="I6" s="28"/>
    </row>
    <row r="7" spans="1:9" ht="14.25" customHeight="1" x14ac:dyDescent="0.2">
      <c r="A7" s="26"/>
      <c r="B7" s="27"/>
      <c r="C7" s="33"/>
      <c r="D7" s="26"/>
      <c r="E7" s="34"/>
      <c r="F7" s="35"/>
      <c r="G7" s="26"/>
      <c r="H7" s="32"/>
      <c r="I7" s="28"/>
    </row>
    <row r="8" spans="1:9" ht="14.25" customHeight="1" x14ac:dyDescent="0.2">
      <c r="A8" s="26"/>
      <c r="B8" s="27"/>
      <c r="C8" s="38"/>
      <c r="D8" s="39"/>
      <c r="E8" s="34"/>
      <c r="F8" s="35"/>
      <c r="G8" s="26"/>
      <c r="H8" s="32"/>
      <c r="I8" s="28"/>
    </row>
    <row r="9" spans="1:9" ht="14.25" customHeight="1" x14ac:dyDescent="0.2">
      <c r="A9" s="26"/>
      <c r="B9" s="27"/>
      <c r="C9" s="40"/>
      <c r="D9" s="39"/>
      <c r="E9" s="34"/>
      <c r="F9" s="35"/>
      <c r="G9" s="26"/>
      <c r="H9" s="32"/>
      <c r="I9" s="28"/>
    </row>
    <row r="10" spans="1:9" ht="14.25" customHeight="1" x14ac:dyDescent="0.2">
      <c r="A10" s="26"/>
      <c r="B10" s="27"/>
      <c r="C10" s="41"/>
      <c r="D10" s="42"/>
      <c r="E10" s="34"/>
      <c r="F10" s="26"/>
      <c r="G10" s="26"/>
      <c r="H10" s="32"/>
      <c r="I10" s="28"/>
    </row>
    <row r="11" spans="1:9" ht="14.25" customHeight="1" x14ac:dyDescent="0.2">
      <c r="A11" s="26"/>
      <c r="B11" s="27"/>
      <c r="C11" s="43" t="s">
        <v>54</v>
      </c>
      <c r="D11" s="44" t="s">
        <v>55</v>
      </c>
      <c r="E11" s="44" t="s">
        <v>56</v>
      </c>
      <c r="F11" s="44" t="s">
        <v>57</v>
      </c>
      <c r="G11" s="44" t="s">
        <v>58</v>
      </c>
      <c r="H11" s="45" t="s">
        <v>59</v>
      </c>
      <c r="I11" s="28"/>
    </row>
    <row r="12" spans="1:9" ht="14.25" customHeight="1" x14ac:dyDescent="0.2">
      <c r="A12" s="26"/>
      <c r="B12" s="27"/>
      <c r="C12" s="46">
        <v>1</v>
      </c>
      <c r="D12" s="47" t="s">
        <v>60</v>
      </c>
      <c r="E12" s="48">
        <v>1</v>
      </c>
      <c r="F12" s="49">
        <f>+'Servicios de Cabina INC'!R61</f>
        <v>49606.252170931257</v>
      </c>
      <c r="G12" s="50">
        <f>'Calculadora INC Agosto'!$E12*'Calculadora INC Agosto'!$F12</f>
        <v>49606.252170931257</v>
      </c>
      <c r="H12" s="51">
        <f>+'Calculadora INC Julio'!$G12</f>
        <v>48826.349877642504</v>
      </c>
      <c r="I12" s="28"/>
    </row>
    <row r="13" spans="1:9" ht="14.25" customHeight="1" x14ac:dyDescent="0.2">
      <c r="A13" s="26"/>
      <c r="B13" s="27"/>
      <c r="C13" s="46">
        <v>2</v>
      </c>
      <c r="D13" s="47" t="s">
        <v>12</v>
      </c>
      <c r="E13" s="52">
        <v>47</v>
      </c>
      <c r="F13" s="49">
        <v>12.5</v>
      </c>
      <c r="G13" s="50">
        <f>'Calculadora INC Agosto'!$E13*'Calculadora INC Agosto'!$F13</f>
        <v>587.5</v>
      </c>
      <c r="H13" s="53">
        <f>+G12-H12</f>
        <v>779.90229328875284</v>
      </c>
      <c r="I13" s="28"/>
    </row>
    <row r="14" spans="1:9" ht="14.25" customHeight="1" x14ac:dyDescent="0.2">
      <c r="A14" s="26"/>
      <c r="B14" s="27"/>
      <c r="C14" s="46">
        <v>3</v>
      </c>
      <c r="D14" s="47" t="s">
        <v>61</v>
      </c>
      <c r="E14" s="52">
        <v>3</v>
      </c>
      <c r="F14" s="49">
        <v>1500</v>
      </c>
      <c r="G14" s="50">
        <f>'Calculadora INC Agosto'!$E14*'Calculadora INC Agosto'!$F14</f>
        <v>4500</v>
      </c>
      <c r="H14" s="54">
        <f>+H13/H12</f>
        <v>1.5972979656336522E-2</v>
      </c>
      <c r="I14" s="28"/>
    </row>
    <row r="15" spans="1:9" ht="14.25" customHeight="1" x14ac:dyDescent="0.2">
      <c r="A15" s="26"/>
      <c r="B15" s="27"/>
      <c r="C15" s="46">
        <v>4</v>
      </c>
      <c r="D15" s="47" t="s">
        <v>62</v>
      </c>
      <c r="E15" s="55">
        <v>1</v>
      </c>
      <c r="F15" s="49">
        <v>500</v>
      </c>
      <c r="G15" s="50">
        <f>'Calculadora INC Agosto'!$E15*'Calculadora INC Agosto'!$F15</f>
        <v>500</v>
      </c>
      <c r="H15" s="56"/>
      <c r="I15" s="28"/>
    </row>
    <row r="16" spans="1:9" ht="14.25" customHeight="1" x14ac:dyDescent="0.2">
      <c r="A16" s="26"/>
      <c r="B16" s="27"/>
      <c r="C16" s="46">
        <v>5</v>
      </c>
      <c r="D16" s="47" t="s">
        <v>20</v>
      </c>
      <c r="E16" s="55">
        <v>1</v>
      </c>
      <c r="F16" s="49">
        <v>105</v>
      </c>
      <c r="G16" s="50">
        <f>'Calculadora INC Agosto'!$E16*'Calculadora INC Agosto'!$F16</f>
        <v>105</v>
      </c>
      <c r="H16" s="56"/>
      <c r="I16" s="28"/>
    </row>
    <row r="17" spans="1:9" ht="14.25" customHeight="1" x14ac:dyDescent="0.2">
      <c r="A17" s="26"/>
      <c r="B17" s="27"/>
      <c r="C17" s="46">
        <v>6</v>
      </c>
      <c r="D17" s="47" t="s">
        <v>22</v>
      </c>
      <c r="E17" s="55">
        <v>1</v>
      </c>
      <c r="F17" s="49">
        <v>87.5</v>
      </c>
      <c r="G17" s="50">
        <f>'Calculadora INC Agosto'!$E17*'Calculadora INC Agosto'!$F17</f>
        <v>87.5</v>
      </c>
      <c r="H17" s="56"/>
      <c r="I17" s="28"/>
    </row>
    <row r="18" spans="1:9" ht="14.25" customHeight="1" x14ac:dyDescent="0.2">
      <c r="A18" s="26"/>
      <c r="B18" s="27"/>
      <c r="C18" s="46">
        <v>7</v>
      </c>
      <c r="D18" s="47" t="s">
        <v>24</v>
      </c>
      <c r="E18" s="55">
        <v>1</v>
      </c>
      <c r="F18" s="49">
        <v>350</v>
      </c>
      <c r="G18" s="50">
        <f>'Calculadora INC Agosto'!$E18*'Calculadora INC Agosto'!$F18</f>
        <v>350</v>
      </c>
      <c r="H18" s="56"/>
      <c r="I18" s="28"/>
    </row>
    <row r="19" spans="1:9" ht="14.25" customHeight="1" x14ac:dyDescent="0.2">
      <c r="A19" s="26"/>
      <c r="B19" s="27"/>
      <c r="C19" s="46">
        <v>8</v>
      </c>
      <c r="D19" s="47" t="s">
        <v>14</v>
      </c>
      <c r="E19" s="55">
        <v>1</v>
      </c>
      <c r="F19" s="49">
        <v>3539</v>
      </c>
      <c r="G19" s="50">
        <f>'Calculadora INC Agosto'!$E19*'Calculadora INC Agosto'!$F19</f>
        <v>3539</v>
      </c>
      <c r="H19" s="56"/>
      <c r="I19" s="28"/>
    </row>
    <row r="20" spans="1:9" ht="14.25" customHeight="1" x14ac:dyDescent="0.2">
      <c r="A20" s="26"/>
      <c r="B20" s="27"/>
      <c r="C20" s="46">
        <v>9</v>
      </c>
      <c r="D20" s="47" t="s">
        <v>16</v>
      </c>
      <c r="E20" s="55">
        <v>1</v>
      </c>
      <c r="F20" s="49">
        <v>500</v>
      </c>
      <c r="G20" s="50">
        <f>'Calculadora INC Agosto'!$E20*'Calculadora INC Agosto'!$F20</f>
        <v>500</v>
      </c>
      <c r="H20" s="56"/>
      <c r="I20" s="28"/>
    </row>
    <row r="21" spans="1:9" ht="14.25" customHeight="1" x14ac:dyDescent="0.2">
      <c r="A21" s="26"/>
      <c r="B21" s="27"/>
      <c r="C21" s="46">
        <v>10</v>
      </c>
      <c r="D21" s="47" t="s">
        <v>18</v>
      </c>
      <c r="E21" s="55">
        <v>1</v>
      </c>
      <c r="F21" s="57">
        <v>23610</v>
      </c>
      <c r="G21" s="50">
        <f>'Calculadora INC Agosto'!$E21*'Calculadora INC Agosto'!$F21</f>
        <v>23610</v>
      </c>
      <c r="H21" s="56"/>
      <c r="I21" s="28"/>
    </row>
    <row r="22" spans="1:9" ht="14.25" customHeight="1" x14ac:dyDescent="0.2">
      <c r="A22" s="26"/>
      <c r="B22" s="27"/>
      <c r="C22" s="46">
        <v>11</v>
      </c>
      <c r="D22" s="47" t="s">
        <v>63</v>
      </c>
      <c r="E22" s="55">
        <v>1</v>
      </c>
      <c r="F22" s="49">
        <v>0</v>
      </c>
      <c r="G22" s="50">
        <f>'Calculadora INC Agosto'!$E22*'Calculadora INC Agosto'!$F22</f>
        <v>0</v>
      </c>
      <c r="H22" s="56"/>
      <c r="I22" s="28"/>
    </row>
    <row r="23" spans="1:9" ht="14.25" customHeight="1" x14ac:dyDescent="0.2">
      <c r="A23" s="26"/>
      <c r="B23" s="27"/>
      <c r="C23" s="58"/>
      <c r="D23" s="59"/>
      <c r="E23" s="59"/>
      <c r="F23" s="60" t="s">
        <v>57</v>
      </c>
      <c r="G23" s="50">
        <f>SUM(G12:G22)</f>
        <v>83385.252170931257</v>
      </c>
      <c r="H23" s="61"/>
      <c r="I23" s="28"/>
    </row>
    <row r="24" spans="1:9" ht="14.25" customHeight="1" x14ac:dyDescent="0.2">
      <c r="A24" s="26"/>
      <c r="B24" s="27"/>
      <c r="C24" s="298"/>
      <c r="D24" s="299"/>
      <c r="E24" s="62"/>
      <c r="F24" s="63"/>
      <c r="G24" s="64"/>
      <c r="H24" s="65"/>
      <c r="I24" s="28"/>
    </row>
    <row r="25" spans="1:9" ht="14.25" customHeight="1" x14ac:dyDescent="0.2">
      <c r="A25" s="26"/>
      <c r="B25" s="66"/>
      <c r="C25" s="290"/>
      <c r="D25" s="291"/>
      <c r="E25" s="67"/>
      <c r="F25" s="68" t="e">
        <f>'Calculadora INC Agosto'!Saldo_pendiente</f>
        <v>#REF!</v>
      </c>
      <c r="G25" s="69"/>
      <c r="H25" s="69"/>
      <c r="I25" s="70"/>
    </row>
    <row r="26" spans="1:9" ht="14.25" customHeight="1" x14ac:dyDescent="0.2"/>
    <row r="27" spans="1:9" ht="14.25" customHeight="1" x14ac:dyDescent="0.2"/>
    <row r="28" spans="1:9" ht="14.25" customHeight="1" x14ac:dyDescent="0.2"/>
    <row r="29" spans="1:9" ht="14.25" customHeight="1" x14ac:dyDescent="0.2"/>
    <row r="30" spans="1:9" ht="14.25" customHeight="1" x14ac:dyDescent="0.2"/>
    <row r="31" spans="1:9" ht="14.25" customHeight="1" x14ac:dyDescent="0.2"/>
    <row r="32" spans="1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4">
    <mergeCell ref="C3:H3"/>
    <mergeCell ref="C4:G4"/>
    <mergeCell ref="C24:D24"/>
    <mergeCell ref="C25:D25"/>
  </mergeCells>
  <pageMargins left="0.7" right="0.7" top="0.75" bottom="0.75" header="0" footer="0"/>
  <pageSetup orientation="landscape"/>
  <drawing r:id="rId1"/>
  <legacy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3.5" customWidth="1"/>
    <col min="5" max="5" width="17.33203125" customWidth="1"/>
    <col min="6" max="6" width="13.33203125" customWidth="1"/>
    <col min="7" max="7" width="14.6640625" customWidth="1"/>
    <col min="8" max="8" width="16" customWidth="1"/>
    <col min="9" max="9" width="5.33203125" customWidth="1"/>
    <col min="10" max="26" width="10.6640625" customWidth="1"/>
  </cols>
  <sheetData>
    <row r="1" spans="1:12" ht="14.25" customHeight="1" x14ac:dyDescent="0.2"/>
    <row r="2" spans="1:12" ht="14.25" customHeight="1" x14ac:dyDescent="0.2">
      <c r="B2" s="23"/>
      <c r="C2" s="24"/>
      <c r="D2" s="24"/>
      <c r="E2" s="24"/>
      <c r="F2" s="24"/>
      <c r="G2" s="24"/>
      <c r="H2" s="24"/>
      <c r="I2" s="25"/>
    </row>
    <row r="3" spans="1:12" ht="14.25" customHeight="1" x14ac:dyDescent="0.2">
      <c r="A3" s="26"/>
      <c r="B3" s="27"/>
      <c r="C3" s="293" t="s">
        <v>52</v>
      </c>
      <c r="D3" s="294"/>
      <c r="E3" s="294"/>
      <c r="F3" s="294"/>
      <c r="G3" s="294"/>
      <c r="H3" s="296"/>
      <c r="I3" s="28"/>
    </row>
    <row r="4" spans="1:12" ht="14.25" customHeight="1" x14ac:dyDescent="0.2">
      <c r="A4" s="26"/>
      <c r="B4" s="27"/>
      <c r="C4" s="297"/>
      <c r="D4" s="286"/>
      <c r="E4" s="286"/>
      <c r="F4" s="286"/>
      <c r="G4" s="286"/>
      <c r="H4" s="30"/>
      <c r="I4" s="28"/>
    </row>
    <row r="5" spans="1:12" ht="14.25" customHeight="1" x14ac:dyDescent="0.2">
      <c r="A5" s="26"/>
      <c r="B5" s="27"/>
      <c r="C5" s="31"/>
      <c r="D5" s="26"/>
      <c r="E5" s="26"/>
      <c r="F5" s="26"/>
      <c r="G5" s="26"/>
      <c r="H5" s="32"/>
      <c r="I5" s="28"/>
    </row>
    <row r="6" spans="1:12" ht="14.25" customHeight="1" x14ac:dyDescent="0.2">
      <c r="A6" s="26"/>
      <c r="B6" s="27"/>
      <c r="C6" s="33"/>
      <c r="D6" s="26"/>
      <c r="E6" s="34"/>
      <c r="F6" s="35" t="s">
        <v>53</v>
      </c>
      <c r="G6" s="36">
        <f ca="1">TODAY()</f>
        <v>45974</v>
      </c>
      <c r="H6" s="37"/>
      <c r="I6" s="28"/>
    </row>
    <row r="7" spans="1:12" ht="14.25" customHeight="1" x14ac:dyDescent="0.2">
      <c r="A7" s="26"/>
      <c r="B7" s="27"/>
      <c r="C7" s="33"/>
      <c r="D7" s="26"/>
      <c r="E7" s="34"/>
      <c r="F7" s="35"/>
      <c r="G7" s="26"/>
      <c r="H7" s="32"/>
      <c r="I7" s="28"/>
    </row>
    <row r="8" spans="1:12" ht="14.25" customHeight="1" x14ac:dyDescent="0.2">
      <c r="A8" s="26"/>
      <c r="B8" s="27"/>
      <c r="C8" s="38"/>
      <c r="D8" s="39"/>
      <c r="E8" s="34"/>
      <c r="F8" s="35"/>
      <c r="G8" s="26"/>
      <c r="H8" s="32"/>
      <c r="I8" s="28"/>
    </row>
    <row r="9" spans="1:12" ht="14.25" customHeight="1" x14ac:dyDescent="0.2">
      <c r="A9" s="26"/>
      <c r="B9" s="27"/>
      <c r="C9" s="40"/>
      <c r="D9" s="39"/>
      <c r="E9" s="34"/>
      <c r="F9" s="35"/>
      <c r="G9" s="26"/>
      <c r="H9" s="32"/>
      <c r="I9" s="28"/>
    </row>
    <row r="10" spans="1:12" ht="14.25" customHeight="1" x14ac:dyDescent="0.2">
      <c r="A10" s="26"/>
      <c r="B10" s="27"/>
      <c r="C10" s="41"/>
      <c r="D10" s="42"/>
      <c r="E10" s="34"/>
      <c r="F10" s="26"/>
      <c r="G10" s="26"/>
      <c r="H10" s="32"/>
      <c r="I10" s="28"/>
    </row>
    <row r="11" spans="1:12" ht="14.25" customHeight="1" x14ac:dyDescent="0.2">
      <c r="A11" s="26"/>
      <c r="B11" s="27"/>
      <c r="C11" s="43" t="s">
        <v>54</v>
      </c>
      <c r="D11" s="44" t="s">
        <v>55</v>
      </c>
      <c r="E11" s="44" t="s">
        <v>56</v>
      </c>
      <c r="F11" s="44" t="s">
        <v>57</v>
      </c>
      <c r="G11" s="44" t="s">
        <v>58</v>
      </c>
      <c r="H11" s="45" t="s">
        <v>59</v>
      </c>
      <c r="I11" s="28"/>
    </row>
    <row r="12" spans="1:12" ht="14.25" customHeight="1" x14ac:dyDescent="0.2">
      <c r="A12" s="26"/>
      <c r="B12" s="27"/>
      <c r="C12" s="46">
        <v>1</v>
      </c>
      <c r="D12" s="47" t="s">
        <v>60</v>
      </c>
      <c r="E12" s="48">
        <v>1</v>
      </c>
      <c r="F12" s="49">
        <f>+'Servicios de Cabina MCS'!R61</f>
        <v>187246.57105876249</v>
      </c>
      <c r="G12" s="50">
        <f>+'Calculadora MCS Agosto'!$F12</f>
        <v>187246.57105876249</v>
      </c>
      <c r="H12" s="71">
        <f>+'Calculadora MCS Julio'!$G12</f>
        <v>204641.14722164749</v>
      </c>
      <c r="I12" s="28"/>
      <c r="L12" s="72"/>
    </row>
    <row r="13" spans="1:12" ht="14.25" customHeight="1" x14ac:dyDescent="0.2">
      <c r="A13" s="26"/>
      <c r="B13" s="27"/>
      <c r="C13" s="46">
        <v>2</v>
      </c>
      <c r="D13" s="47" t="s">
        <v>61</v>
      </c>
      <c r="E13" s="52">
        <v>4</v>
      </c>
      <c r="F13" s="49">
        <v>1500</v>
      </c>
      <c r="G13" s="50">
        <f>'Calculadora MCS Agosto'!$E13*'Calculadora MCS Agosto'!$F13</f>
        <v>6000</v>
      </c>
      <c r="H13" s="71">
        <f>+G12-H12</f>
        <v>-17394.576162885001</v>
      </c>
      <c r="I13" s="28"/>
    </row>
    <row r="14" spans="1:12" ht="14.25" customHeight="1" x14ac:dyDescent="0.2">
      <c r="A14" s="26"/>
      <c r="B14" s="27"/>
      <c r="C14" s="46">
        <v>3</v>
      </c>
      <c r="D14" s="47" t="s">
        <v>30</v>
      </c>
      <c r="E14" s="55">
        <v>1</v>
      </c>
      <c r="F14" s="49">
        <v>-19243</v>
      </c>
      <c r="G14" s="50">
        <f>'Calculadora MCS Agosto'!$E14*'Calculadora MCS Agosto'!$F14</f>
        <v>-19243</v>
      </c>
      <c r="H14" s="73">
        <f>+H13/H12</f>
        <v>-8.5000384326642184E-2</v>
      </c>
      <c r="I14" s="28"/>
    </row>
    <row r="15" spans="1:12" ht="14.25" customHeight="1" x14ac:dyDescent="0.2">
      <c r="A15" s="26"/>
      <c r="B15" s="27"/>
      <c r="C15" s="46">
        <v>4</v>
      </c>
      <c r="D15" s="47" t="s">
        <v>32</v>
      </c>
      <c r="E15" s="55">
        <v>1</v>
      </c>
      <c r="F15" s="49">
        <v>-2252</v>
      </c>
      <c r="G15" s="50">
        <f>'Calculadora MCS Agosto'!$E15*'Calculadora MCS Agosto'!$F15</f>
        <v>-2252</v>
      </c>
      <c r="H15" s="56"/>
      <c r="I15" s="28"/>
    </row>
    <row r="16" spans="1:12" ht="14.25" customHeight="1" x14ac:dyDescent="0.2">
      <c r="A16" s="26"/>
      <c r="B16" s="27"/>
      <c r="C16" s="46">
        <v>5</v>
      </c>
      <c r="D16" s="47" t="s">
        <v>64</v>
      </c>
      <c r="E16" s="55">
        <v>1</v>
      </c>
      <c r="F16" s="49">
        <v>-187.5</v>
      </c>
      <c r="G16" s="50">
        <f>'Calculadora MCS Agosto'!$E16*'Calculadora MCS Agosto'!$F16</f>
        <v>-187.5</v>
      </c>
      <c r="H16" s="56"/>
      <c r="I16" s="28"/>
    </row>
    <row r="17" spans="1:9" ht="14.25" customHeight="1" x14ac:dyDescent="0.2">
      <c r="A17" s="26"/>
      <c r="B17" s="27"/>
      <c r="C17" s="46">
        <v>6</v>
      </c>
      <c r="D17" s="47" t="s">
        <v>34</v>
      </c>
      <c r="E17" s="55">
        <v>1</v>
      </c>
      <c r="F17" s="49">
        <v>-861.79</v>
      </c>
      <c r="G17" s="50">
        <f>'Calculadora MCS Agosto'!$E17*'Calculadora MCS Agosto'!$F17</f>
        <v>-861.79</v>
      </c>
      <c r="H17" s="56"/>
      <c r="I17" s="28"/>
    </row>
    <row r="18" spans="1:9" ht="14.25" customHeight="1" x14ac:dyDescent="0.2">
      <c r="A18" s="26"/>
      <c r="B18" s="27"/>
      <c r="C18" s="46">
        <v>7</v>
      </c>
      <c r="D18" s="47" t="s">
        <v>36</v>
      </c>
      <c r="E18" s="55">
        <v>1</v>
      </c>
      <c r="F18" s="49">
        <v>-2995.63</v>
      </c>
      <c r="G18" s="50">
        <f>'Calculadora MCS Agosto'!$E18*'Calculadora MCS Agosto'!$F18</f>
        <v>-2995.63</v>
      </c>
      <c r="H18" s="56"/>
      <c r="I18" s="28"/>
    </row>
    <row r="19" spans="1:9" ht="14.25" customHeight="1" x14ac:dyDescent="0.2">
      <c r="A19" s="26"/>
      <c r="B19" s="27"/>
      <c r="C19" s="46">
        <v>8</v>
      </c>
      <c r="D19" s="47" t="s">
        <v>65</v>
      </c>
      <c r="E19" s="55">
        <v>1</v>
      </c>
      <c r="F19" s="49">
        <v>-3679.38</v>
      </c>
      <c r="G19" s="50">
        <f>'Calculadora MCS Agosto'!$E19*'Calculadora MCS Agosto'!$F19</f>
        <v>-3679.38</v>
      </c>
      <c r="H19" s="56"/>
      <c r="I19" s="28"/>
    </row>
    <row r="20" spans="1:9" ht="14.25" customHeight="1" x14ac:dyDescent="0.2">
      <c r="A20" s="26"/>
      <c r="B20" s="27"/>
      <c r="C20" s="46">
        <v>9</v>
      </c>
      <c r="D20" s="47" t="s">
        <v>37</v>
      </c>
      <c r="E20" s="55">
        <v>1</v>
      </c>
      <c r="F20" s="49">
        <v>0</v>
      </c>
      <c r="G20" s="50">
        <f>'Calculadora MCS Agosto'!$E20*'Calculadora MCS Agosto'!$F20</f>
        <v>0</v>
      </c>
      <c r="H20" s="56"/>
      <c r="I20" s="28"/>
    </row>
    <row r="21" spans="1:9" ht="14.25" customHeight="1" x14ac:dyDescent="0.2">
      <c r="A21" s="26"/>
      <c r="B21" s="27"/>
      <c r="C21" s="46">
        <v>10</v>
      </c>
      <c r="D21" s="47" t="s">
        <v>40</v>
      </c>
      <c r="E21" s="55">
        <v>1</v>
      </c>
      <c r="F21" s="49">
        <v>-4248.2653333333328</v>
      </c>
      <c r="G21" s="74">
        <f>'Calculadora MCS Agosto'!$E21*'Calculadora MCS Agosto'!$F21</f>
        <v>-4248.2653333333328</v>
      </c>
      <c r="H21" s="56"/>
      <c r="I21" s="28"/>
    </row>
    <row r="22" spans="1:9" ht="14.25" customHeight="1" x14ac:dyDescent="0.2">
      <c r="A22" s="26"/>
      <c r="B22" s="27"/>
      <c r="C22" s="46">
        <v>11</v>
      </c>
      <c r="D22" s="75" t="s">
        <v>66</v>
      </c>
      <c r="E22" s="49"/>
      <c r="F22" s="49">
        <v>-215.18</v>
      </c>
      <c r="G22" s="50">
        <v>-215.18</v>
      </c>
      <c r="H22" s="56"/>
      <c r="I22" s="28"/>
    </row>
    <row r="23" spans="1:9" ht="14.25" customHeight="1" x14ac:dyDescent="0.2">
      <c r="A23" s="26"/>
      <c r="B23" s="27"/>
      <c r="C23" s="58"/>
      <c r="D23" s="59"/>
      <c r="E23" s="59"/>
      <c r="F23" s="60" t="s">
        <v>57</v>
      </c>
      <c r="G23" s="50">
        <f>SUM(G12:G22)</f>
        <v>159563.82572542914</v>
      </c>
      <c r="H23" s="61"/>
      <c r="I23" s="28"/>
    </row>
    <row r="24" spans="1:9" ht="14.25" customHeight="1" x14ac:dyDescent="0.2">
      <c r="A24" s="26"/>
      <c r="B24" s="27"/>
      <c r="C24" s="298"/>
      <c r="D24" s="299"/>
      <c r="E24" s="62"/>
      <c r="F24" s="63"/>
      <c r="G24" s="64"/>
      <c r="H24" s="65"/>
      <c r="I24" s="28"/>
    </row>
    <row r="25" spans="1:9" ht="14.25" customHeight="1" x14ac:dyDescent="0.2">
      <c r="A25" s="26"/>
      <c r="B25" s="66"/>
      <c r="C25" s="290"/>
      <c r="D25" s="291"/>
      <c r="E25" s="67"/>
      <c r="F25" s="68" t="e">
        <f>'Calculadora MCS Agosto'!Saldo_pendiente</f>
        <v>#REF!</v>
      </c>
      <c r="G25" s="69"/>
      <c r="H25" s="69"/>
      <c r="I25" s="70"/>
    </row>
    <row r="26" spans="1:9" ht="14.25" customHeight="1" x14ac:dyDescent="0.2"/>
    <row r="27" spans="1:9" ht="14.25" customHeight="1" x14ac:dyDescent="0.2"/>
    <row r="28" spans="1:9" ht="14.25" customHeight="1" x14ac:dyDescent="0.2"/>
    <row r="29" spans="1:9" ht="14.25" customHeight="1" x14ac:dyDescent="0.2"/>
    <row r="30" spans="1:9" ht="14.25" customHeight="1" x14ac:dyDescent="0.2"/>
    <row r="31" spans="1:9" ht="14.25" customHeight="1" x14ac:dyDescent="0.2"/>
    <row r="32" spans="1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4">
    <mergeCell ref="C3:H3"/>
    <mergeCell ref="C4:G4"/>
    <mergeCell ref="C24:D24"/>
    <mergeCell ref="C25:D25"/>
  </mergeCells>
  <pageMargins left="0.7" right="0.7" top="0.75" bottom="0.75" header="0" footer="0"/>
  <pageSetup orientation="landscape"/>
  <drawing r:id="rId1"/>
  <legacy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1000"/>
  <sheetViews>
    <sheetView showGridLines="0" workbookViewId="0"/>
  </sheetViews>
  <sheetFormatPr baseColWidth="10" defaultColWidth="14.5" defaultRowHeight="15" customHeight="1" x14ac:dyDescent="0.2"/>
  <cols>
    <col min="1" max="1" width="10.6640625" customWidth="1"/>
    <col min="2" max="2" width="31.33203125" customWidth="1"/>
    <col min="3" max="3" width="11.6640625" customWidth="1"/>
    <col min="4" max="4" width="13.6640625" customWidth="1"/>
    <col min="5" max="5" width="12.5" customWidth="1"/>
    <col min="6" max="6" width="18.5" customWidth="1"/>
    <col min="7" max="7" width="14" customWidth="1"/>
    <col min="8" max="8" width="11.33203125" hidden="1" customWidth="1"/>
    <col min="9" max="9" width="14.6640625" hidden="1" customWidth="1"/>
    <col min="10" max="10" width="11.33203125" hidden="1" customWidth="1"/>
    <col min="11" max="12" width="10.6640625" customWidth="1"/>
    <col min="13" max="13" width="13.33203125" customWidth="1"/>
    <col min="14" max="26" width="10.6640625" customWidth="1"/>
  </cols>
  <sheetData>
    <row r="1" spans="2:13" ht="14.25" customHeight="1" x14ac:dyDescent="0.2"/>
    <row r="2" spans="2:13" ht="14.25" customHeight="1" x14ac:dyDescent="0.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I2" s="2" t="s">
        <v>6</v>
      </c>
      <c r="J2" s="2" t="s">
        <v>7</v>
      </c>
    </row>
    <row r="3" spans="2:13" ht="14.25" customHeight="1" x14ac:dyDescent="0.2">
      <c r="B3" s="3" t="s">
        <v>8</v>
      </c>
      <c r="C3" s="4">
        <f>+'Calculadora MCS Julio'!G12-C4</f>
        <v>201491.14722164749</v>
      </c>
      <c r="D3" s="4">
        <f>+'Calculadora INC Julio'!G12-D4</f>
        <v>45676.349877642504</v>
      </c>
      <c r="E3" s="4">
        <f t="shared" ref="E3:E13" si="0">SUM(C3:D3)</f>
        <v>247167.49709928999</v>
      </c>
      <c r="F3" s="5">
        <f>+'Consolidado Junio'!E3</f>
        <v>229434.60022386623</v>
      </c>
      <c r="G3" s="6">
        <f>+'Calculadora MCS Julio'!H12+'Calculadora INC Julio'!F12-G4</f>
        <v>228463.77082253122</v>
      </c>
      <c r="H3" s="4">
        <f>+E3-6300</f>
        <v>240867.49709928999</v>
      </c>
      <c r="I3" s="4">
        <f>+H3*C36</f>
        <v>192693.99767943201</v>
      </c>
      <c r="J3" s="4">
        <f>+H3*C38</f>
        <v>48173.499419858003</v>
      </c>
      <c r="K3" s="3">
        <f>+G3*C38</f>
        <v>45692.754164506245</v>
      </c>
    </row>
    <row r="4" spans="2:13" ht="14.25" customHeight="1" x14ac:dyDescent="0.2">
      <c r="B4" s="3" t="s">
        <v>10</v>
      </c>
      <c r="C4" s="4">
        <v>3150</v>
      </c>
      <c r="D4" s="4">
        <v>3150</v>
      </c>
      <c r="E4" s="4">
        <f t="shared" si="0"/>
        <v>6300</v>
      </c>
      <c r="F4" s="5">
        <f>+E3-F3</f>
        <v>17732.896875423758</v>
      </c>
      <c r="G4" s="6">
        <f t="shared" ref="G4:G15" si="1">+E4</f>
        <v>6300</v>
      </c>
      <c r="H4" s="4"/>
      <c r="I4" s="4"/>
      <c r="J4" s="4"/>
    </row>
    <row r="5" spans="2:13" ht="14.25" customHeight="1" x14ac:dyDescent="0.2">
      <c r="B5" s="3" t="s">
        <v>12</v>
      </c>
      <c r="C5" s="4">
        <f>'[3]Calculadora MCS Enero-24'!C15</f>
        <v>0</v>
      </c>
      <c r="D5" s="4">
        <f>+'Calculadora INC Julio'!G13</f>
        <v>587.5</v>
      </c>
      <c r="E5" s="4">
        <f t="shared" si="0"/>
        <v>587.5</v>
      </c>
      <c r="F5" s="7">
        <f>+F4/F3</f>
        <v>7.7289549432043983E-2</v>
      </c>
      <c r="G5" s="6">
        <f t="shared" si="1"/>
        <v>587.5</v>
      </c>
      <c r="H5" s="4">
        <f>+E16-E3</f>
        <v>51894.500000000029</v>
      </c>
    </row>
    <row r="6" spans="2:13" ht="14.25" customHeight="1" x14ac:dyDescent="0.2">
      <c r="B6" s="3" t="s">
        <v>13</v>
      </c>
      <c r="C6" s="4">
        <f>+'Calculadora MCS Julio'!G13</f>
        <v>6000</v>
      </c>
      <c r="D6" s="4">
        <f>+'Calculadora INC Julio'!G14+'Calculadora INC Julio'!G15</f>
        <v>5500</v>
      </c>
      <c r="E6" s="4">
        <f t="shared" si="0"/>
        <v>11500</v>
      </c>
      <c r="G6" s="6">
        <f t="shared" si="1"/>
        <v>11500</v>
      </c>
    </row>
    <row r="7" spans="2:13" ht="14.25" customHeight="1" x14ac:dyDescent="0.2">
      <c r="B7" s="3" t="s">
        <v>14</v>
      </c>
      <c r="C7" s="4" t="s">
        <v>210</v>
      </c>
      <c r="D7" s="4">
        <f>+'Calculadora INC Julio'!G19</f>
        <v>3539</v>
      </c>
      <c r="E7" s="4">
        <f t="shared" si="0"/>
        <v>3539</v>
      </c>
      <c r="G7" s="6">
        <f t="shared" si="1"/>
        <v>3539</v>
      </c>
      <c r="H7" s="3" t="s">
        <v>15</v>
      </c>
      <c r="I7" s="3">
        <v>3917</v>
      </c>
      <c r="J7" s="3">
        <v>7.7</v>
      </c>
    </row>
    <row r="8" spans="2:13" ht="14.25" customHeight="1" x14ac:dyDescent="0.2">
      <c r="B8" s="3" t="s">
        <v>16</v>
      </c>
      <c r="C8" s="4" t="s">
        <v>210</v>
      </c>
      <c r="D8" s="4">
        <f>+'Calculadora INC Julio'!G20</f>
        <v>500</v>
      </c>
      <c r="E8" s="4">
        <f t="shared" si="0"/>
        <v>500</v>
      </c>
      <c r="G8" s="6">
        <f t="shared" si="1"/>
        <v>500</v>
      </c>
    </row>
    <row r="9" spans="2:13" ht="14.25" customHeight="1" x14ac:dyDescent="0.2">
      <c r="B9" s="3" t="s">
        <v>18</v>
      </c>
      <c r="C9" s="4">
        <v>0</v>
      </c>
      <c r="D9" s="4">
        <f>+'Calculadora INC Julio'!G21</f>
        <v>23000</v>
      </c>
      <c r="E9" s="4">
        <f t="shared" si="0"/>
        <v>23000</v>
      </c>
      <c r="G9" s="6">
        <f t="shared" si="1"/>
        <v>23000</v>
      </c>
      <c r="I9" s="4">
        <f t="shared" ref="I9:J9" si="2">+I3*I7</f>
        <v>754782388.91033518</v>
      </c>
      <c r="J9" s="4">
        <f t="shared" si="2"/>
        <v>370935.94553290663</v>
      </c>
      <c r="M9" s="4"/>
    </row>
    <row r="10" spans="2:13" ht="14.25" customHeight="1" x14ac:dyDescent="0.2">
      <c r="B10" s="3" t="s">
        <v>20</v>
      </c>
      <c r="C10" s="4"/>
      <c r="D10" s="4">
        <f>+'Calculadora INC Julio'!G16+105</f>
        <v>210</v>
      </c>
      <c r="E10" s="4">
        <f t="shared" si="0"/>
        <v>210</v>
      </c>
      <c r="G10" s="6">
        <f t="shared" si="1"/>
        <v>210</v>
      </c>
      <c r="M10" s="4"/>
    </row>
    <row r="11" spans="2:13" ht="14.25" customHeight="1" x14ac:dyDescent="0.2">
      <c r="B11" s="3" t="s">
        <v>22</v>
      </c>
      <c r="C11" s="4"/>
      <c r="D11" s="4">
        <f>+'Calculadora INC Julio'!G17+87.5</f>
        <v>175</v>
      </c>
      <c r="E11" s="4">
        <f t="shared" si="0"/>
        <v>175</v>
      </c>
      <c r="G11" s="6">
        <f t="shared" si="1"/>
        <v>175</v>
      </c>
      <c r="L11" s="8"/>
    </row>
    <row r="12" spans="2:13" ht="14.25" customHeight="1" x14ac:dyDescent="0.2">
      <c r="B12" s="3" t="s">
        <v>24</v>
      </c>
      <c r="C12" s="4"/>
      <c r="D12" s="4">
        <f>+'Calculadora INC Julio'!G18+350</f>
        <v>700</v>
      </c>
      <c r="E12" s="4">
        <f t="shared" si="0"/>
        <v>700</v>
      </c>
      <c r="G12" s="6">
        <f t="shared" si="1"/>
        <v>700</v>
      </c>
    </row>
    <row r="13" spans="2:13" ht="14.25" customHeight="1" x14ac:dyDescent="0.2">
      <c r="B13" s="3" t="s">
        <v>25</v>
      </c>
      <c r="C13" s="4">
        <f>+'[3]Calculadora MCS Enero-24'!C19</f>
        <v>0</v>
      </c>
      <c r="D13" s="4">
        <f>+'Calculadora INC Mayo'!G22</f>
        <v>0</v>
      </c>
      <c r="E13" s="4">
        <f t="shared" si="0"/>
        <v>0</v>
      </c>
      <c r="G13" s="6">
        <f t="shared" si="1"/>
        <v>0</v>
      </c>
    </row>
    <row r="14" spans="2:13" ht="14.25" customHeight="1" x14ac:dyDescent="0.2">
      <c r="B14" s="3" t="s">
        <v>26</v>
      </c>
      <c r="C14" s="4"/>
      <c r="D14" s="4"/>
      <c r="E14" s="4">
        <v>4459</v>
      </c>
      <c r="G14" s="6">
        <f t="shared" si="1"/>
        <v>4459</v>
      </c>
    </row>
    <row r="15" spans="2:13" ht="14.25" customHeight="1" x14ac:dyDescent="0.2">
      <c r="B15" s="3" t="s">
        <v>27</v>
      </c>
      <c r="C15" s="4"/>
      <c r="D15" s="4"/>
      <c r="E15" s="4">
        <v>924</v>
      </c>
      <c r="G15" s="6">
        <f t="shared" si="1"/>
        <v>924</v>
      </c>
    </row>
    <row r="16" spans="2:13" ht="14.25" customHeight="1" x14ac:dyDescent="0.2">
      <c r="C16" s="9">
        <f t="shared" ref="C16:D16" si="3">SUM(C3:C13)</f>
        <v>210641.14722164749</v>
      </c>
      <c r="D16" s="9">
        <f t="shared" si="3"/>
        <v>83037.849877642497</v>
      </c>
      <c r="E16" s="9">
        <f>SUM(E3:E15)</f>
        <v>299061.99709929002</v>
      </c>
      <c r="G16" s="10">
        <f>SUM(G3:G15)</f>
        <v>280358.27082253119</v>
      </c>
    </row>
    <row r="17" spans="2:13" ht="14.25" customHeight="1" x14ac:dyDescent="0.2">
      <c r="B17" s="1" t="s">
        <v>28</v>
      </c>
      <c r="C17" s="11"/>
      <c r="D17" s="11"/>
      <c r="E17" s="11"/>
    </row>
    <row r="18" spans="2:13" ht="14.25" customHeight="1" x14ac:dyDescent="0.2">
      <c r="C18" s="4"/>
      <c r="D18" s="4"/>
      <c r="E18" s="4"/>
    </row>
    <row r="19" spans="2:13" ht="14.25" customHeight="1" x14ac:dyDescent="0.2">
      <c r="C19" s="4"/>
      <c r="D19" s="4"/>
      <c r="E19" s="4"/>
      <c r="F19" s="4"/>
    </row>
    <row r="20" spans="2:13" ht="14.25" customHeight="1" x14ac:dyDescent="0.2">
      <c r="B20" s="1" t="s">
        <v>29</v>
      </c>
      <c r="C20" s="4"/>
      <c r="D20" s="4"/>
    </row>
    <row r="21" spans="2:13" ht="14.25" customHeight="1" x14ac:dyDescent="0.2">
      <c r="B21" s="3" t="s">
        <v>30</v>
      </c>
      <c r="C21" s="4">
        <f>+'Calculadora MCS Julio'!G14</f>
        <v>-19243</v>
      </c>
      <c r="D21" s="4"/>
      <c r="E21" s="4">
        <f t="shared" ref="E21:E30" si="4">SUM(C21:D21)</f>
        <v>-19243</v>
      </c>
      <c r="F21" s="4" t="s">
        <v>31</v>
      </c>
      <c r="G21" s="12">
        <f t="shared" ref="G21:G30" si="5">E21</f>
        <v>-19243</v>
      </c>
    </row>
    <row r="22" spans="2:13" ht="14.25" customHeight="1" x14ac:dyDescent="0.2">
      <c r="B22" s="3" t="s">
        <v>32</v>
      </c>
      <c r="C22" s="4">
        <f>+'Calculadora MCS Julio'!G15</f>
        <v>-2252</v>
      </c>
      <c r="D22" s="4"/>
      <c r="E22" s="4">
        <f t="shared" si="4"/>
        <v>-2252</v>
      </c>
      <c r="F22" s="4" t="s">
        <v>31</v>
      </c>
      <c r="G22" s="12">
        <f t="shared" si="5"/>
        <v>-2252</v>
      </c>
    </row>
    <row r="23" spans="2:13" ht="14.25" customHeight="1" x14ac:dyDescent="0.2">
      <c r="B23" s="3" t="s">
        <v>33</v>
      </c>
      <c r="C23" s="4">
        <f>+'Calculadora MCS Julio'!G16</f>
        <v>-187.5</v>
      </c>
      <c r="D23" s="4"/>
      <c r="E23" s="4">
        <f t="shared" si="4"/>
        <v>-187.5</v>
      </c>
      <c r="F23" s="4" t="s">
        <v>31</v>
      </c>
      <c r="G23" s="12">
        <f t="shared" si="5"/>
        <v>-187.5</v>
      </c>
    </row>
    <row r="24" spans="2:13" ht="14.25" customHeight="1" x14ac:dyDescent="0.2">
      <c r="B24" s="3" t="s">
        <v>34</v>
      </c>
      <c r="C24" s="4">
        <f>+'Calculadora MCS Julio'!G17</f>
        <v>-861.79</v>
      </c>
      <c r="D24" s="4"/>
      <c r="E24" s="4">
        <f t="shared" si="4"/>
        <v>-861.79</v>
      </c>
      <c r="F24" s="4" t="s">
        <v>31</v>
      </c>
      <c r="G24" s="12">
        <f t="shared" si="5"/>
        <v>-861.79</v>
      </c>
    </row>
    <row r="25" spans="2:13" ht="14.25" customHeight="1" x14ac:dyDescent="0.2">
      <c r="B25" s="13" t="s">
        <v>35</v>
      </c>
      <c r="C25" s="4">
        <f>'Calculadora MCS Julio'!F19</f>
        <v>-3679.38</v>
      </c>
      <c r="D25" s="4">
        <v>0</v>
      </c>
      <c r="E25" s="4">
        <f t="shared" si="4"/>
        <v>-3679.38</v>
      </c>
      <c r="F25" s="4" t="s">
        <v>31</v>
      </c>
      <c r="G25" s="12">
        <f t="shared" si="5"/>
        <v>-3679.38</v>
      </c>
      <c r="K25" s="14"/>
    </row>
    <row r="26" spans="2:13" ht="14.25" customHeight="1" x14ac:dyDescent="0.2">
      <c r="B26" s="13" t="s">
        <v>67</v>
      </c>
      <c r="C26" s="4">
        <f>+'Calculadora MCS Julio'!F18</f>
        <v>-2995.63</v>
      </c>
      <c r="D26" s="4"/>
      <c r="E26" s="4">
        <f t="shared" si="4"/>
        <v>-2995.63</v>
      </c>
      <c r="F26" s="4" t="s">
        <v>31</v>
      </c>
      <c r="G26" s="12">
        <f t="shared" si="5"/>
        <v>-2995.63</v>
      </c>
    </row>
    <row r="27" spans="2:13" ht="14.25" customHeight="1" x14ac:dyDescent="0.2">
      <c r="B27" s="13" t="s">
        <v>37</v>
      </c>
      <c r="C27" s="4">
        <f>+'Calculadora MCS Julio'!G20</f>
        <v>0</v>
      </c>
      <c r="D27" s="4"/>
      <c r="E27" s="4">
        <f t="shared" si="4"/>
        <v>0</v>
      </c>
      <c r="F27" s="4" t="s">
        <v>31</v>
      </c>
      <c r="G27" s="12">
        <f t="shared" si="5"/>
        <v>0</v>
      </c>
    </row>
    <row r="28" spans="2:13" ht="14.25" customHeight="1" x14ac:dyDescent="0.2">
      <c r="B28" s="3" t="s">
        <v>38</v>
      </c>
      <c r="C28" s="4" t="e">
        <f>-#REF!</f>
        <v>#REF!</v>
      </c>
      <c r="D28" s="4"/>
      <c r="E28" s="4" t="e">
        <f t="shared" si="4"/>
        <v>#REF!</v>
      </c>
      <c r="F28" s="4" t="s">
        <v>31</v>
      </c>
      <c r="G28" s="12" t="e">
        <f t="shared" si="5"/>
        <v>#REF!</v>
      </c>
    </row>
    <row r="29" spans="2:13" ht="14.25" customHeight="1" x14ac:dyDescent="0.2">
      <c r="B29" s="3" t="s">
        <v>68</v>
      </c>
      <c r="C29" s="4" t="e">
        <f>-#REF!/6</f>
        <v>#REF!</v>
      </c>
      <c r="D29" s="4"/>
      <c r="E29" s="4" t="e">
        <f t="shared" si="4"/>
        <v>#REF!</v>
      </c>
      <c r="F29" s="4" t="s">
        <v>31</v>
      </c>
      <c r="G29" s="12" t="e">
        <f t="shared" si="5"/>
        <v>#REF!</v>
      </c>
    </row>
    <row r="30" spans="2:13" ht="14.25" customHeight="1" x14ac:dyDescent="0.2">
      <c r="B30" s="13" t="s">
        <v>40</v>
      </c>
      <c r="C30" s="4">
        <f>+'Calculadora MCS Julio'!G21</f>
        <v>-4248.2653333333328</v>
      </c>
      <c r="D30" s="4"/>
      <c r="E30" s="4">
        <f t="shared" si="4"/>
        <v>-4248.2653333333328</v>
      </c>
      <c r="F30" s="4" t="s">
        <v>31</v>
      </c>
      <c r="G30" s="12">
        <f t="shared" si="5"/>
        <v>-4248.2653333333328</v>
      </c>
    </row>
    <row r="31" spans="2:13" ht="14.25" customHeight="1" x14ac:dyDescent="0.2">
      <c r="C31" s="9" t="e">
        <f t="shared" ref="C31:E31" si="6">SUM(C21:C30)</f>
        <v>#REF!</v>
      </c>
      <c r="D31" s="9">
        <f t="shared" si="6"/>
        <v>0</v>
      </c>
      <c r="E31" s="9" t="e">
        <f t="shared" si="6"/>
        <v>#REF!</v>
      </c>
      <c r="F31" s="4"/>
      <c r="G31" s="10" t="e">
        <f>SUM(G21:G30)</f>
        <v>#REF!</v>
      </c>
      <c r="M31" s="4"/>
    </row>
    <row r="32" spans="2:13" ht="14.25" customHeight="1" x14ac:dyDescent="0.2">
      <c r="C32" s="4"/>
      <c r="D32" s="4"/>
      <c r="E32" s="4"/>
      <c r="F32" s="4"/>
      <c r="G32" s="4"/>
    </row>
    <row r="33" spans="2:14" ht="14.25" customHeight="1" x14ac:dyDescent="0.2">
      <c r="C33" s="4"/>
      <c r="D33" s="4"/>
      <c r="E33" s="4"/>
      <c r="F33" s="4"/>
      <c r="G33" s="4"/>
    </row>
    <row r="34" spans="2:14" ht="14.25" customHeight="1" x14ac:dyDescent="0.2">
      <c r="C34" s="4"/>
      <c r="D34" s="4"/>
      <c r="E34" s="4"/>
      <c r="F34" s="4"/>
      <c r="G34" s="4"/>
    </row>
    <row r="35" spans="2:14" ht="14.25" customHeight="1" x14ac:dyDescent="0.2">
      <c r="B35" s="15"/>
      <c r="C35" s="15"/>
      <c r="D35" s="16" t="s">
        <v>42</v>
      </c>
      <c r="E35" s="16" t="s">
        <v>43</v>
      </c>
      <c r="F35" s="16" t="s">
        <v>44</v>
      </c>
      <c r="G35" s="16"/>
    </row>
    <row r="36" spans="2:14" ht="14.25" customHeight="1" x14ac:dyDescent="0.2">
      <c r="B36" s="15" t="s">
        <v>45</v>
      </c>
      <c r="C36" s="17">
        <v>0.8</v>
      </c>
      <c r="D36" s="18">
        <f t="shared" ref="D36:D38" si="7">+$G$16*C36</f>
        <v>224286.61665802496</v>
      </c>
      <c r="E36" s="18" t="e">
        <f>+G31</f>
        <v>#REF!</v>
      </c>
      <c r="F36" s="18" t="e">
        <f t="shared" ref="F36:F38" si="8">+D36+E36</f>
        <v>#REF!</v>
      </c>
      <c r="G36" s="18"/>
      <c r="I36" s="4">
        <f>+D36-H5</f>
        <v>172392.11665802493</v>
      </c>
    </row>
    <row r="37" spans="2:14" ht="14.25" customHeight="1" x14ac:dyDescent="0.2">
      <c r="B37" s="15" t="s">
        <v>46</v>
      </c>
      <c r="C37" s="17"/>
      <c r="D37" s="18">
        <f t="shared" si="7"/>
        <v>0</v>
      </c>
      <c r="E37" s="18"/>
      <c r="F37" s="18">
        <f t="shared" si="8"/>
        <v>0</v>
      </c>
      <c r="G37" s="18"/>
      <c r="I37" s="4">
        <f>+I36*I7</f>
        <v>675259920.94948363</v>
      </c>
    </row>
    <row r="38" spans="2:14" ht="14.25" customHeight="1" x14ac:dyDescent="0.2">
      <c r="B38" s="15" t="s">
        <v>7</v>
      </c>
      <c r="C38" s="17">
        <v>0.2</v>
      </c>
      <c r="D38" s="18">
        <f t="shared" si="7"/>
        <v>56071.654164506239</v>
      </c>
      <c r="E38" s="18">
        <v>0</v>
      </c>
      <c r="F38" s="18">
        <f t="shared" si="8"/>
        <v>56071.654164506239</v>
      </c>
      <c r="G38" s="18"/>
      <c r="N38" s="4"/>
    </row>
    <row r="39" spans="2:14" ht="14.25" customHeight="1" x14ac:dyDescent="0.2">
      <c r="B39" s="15"/>
      <c r="C39" s="15"/>
      <c r="D39" s="15"/>
      <c r="E39" s="15"/>
      <c r="F39" s="15"/>
      <c r="G39" s="15"/>
    </row>
    <row r="40" spans="2:14" ht="14.25" customHeight="1" x14ac:dyDescent="0.2">
      <c r="B40" s="15"/>
      <c r="C40" s="19">
        <f t="shared" ref="C40:F40" si="9">C36+C37+C38</f>
        <v>1</v>
      </c>
      <c r="D40" s="20">
        <f t="shared" si="9"/>
        <v>280358.27082253119</v>
      </c>
      <c r="E40" s="20" t="e">
        <f t="shared" si="9"/>
        <v>#REF!</v>
      </c>
      <c r="F40" s="20" t="e">
        <f t="shared" si="9"/>
        <v>#REF!</v>
      </c>
      <c r="G40" s="20"/>
    </row>
    <row r="41" spans="2:14" ht="14.25" customHeight="1" x14ac:dyDescent="0.2">
      <c r="B41" s="13"/>
      <c r="C41" s="4"/>
      <c r="D41" s="4"/>
      <c r="E41" s="4"/>
      <c r="F41" s="4"/>
      <c r="G41" s="4"/>
    </row>
    <row r="42" spans="2:14" ht="14.25" customHeight="1" x14ac:dyDescent="0.2">
      <c r="B42" s="13"/>
      <c r="C42" s="4"/>
      <c r="D42" s="4"/>
      <c r="E42" s="4"/>
      <c r="F42" s="4"/>
      <c r="G42" s="4"/>
    </row>
    <row r="43" spans="2:14" ht="14.25" customHeight="1" x14ac:dyDescent="0.2">
      <c r="B43" s="13" t="s">
        <v>69</v>
      </c>
      <c r="C43" s="4"/>
      <c r="D43" s="13"/>
      <c r="E43" s="4"/>
      <c r="F43" s="4"/>
      <c r="G43" s="4"/>
    </row>
    <row r="44" spans="2:14" ht="14.25" customHeight="1" x14ac:dyDescent="0.2">
      <c r="B44" s="13" t="s">
        <v>60</v>
      </c>
      <c r="C44" s="13"/>
      <c r="D44" s="8" t="e">
        <f>+F36</f>
        <v>#REF!</v>
      </c>
    </row>
    <row r="45" spans="2:14" ht="14.25" customHeight="1" x14ac:dyDescent="0.2">
      <c r="B45" s="13" t="s">
        <v>49</v>
      </c>
      <c r="C45" s="13"/>
      <c r="D45" s="8">
        <v>17051</v>
      </c>
    </row>
    <row r="46" spans="2:14" ht="14.25" customHeight="1" x14ac:dyDescent="0.2">
      <c r="B46" s="13" t="s">
        <v>70</v>
      </c>
      <c r="C46" s="13"/>
      <c r="D46" s="8">
        <v>11238.07</v>
      </c>
    </row>
    <row r="47" spans="2:14" ht="14.25" customHeight="1" x14ac:dyDescent="0.2">
      <c r="B47" s="13" t="s">
        <v>71</v>
      </c>
      <c r="C47" s="21"/>
      <c r="D47" s="8">
        <v>10841.91</v>
      </c>
    </row>
    <row r="48" spans="2:14" ht="14.25" customHeight="1" x14ac:dyDescent="0.2">
      <c r="D48" s="76" t="e">
        <f>SUM(D44:D47)</f>
        <v>#REF!</v>
      </c>
    </row>
    <row r="49" spans="2:4" ht="14.25" customHeight="1" x14ac:dyDescent="0.2"/>
    <row r="50" spans="2:4" ht="14.25" customHeight="1" x14ac:dyDescent="0.2">
      <c r="B50" s="13" t="s">
        <v>72</v>
      </c>
      <c r="D50" s="8">
        <f>+F38</f>
        <v>56071.654164506239</v>
      </c>
    </row>
    <row r="51" spans="2:4" ht="14.25" customHeight="1" x14ac:dyDescent="0.2">
      <c r="D51" s="76">
        <f>+D50</f>
        <v>56071.654164506239</v>
      </c>
    </row>
    <row r="52" spans="2:4" ht="14.25" customHeight="1" x14ac:dyDescent="0.2"/>
    <row r="53" spans="2:4" ht="14.25" customHeight="1" x14ac:dyDescent="0.2">
      <c r="D53" s="76" t="e">
        <f>+D48+D51</f>
        <v>#REF!</v>
      </c>
    </row>
    <row r="54" spans="2:4" ht="14.25" customHeight="1" x14ac:dyDescent="0.2"/>
    <row r="55" spans="2:4" ht="14.25" customHeight="1" x14ac:dyDescent="0.2"/>
    <row r="56" spans="2:4" ht="14.25" customHeight="1" x14ac:dyDescent="0.2"/>
    <row r="57" spans="2:4" ht="14.25" customHeight="1" x14ac:dyDescent="0.2"/>
    <row r="58" spans="2:4" ht="14.25" customHeight="1" x14ac:dyDescent="0.2"/>
    <row r="59" spans="2:4" ht="14.25" customHeight="1" x14ac:dyDescent="0.2"/>
    <row r="60" spans="2:4" ht="14.25" customHeight="1" x14ac:dyDescent="0.2"/>
    <row r="61" spans="2:4" ht="14.25" customHeight="1" x14ac:dyDescent="0.2"/>
    <row r="62" spans="2:4" ht="14.25" customHeight="1" x14ac:dyDescent="0.2"/>
    <row r="63" spans="2:4" ht="14.25" customHeight="1" x14ac:dyDescent="0.2"/>
    <row r="64" spans="2: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23.5" customWidth="1"/>
    <col min="5" max="5" width="17.33203125" customWidth="1"/>
    <col min="6" max="6" width="13.33203125" customWidth="1"/>
    <col min="7" max="7" width="13.6640625" customWidth="1"/>
    <col min="8" max="8" width="16" customWidth="1"/>
    <col min="9" max="9" width="5.33203125" customWidth="1"/>
    <col min="10" max="26" width="10.6640625" customWidth="1"/>
  </cols>
  <sheetData>
    <row r="1" spans="1:9" ht="14.25" customHeight="1" x14ac:dyDescent="0.2"/>
    <row r="2" spans="1:9" ht="14.25" customHeight="1" x14ac:dyDescent="0.2">
      <c r="B2" s="23"/>
      <c r="C2" s="24"/>
      <c r="D2" s="24"/>
      <c r="E2" s="24"/>
      <c r="F2" s="24"/>
      <c r="G2" s="24"/>
      <c r="H2" s="24"/>
      <c r="I2" s="25"/>
    </row>
    <row r="3" spans="1:9" ht="14.25" customHeight="1" x14ac:dyDescent="0.2">
      <c r="A3" s="26"/>
      <c r="B3" s="27"/>
      <c r="C3" s="293" t="s">
        <v>52</v>
      </c>
      <c r="D3" s="294"/>
      <c r="E3" s="294"/>
      <c r="F3" s="294"/>
      <c r="G3" s="294"/>
      <c r="H3" s="296"/>
      <c r="I3" s="28"/>
    </row>
    <row r="4" spans="1:9" ht="14.25" customHeight="1" x14ac:dyDescent="0.2">
      <c r="A4" s="26"/>
      <c r="B4" s="27"/>
      <c r="C4" s="297"/>
      <c r="D4" s="286"/>
      <c r="E4" s="286"/>
      <c r="F4" s="286"/>
      <c r="G4" s="286"/>
      <c r="H4" s="30"/>
      <c r="I4" s="28"/>
    </row>
    <row r="5" spans="1:9" ht="14.25" customHeight="1" x14ac:dyDescent="0.2">
      <c r="A5" s="26"/>
      <c r="B5" s="27"/>
      <c r="C5" s="31"/>
      <c r="D5" s="26"/>
      <c r="E5" s="26"/>
      <c r="F5" s="26"/>
      <c r="G5" s="26"/>
      <c r="H5" s="32"/>
      <c r="I5" s="28"/>
    </row>
    <row r="6" spans="1:9" ht="14.25" customHeight="1" x14ac:dyDescent="0.2">
      <c r="A6" s="26"/>
      <c r="B6" s="27"/>
      <c r="C6" s="33"/>
      <c r="D6" s="26"/>
      <c r="E6" s="34"/>
      <c r="F6" s="35" t="s">
        <v>53</v>
      </c>
      <c r="G6" s="36">
        <f ca="1">TODAY()</f>
        <v>45974</v>
      </c>
      <c r="H6" s="37"/>
      <c r="I6" s="28"/>
    </row>
    <row r="7" spans="1:9" ht="14.25" customHeight="1" x14ac:dyDescent="0.2">
      <c r="A7" s="26"/>
      <c r="B7" s="27"/>
      <c r="C7" s="33"/>
      <c r="D7" s="26"/>
      <c r="E7" s="34"/>
      <c r="F7" s="35"/>
      <c r="G7" s="26"/>
      <c r="H7" s="32"/>
      <c r="I7" s="28"/>
    </row>
    <row r="8" spans="1:9" ht="14.25" customHeight="1" x14ac:dyDescent="0.2">
      <c r="A8" s="26"/>
      <c r="B8" s="27"/>
      <c r="C8" s="38"/>
      <c r="D8" s="39"/>
      <c r="E8" s="34"/>
      <c r="F8" s="35"/>
      <c r="G8" s="26"/>
      <c r="H8" s="32"/>
      <c r="I8" s="28"/>
    </row>
    <row r="9" spans="1:9" ht="14.25" customHeight="1" x14ac:dyDescent="0.2">
      <c r="A9" s="26"/>
      <c r="B9" s="27"/>
      <c r="C9" s="40"/>
      <c r="D9" s="39"/>
      <c r="E9" s="34"/>
      <c r="F9" s="35"/>
      <c r="G9" s="26"/>
      <c r="H9" s="32"/>
      <c r="I9" s="28"/>
    </row>
    <row r="10" spans="1:9" ht="14.25" customHeight="1" x14ac:dyDescent="0.2">
      <c r="A10" s="26"/>
      <c r="B10" s="27"/>
      <c r="C10" s="41"/>
      <c r="D10" s="42"/>
      <c r="E10" s="34"/>
      <c r="F10" s="26"/>
      <c r="G10" s="26"/>
      <c r="H10" s="32"/>
      <c r="I10" s="28"/>
    </row>
    <row r="11" spans="1:9" ht="14.25" customHeight="1" x14ac:dyDescent="0.2">
      <c r="A11" s="26"/>
      <c r="B11" s="27"/>
      <c r="C11" s="43" t="s">
        <v>54</v>
      </c>
      <c r="D11" s="44" t="s">
        <v>55</v>
      </c>
      <c r="E11" s="44" t="s">
        <v>56</v>
      </c>
      <c r="F11" s="44" t="s">
        <v>57</v>
      </c>
      <c r="G11" s="44" t="s">
        <v>58</v>
      </c>
      <c r="H11" s="45" t="s">
        <v>59</v>
      </c>
      <c r="I11" s="28"/>
    </row>
    <row r="12" spans="1:9" ht="14.25" customHeight="1" x14ac:dyDescent="0.2">
      <c r="A12" s="26"/>
      <c r="B12" s="27"/>
      <c r="C12" s="46">
        <v>1</v>
      </c>
      <c r="D12" s="47" t="s">
        <v>60</v>
      </c>
      <c r="E12" s="48">
        <v>1</v>
      </c>
      <c r="F12" s="49">
        <f>+'Servicios de Cabina INC'!Q61</f>
        <v>48826.349877642504</v>
      </c>
      <c r="G12" s="50">
        <f>'Calculadora INC Julio'!$E12*'Calculadora INC Julio'!$F12</f>
        <v>48826.349877642504</v>
      </c>
      <c r="H12" s="51">
        <f>+'Calculadora INC Junio'!$G12</f>
        <v>49797.179278977499</v>
      </c>
      <c r="I12" s="28"/>
    </row>
    <row r="13" spans="1:9" ht="14.25" customHeight="1" x14ac:dyDescent="0.2">
      <c r="A13" s="26"/>
      <c r="B13" s="27"/>
      <c r="C13" s="46">
        <v>2</v>
      </c>
      <c r="D13" s="47" t="s">
        <v>12</v>
      </c>
      <c r="E13" s="52">
        <v>47</v>
      </c>
      <c r="F13" s="49">
        <v>12.5</v>
      </c>
      <c r="G13" s="50">
        <f>'Calculadora INC Julio'!$E13*'Calculadora INC Julio'!$F13</f>
        <v>587.5</v>
      </c>
      <c r="H13" s="53">
        <f>+G12-H12</f>
        <v>-970.82940133499505</v>
      </c>
      <c r="I13" s="28"/>
    </row>
    <row r="14" spans="1:9" ht="14.25" customHeight="1" x14ac:dyDescent="0.2">
      <c r="A14" s="26"/>
      <c r="B14" s="27"/>
      <c r="C14" s="46">
        <v>3</v>
      </c>
      <c r="D14" s="47" t="s">
        <v>61</v>
      </c>
      <c r="E14" s="52">
        <v>3</v>
      </c>
      <c r="F14" s="49">
        <v>1500</v>
      </c>
      <c r="G14" s="50">
        <f>'Calculadora INC Julio'!$E14*'Calculadora INC Julio'!$F14</f>
        <v>4500</v>
      </c>
      <c r="H14" s="54">
        <f>+H13/H12</f>
        <v>-1.9495670545838381E-2</v>
      </c>
      <c r="I14" s="28"/>
    </row>
    <row r="15" spans="1:9" ht="14.25" customHeight="1" x14ac:dyDescent="0.2">
      <c r="A15" s="26"/>
      <c r="B15" s="27"/>
      <c r="C15" s="46">
        <v>4</v>
      </c>
      <c r="D15" s="47" t="s">
        <v>62</v>
      </c>
      <c r="E15" s="55">
        <v>1</v>
      </c>
      <c r="F15" s="49">
        <v>1000</v>
      </c>
      <c r="G15" s="50">
        <f>'Calculadora INC Julio'!$E15*'Calculadora INC Julio'!$F15</f>
        <v>1000</v>
      </c>
      <c r="H15" s="56"/>
      <c r="I15" s="28"/>
    </row>
    <row r="16" spans="1:9" ht="14.25" customHeight="1" x14ac:dyDescent="0.2">
      <c r="A16" s="26"/>
      <c r="B16" s="27"/>
      <c r="C16" s="46">
        <v>5</v>
      </c>
      <c r="D16" s="47" t="s">
        <v>20</v>
      </c>
      <c r="E16" s="55">
        <v>1</v>
      </c>
      <c r="F16" s="49">
        <v>105</v>
      </c>
      <c r="G16" s="50">
        <f>'Calculadora INC Julio'!$E16*'Calculadora INC Julio'!$F16</f>
        <v>105</v>
      </c>
      <c r="H16" s="56"/>
      <c r="I16" s="28"/>
    </row>
    <row r="17" spans="1:9" ht="14.25" customHeight="1" x14ac:dyDescent="0.2">
      <c r="A17" s="26"/>
      <c r="B17" s="27"/>
      <c r="C17" s="46">
        <v>6</v>
      </c>
      <c r="D17" s="47" t="s">
        <v>22</v>
      </c>
      <c r="E17" s="55">
        <v>1</v>
      </c>
      <c r="F17" s="49">
        <v>87.5</v>
      </c>
      <c r="G17" s="50">
        <f>'Calculadora INC Julio'!$E17*'Calculadora INC Julio'!$F17</f>
        <v>87.5</v>
      </c>
      <c r="H17" s="56"/>
      <c r="I17" s="28"/>
    </row>
    <row r="18" spans="1:9" ht="14.25" customHeight="1" x14ac:dyDescent="0.2">
      <c r="A18" s="26"/>
      <c r="B18" s="27"/>
      <c r="C18" s="46">
        <v>7</v>
      </c>
      <c r="D18" s="47" t="s">
        <v>24</v>
      </c>
      <c r="E18" s="55">
        <v>1</v>
      </c>
      <c r="F18" s="49">
        <v>350</v>
      </c>
      <c r="G18" s="50">
        <f>'Calculadora INC Julio'!$E18*'Calculadora INC Julio'!$F18</f>
        <v>350</v>
      </c>
      <c r="H18" s="56"/>
      <c r="I18" s="28"/>
    </row>
    <row r="19" spans="1:9" ht="14.25" customHeight="1" x14ac:dyDescent="0.2">
      <c r="A19" s="26"/>
      <c r="B19" s="27"/>
      <c r="C19" s="46">
        <v>8</v>
      </c>
      <c r="D19" s="47" t="s">
        <v>14</v>
      </c>
      <c r="E19" s="55">
        <v>1</v>
      </c>
      <c r="F19" s="49">
        <v>3539</v>
      </c>
      <c r="G19" s="50">
        <f>'Calculadora INC Julio'!$E19*'Calculadora INC Julio'!$F19</f>
        <v>3539</v>
      </c>
      <c r="H19" s="56"/>
      <c r="I19" s="28"/>
    </row>
    <row r="20" spans="1:9" ht="14.25" customHeight="1" x14ac:dyDescent="0.2">
      <c r="A20" s="26"/>
      <c r="B20" s="27"/>
      <c r="C20" s="46">
        <v>9</v>
      </c>
      <c r="D20" s="47" t="s">
        <v>16</v>
      </c>
      <c r="E20" s="55">
        <v>1</v>
      </c>
      <c r="F20" s="49">
        <v>500</v>
      </c>
      <c r="G20" s="50">
        <f>'Calculadora INC Julio'!$E20*'Calculadora INC Julio'!$F20</f>
        <v>500</v>
      </c>
      <c r="H20" s="56"/>
      <c r="I20" s="28"/>
    </row>
    <row r="21" spans="1:9" ht="14.25" customHeight="1" x14ac:dyDescent="0.2">
      <c r="A21" s="26"/>
      <c r="B21" s="27"/>
      <c r="C21" s="46">
        <v>10</v>
      </c>
      <c r="D21" s="47" t="s">
        <v>18</v>
      </c>
      <c r="E21" s="55">
        <v>1</v>
      </c>
      <c r="F21" s="57">
        <f>23000</f>
        <v>23000</v>
      </c>
      <c r="G21" s="50">
        <f>'Calculadora INC Julio'!$E21*'Calculadora INC Julio'!$F21</f>
        <v>23000</v>
      </c>
      <c r="H21" s="56"/>
      <c r="I21" s="28"/>
    </row>
    <row r="22" spans="1:9" ht="14.25" customHeight="1" x14ac:dyDescent="0.2">
      <c r="A22" s="26"/>
      <c r="B22" s="27"/>
      <c r="C22" s="46">
        <v>11</v>
      </c>
      <c r="D22" s="47" t="s">
        <v>63</v>
      </c>
      <c r="E22" s="55">
        <v>1</v>
      </c>
      <c r="F22" s="49">
        <v>0</v>
      </c>
      <c r="G22" s="50">
        <f>'Calculadora INC Julio'!$E22*'Calculadora INC Julio'!$F22</f>
        <v>0</v>
      </c>
      <c r="H22" s="56"/>
      <c r="I22" s="28"/>
    </row>
    <row r="23" spans="1:9" ht="14.25" customHeight="1" x14ac:dyDescent="0.2">
      <c r="A23" s="26"/>
      <c r="B23" s="27"/>
      <c r="C23" s="58"/>
      <c r="D23" s="59"/>
      <c r="E23" s="59"/>
      <c r="F23" s="60" t="s">
        <v>57</v>
      </c>
      <c r="G23" s="50">
        <f>SUM(G12:G22)</f>
        <v>82495.349877642497</v>
      </c>
      <c r="H23" s="61"/>
      <c r="I23" s="28"/>
    </row>
    <row r="24" spans="1:9" ht="14.25" customHeight="1" x14ac:dyDescent="0.2">
      <c r="A24" s="26"/>
      <c r="B24" s="27"/>
      <c r="C24" s="298"/>
      <c r="D24" s="299"/>
      <c r="E24" s="62"/>
      <c r="F24" s="63"/>
      <c r="G24" s="64"/>
      <c r="H24" s="65"/>
      <c r="I24" s="28"/>
    </row>
    <row r="25" spans="1:9" ht="14.25" customHeight="1" x14ac:dyDescent="0.2">
      <c r="A25" s="26"/>
      <c r="B25" s="66"/>
      <c r="C25" s="290"/>
      <c r="D25" s="291"/>
      <c r="E25" s="67"/>
      <c r="F25" s="68" t="e">
        <f>'Calculadora INC Julio'!Saldo_pendiente</f>
        <v>#REF!</v>
      </c>
      <c r="G25" s="69"/>
      <c r="H25" s="69"/>
      <c r="I25" s="70"/>
    </row>
    <row r="26" spans="1:9" ht="14.25" customHeight="1" x14ac:dyDescent="0.2"/>
    <row r="27" spans="1:9" ht="14.25" customHeight="1" x14ac:dyDescent="0.2"/>
    <row r="28" spans="1:9" ht="14.25" customHeight="1" x14ac:dyDescent="0.2"/>
    <row r="29" spans="1:9" ht="14.25" customHeight="1" x14ac:dyDescent="0.2"/>
    <row r="30" spans="1:9" ht="14.25" customHeight="1" x14ac:dyDescent="0.2"/>
    <row r="31" spans="1:9" ht="14.25" customHeight="1" x14ac:dyDescent="0.2"/>
    <row r="32" spans="1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4">
    <mergeCell ref="C3:H3"/>
    <mergeCell ref="C4:G4"/>
    <mergeCell ref="C24:D24"/>
    <mergeCell ref="C25:D25"/>
  </mergeCells>
  <pageMargins left="0.7" right="0.7" top="0.75" bottom="0.75" header="0" footer="0"/>
  <pageSetup orientation="landscape"/>
  <drawing r:id="rId1"/>
  <legacyDrawing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topLeftCell="A10" workbookViewId="0"/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3.5" customWidth="1"/>
    <col min="5" max="5" width="17.33203125" customWidth="1"/>
    <col min="6" max="6" width="13.33203125" customWidth="1"/>
    <col min="7" max="7" width="14.6640625" customWidth="1"/>
    <col min="8" max="8" width="16" customWidth="1"/>
    <col min="9" max="9" width="5.33203125" customWidth="1"/>
    <col min="10" max="26" width="10.6640625" customWidth="1"/>
  </cols>
  <sheetData>
    <row r="1" spans="1:12" ht="14.25" customHeight="1" x14ac:dyDescent="0.2"/>
    <row r="2" spans="1:12" ht="14.25" customHeight="1" x14ac:dyDescent="0.2">
      <c r="B2" s="23"/>
      <c r="C2" s="24"/>
      <c r="D2" s="24"/>
      <c r="E2" s="24"/>
      <c r="F2" s="24"/>
      <c r="G2" s="24"/>
      <c r="H2" s="24"/>
      <c r="I2" s="25"/>
    </row>
    <row r="3" spans="1:12" ht="14.25" customHeight="1" x14ac:dyDescent="0.2">
      <c r="A3" s="26"/>
      <c r="B3" s="27"/>
      <c r="C3" s="293" t="s">
        <v>52</v>
      </c>
      <c r="D3" s="294"/>
      <c r="E3" s="294"/>
      <c r="F3" s="294"/>
      <c r="G3" s="294"/>
      <c r="H3" s="296"/>
      <c r="I3" s="28"/>
    </row>
    <row r="4" spans="1:12" ht="14.25" customHeight="1" x14ac:dyDescent="0.2">
      <c r="A4" s="26"/>
      <c r="B4" s="27"/>
      <c r="C4" s="297"/>
      <c r="D4" s="286"/>
      <c r="E4" s="286"/>
      <c r="F4" s="286"/>
      <c r="G4" s="286"/>
      <c r="H4" s="30"/>
      <c r="I4" s="28"/>
    </row>
    <row r="5" spans="1:12" ht="14.25" customHeight="1" x14ac:dyDescent="0.2">
      <c r="A5" s="26"/>
      <c r="B5" s="27"/>
      <c r="C5" s="31"/>
      <c r="D5" s="26"/>
      <c r="E5" s="26"/>
      <c r="F5" s="26"/>
      <c r="G5" s="26"/>
      <c r="H5" s="32"/>
      <c r="I5" s="28"/>
    </row>
    <row r="6" spans="1:12" ht="14.25" customHeight="1" x14ac:dyDescent="0.2">
      <c r="A6" s="26"/>
      <c r="B6" s="27"/>
      <c r="C6" s="33"/>
      <c r="D6" s="26"/>
      <c r="E6" s="34"/>
      <c r="F6" s="35" t="s">
        <v>53</v>
      </c>
      <c r="G6" s="36">
        <f ca="1">TODAY()</f>
        <v>45974</v>
      </c>
      <c r="H6" s="37"/>
      <c r="I6" s="28"/>
    </row>
    <row r="7" spans="1:12" ht="14.25" customHeight="1" x14ac:dyDescent="0.2">
      <c r="A7" s="26"/>
      <c r="B7" s="27"/>
      <c r="C7" s="33"/>
      <c r="D7" s="26"/>
      <c r="E7" s="34"/>
      <c r="F7" s="35"/>
      <c r="G7" s="26"/>
      <c r="H7" s="32"/>
      <c r="I7" s="28"/>
    </row>
    <row r="8" spans="1:12" ht="14.25" customHeight="1" x14ac:dyDescent="0.2">
      <c r="A8" s="26"/>
      <c r="B8" s="27"/>
      <c r="C8" s="38"/>
      <c r="D8" s="39"/>
      <c r="E8" s="34"/>
      <c r="F8" s="35"/>
      <c r="G8" s="26"/>
      <c r="H8" s="32"/>
      <c r="I8" s="28"/>
    </row>
    <row r="9" spans="1:12" ht="14.25" customHeight="1" x14ac:dyDescent="0.2">
      <c r="A9" s="26"/>
      <c r="B9" s="27"/>
      <c r="C9" s="40"/>
      <c r="D9" s="39"/>
      <c r="E9" s="34"/>
      <c r="F9" s="35"/>
      <c r="G9" s="26"/>
      <c r="H9" s="32"/>
      <c r="I9" s="28"/>
    </row>
    <row r="10" spans="1:12" ht="14.25" customHeight="1" x14ac:dyDescent="0.2">
      <c r="A10" s="26"/>
      <c r="B10" s="27"/>
      <c r="C10" s="41"/>
      <c r="D10" s="42"/>
      <c r="E10" s="34"/>
      <c r="F10" s="26"/>
      <c r="G10" s="26"/>
      <c r="H10" s="32"/>
      <c r="I10" s="28"/>
    </row>
    <row r="11" spans="1:12" ht="14.25" customHeight="1" x14ac:dyDescent="0.2">
      <c r="A11" s="26"/>
      <c r="B11" s="27"/>
      <c r="C11" s="43" t="s">
        <v>54</v>
      </c>
      <c r="D11" s="44" t="s">
        <v>55</v>
      </c>
      <c r="E11" s="44" t="s">
        <v>56</v>
      </c>
      <c r="F11" s="44" t="s">
        <v>57</v>
      </c>
      <c r="G11" s="44" t="s">
        <v>58</v>
      </c>
      <c r="H11" s="45" t="s">
        <v>59</v>
      </c>
      <c r="I11" s="28"/>
    </row>
    <row r="12" spans="1:12" ht="14.25" customHeight="1" x14ac:dyDescent="0.2">
      <c r="A12" s="26"/>
      <c r="B12" s="27"/>
      <c r="C12" s="46">
        <v>1</v>
      </c>
      <c r="D12" s="47" t="s">
        <v>60</v>
      </c>
      <c r="E12" s="48">
        <v>1</v>
      </c>
      <c r="F12" s="49">
        <f>+'Servicios de Cabina MCS'!Q61</f>
        <v>204641.14722164749</v>
      </c>
      <c r="G12" s="50">
        <f>+'Calculadora MCS Julio'!$F12</f>
        <v>204641.14722164749</v>
      </c>
      <c r="H12" s="71">
        <f>+'Calculadora MCS Junio'!$G12</f>
        <v>185937.42094488873</v>
      </c>
      <c r="I12" s="28"/>
      <c r="L12" s="72"/>
    </row>
    <row r="13" spans="1:12" ht="14.25" customHeight="1" x14ac:dyDescent="0.2">
      <c r="A13" s="26"/>
      <c r="B13" s="27"/>
      <c r="C13" s="46">
        <v>2</v>
      </c>
      <c r="D13" s="47" t="s">
        <v>61</v>
      </c>
      <c r="E13" s="52">
        <v>4</v>
      </c>
      <c r="F13" s="49">
        <v>1500</v>
      </c>
      <c r="G13" s="50">
        <f>'Calculadora MCS Julio'!$E13*'Calculadora MCS Julio'!$F13</f>
        <v>6000</v>
      </c>
      <c r="H13" s="71">
        <f>+G12-H12</f>
        <v>18703.726276758767</v>
      </c>
      <c r="I13" s="28"/>
    </row>
    <row r="14" spans="1:12" ht="14.25" customHeight="1" x14ac:dyDescent="0.2">
      <c r="A14" s="26"/>
      <c r="B14" s="27"/>
      <c r="C14" s="46">
        <v>3</v>
      </c>
      <c r="D14" s="47" t="s">
        <v>30</v>
      </c>
      <c r="E14" s="55">
        <v>1</v>
      </c>
      <c r="F14" s="49">
        <v>-19243</v>
      </c>
      <c r="G14" s="50">
        <f>'Calculadora MCS Julio'!$E14*'Calculadora MCS Julio'!$F14</f>
        <v>-19243</v>
      </c>
      <c r="H14" s="73">
        <f>+H13/H12</f>
        <v>0.10059151182000364</v>
      </c>
      <c r="I14" s="28"/>
    </row>
    <row r="15" spans="1:12" ht="14.25" customHeight="1" x14ac:dyDescent="0.2">
      <c r="A15" s="26"/>
      <c r="B15" s="27"/>
      <c r="C15" s="46">
        <v>4</v>
      </c>
      <c r="D15" s="47" t="s">
        <v>32</v>
      </c>
      <c r="E15" s="55">
        <v>1</v>
      </c>
      <c r="F15" s="49">
        <v>-2252</v>
      </c>
      <c r="G15" s="50">
        <f>'Calculadora MCS Julio'!$E15*'Calculadora MCS Julio'!$F15</f>
        <v>-2252</v>
      </c>
      <c r="H15" s="56"/>
      <c r="I15" s="28"/>
    </row>
    <row r="16" spans="1:12" ht="14.25" customHeight="1" x14ac:dyDescent="0.2">
      <c r="A16" s="26"/>
      <c r="B16" s="27"/>
      <c r="C16" s="46">
        <v>5</v>
      </c>
      <c r="D16" s="47" t="s">
        <v>64</v>
      </c>
      <c r="E16" s="55">
        <v>1</v>
      </c>
      <c r="F16" s="49">
        <v>-187.5</v>
      </c>
      <c r="G16" s="50">
        <f>'Calculadora MCS Julio'!$E16*'Calculadora MCS Julio'!$F16</f>
        <v>-187.5</v>
      </c>
      <c r="H16" s="56"/>
      <c r="I16" s="28"/>
    </row>
    <row r="17" spans="1:9" ht="14.25" customHeight="1" x14ac:dyDescent="0.2">
      <c r="A17" s="26"/>
      <c r="B17" s="27"/>
      <c r="C17" s="46">
        <v>6</v>
      </c>
      <c r="D17" s="47" t="s">
        <v>34</v>
      </c>
      <c r="E17" s="55">
        <v>1</v>
      </c>
      <c r="F17" s="49">
        <v>-861.79</v>
      </c>
      <c r="G17" s="50">
        <f>'Calculadora MCS Julio'!$E17*'Calculadora MCS Julio'!$F17</f>
        <v>-861.79</v>
      </c>
      <c r="H17" s="56"/>
      <c r="I17" s="28"/>
    </row>
    <row r="18" spans="1:9" ht="14.25" customHeight="1" x14ac:dyDescent="0.2">
      <c r="A18" s="26"/>
      <c r="B18" s="27"/>
      <c r="C18" s="46">
        <v>7</v>
      </c>
      <c r="D18" s="47" t="s">
        <v>73</v>
      </c>
      <c r="E18" s="55">
        <v>1</v>
      </c>
      <c r="F18" s="49">
        <v>-2995.63</v>
      </c>
      <c r="G18" s="50">
        <f>'Calculadora MCS Julio'!$E18*'Calculadora MCS Julio'!$F18</f>
        <v>-2995.63</v>
      </c>
      <c r="H18" s="56"/>
      <c r="I18" s="28"/>
    </row>
    <row r="19" spans="1:9" ht="14.25" customHeight="1" x14ac:dyDescent="0.2">
      <c r="A19" s="26"/>
      <c r="B19" s="27"/>
      <c r="C19" s="46">
        <v>8</v>
      </c>
      <c r="D19" s="47" t="s">
        <v>65</v>
      </c>
      <c r="E19" s="55">
        <v>1</v>
      </c>
      <c r="F19" s="49">
        <v>-3679.38</v>
      </c>
      <c r="G19" s="50">
        <f>'Calculadora MCS Julio'!$E19*'Calculadora MCS Julio'!$F19</f>
        <v>-3679.38</v>
      </c>
      <c r="H19" s="56"/>
      <c r="I19" s="28"/>
    </row>
    <row r="20" spans="1:9" ht="14.25" customHeight="1" x14ac:dyDescent="0.2">
      <c r="A20" s="26"/>
      <c r="B20" s="27"/>
      <c r="C20" s="46">
        <v>9</v>
      </c>
      <c r="D20" s="47" t="s">
        <v>37</v>
      </c>
      <c r="E20" s="55">
        <v>1</v>
      </c>
      <c r="F20" s="49">
        <v>0</v>
      </c>
      <c r="G20" s="50">
        <f>'Calculadora MCS Julio'!$E20*'Calculadora MCS Julio'!$F20</f>
        <v>0</v>
      </c>
      <c r="H20" s="56"/>
      <c r="I20" s="28"/>
    </row>
    <row r="21" spans="1:9" ht="14.25" customHeight="1" x14ac:dyDescent="0.2">
      <c r="A21" s="26"/>
      <c r="B21" s="27"/>
      <c r="C21" s="46">
        <v>10</v>
      </c>
      <c r="D21" s="47" t="s">
        <v>40</v>
      </c>
      <c r="E21" s="55">
        <v>1</v>
      </c>
      <c r="F21" s="49">
        <v>-4248.2653333333328</v>
      </c>
      <c r="G21" s="74">
        <f>'Calculadora MCS Julio'!$E21*'Calculadora MCS Julio'!$F21</f>
        <v>-4248.2653333333328</v>
      </c>
      <c r="H21" s="56"/>
      <c r="I21" s="28"/>
    </row>
    <row r="22" spans="1:9" ht="14.25" customHeight="1" x14ac:dyDescent="0.2">
      <c r="A22" s="26"/>
      <c r="B22" s="27"/>
      <c r="C22" s="46"/>
      <c r="D22" s="59"/>
      <c r="E22" s="49"/>
      <c r="F22" s="49"/>
      <c r="G22" s="50"/>
      <c r="H22" s="56"/>
      <c r="I22" s="28"/>
    </row>
    <row r="23" spans="1:9" ht="14.25" customHeight="1" x14ac:dyDescent="0.2">
      <c r="A23" s="26"/>
      <c r="B23" s="27"/>
      <c r="C23" s="58"/>
      <c r="D23" s="59"/>
      <c r="E23" s="59"/>
      <c r="F23" s="60" t="s">
        <v>57</v>
      </c>
      <c r="G23" s="50">
        <f>SUM(G12:G22)</f>
        <v>177173.58188831413</v>
      </c>
      <c r="H23" s="61"/>
      <c r="I23" s="28"/>
    </row>
    <row r="24" spans="1:9" ht="14.25" customHeight="1" x14ac:dyDescent="0.2">
      <c r="A24" s="26"/>
      <c r="B24" s="27"/>
      <c r="C24" s="298"/>
      <c r="D24" s="299"/>
      <c r="E24" s="62"/>
      <c r="F24" s="63"/>
      <c r="G24" s="64"/>
      <c r="H24" s="65"/>
      <c r="I24" s="28"/>
    </row>
    <row r="25" spans="1:9" ht="14.25" customHeight="1" x14ac:dyDescent="0.2">
      <c r="A25" s="26"/>
      <c r="B25" s="66"/>
      <c r="C25" s="290"/>
      <c r="D25" s="291"/>
      <c r="E25" s="67"/>
      <c r="F25" s="68" t="e">
        <f>'Calculadora MCS Julio'!Saldo_pendiente</f>
        <v>#REF!</v>
      </c>
      <c r="G25" s="69"/>
      <c r="H25" s="69"/>
      <c r="I25" s="70"/>
    </row>
    <row r="26" spans="1:9" ht="14.25" customHeight="1" x14ac:dyDescent="0.2"/>
    <row r="27" spans="1:9" ht="14.25" customHeight="1" x14ac:dyDescent="0.2"/>
    <row r="28" spans="1:9" ht="14.25" customHeight="1" x14ac:dyDescent="0.2"/>
    <row r="29" spans="1:9" ht="14.25" customHeight="1" x14ac:dyDescent="0.2"/>
    <row r="30" spans="1:9" ht="14.25" customHeight="1" x14ac:dyDescent="0.2"/>
    <row r="31" spans="1:9" ht="14.25" customHeight="1" x14ac:dyDescent="0.2"/>
    <row r="32" spans="1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4">
    <mergeCell ref="C3:H3"/>
    <mergeCell ref="C4:G4"/>
    <mergeCell ref="C24:D24"/>
    <mergeCell ref="C25:D25"/>
  </mergeCells>
  <pageMargins left="0.7" right="0.7" top="0.75" bottom="0.75" header="0" footer="0"/>
  <pageSetup orientation="landscape"/>
  <drawing r:id="rId1"/>
  <legacyDrawing r:id="rId2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1000"/>
  <sheetViews>
    <sheetView showGridLines="0" workbookViewId="0"/>
  </sheetViews>
  <sheetFormatPr baseColWidth="10" defaultColWidth="14.5" defaultRowHeight="15" customHeight="1" x14ac:dyDescent="0.2"/>
  <cols>
    <col min="1" max="1" width="10.6640625" customWidth="1"/>
    <col min="2" max="2" width="30" customWidth="1"/>
    <col min="3" max="3" width="11.6640625" customWidth="1"/>
    <col min="4" max="4" width="13.6640625" customWidth="1"/>
    <col min="5" max="5" width="12.5" customWidth="1"/>
    <col min="6" max="6" width="18.5" customWidth="1"/>
    <col min="7" max="7" width="14" customWidth="1"/>
    <col min="8" max="8" width="11.33203125" hidden="1" customWidth="1"/>
    <col min="9" max="9" width="14.6640625" hidden="1" customWidth="1"/>
    <col min="10" max="10" width="11.33203125" hidden="1" customWidth="1"/>
    <col min="11" max="12" width="10.6640625" customWidth="1"/>
    <col min="13" max="13" width="13.33203125" customWidth="1"/>
    <col min="14" max="26" width="10.6640625" customWidth="1"/>
  </cols>
  <sheetData>
    <row r="1" spans="2:13" ht="14.25" customHeight="1" x14ac:dyDescent="0.2"/>
    <row r="2" spans="2:13" ht="14.25" customHeight="1" x14ac:dyDescent="0.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I2" s="2" t="s">
        <v>6</v>
      </c>
      <c r="J2" s="2" t="s">
        <v>7</v>
      </c>
    </row>
    <row r="3" spans="2:13" ht="14.25" customHeight="1" x14ac:dyDescent="0.2">
      <c r="B3" s="3" t="s">
        <v>8</v>
      </c>
      <c r="C3" s="4">
        <f>+'Calculadora MCS Junio'!G12-C4</f>
        <v>182787.42094488873</v>
      </c>
      <c r="D3" s="4">
        <f>+'Calculadora INC Junio'!G12-D4</f>
        <v>46647.179278977499</v>
      </c>
      <c r="E3" s="4">
        <f t="shared" ref="E3:E13" si="0">SUM(C3:D3)</f>
        <v>229434.60022386623</v>
      </c>
      <c r="F3" s="5">
        <v>188304.70113875001</v>
      </c>
      <c r="G3" s="6">
        <f t="shared" ref="G3:G13" si="1">+E3</f>
        <v>229434.60022386623</v>
      </c>
      <c r="H3" s="4">
        <f>+E3-6300</f>
        <v>223134.60022386623</v>
      </c>
      <c r="I3" s="4">
        <f>+H3*C34</f>
        <v>187433.06418804763</v>
      </c>
      <c r="J3" s="4">
        <f>+H3*C36</f>
        <v>35701.536035818601</v>
      </c>
    </row>
    <row r="4" spans="2:13" ht="14.25" customHeight="1" x14ac:dyDescent="0.2">
      <c r="B4" s="3" t="s">
        <v>10</v>
      </c>
      <c r="C4" s="4">
        <v>3150</v>
      </c>
      <c r="D4" s="4">
        <v>3150</v>
      </c>
      <c r="E4" s="4">
        <f t="shared" si="0"/>
        <v>6300</v>
      </c>
      <c r="F4" s="5">
        <f>+E3-F3</f>
        <v>41129.899085116223</v>
      </c>
      <c r="G4" s="6">
        <f t="shared" si="1"/>
        <v>6300</v>
      </c>
      <c r="H4" s="4"/>
      <c r="I4" s="4"/>
      <c r="J4" s="4"/>
    </row>
    <row r="5" spans="2:13" ht="14.25" customHeight="1" x14ac:dyDescent="0.2">
      <c r="B5" s="3" t="s">
        <v>12</v>
      </c>
      <c r="C5" s="4">
        <f>'[3]Calculadora MCS Enero-24'!C15</f>
        <v>0</v>
      </c>
      <c r="D5" s="4">
        <f>+'Calculadora INC Junio'!G13</f>
        <v>587.5</v>
      </c>
      <c r="E5" s="4">
        <f t="shared" si="0"/>
        <v>587.5</v>
      </c>
      <c r="F5" s="7">
        <f>+F4/F3</f>
        <v>0.21842205126259787</v>
      </c>
      <c r="G5" s="6">
        <f t="shared" si="1"/>
        <v>587.5</v>
      </c>
      <c r="H5" s="4">
        <f>+E15-E3</f>
        <v>44969</v>
      </c>
    </row>
    <row r="6" spans="2:13" ht="14.25" customHeight="1" x14ac:dyDescent="0.2">
      <c r="B6" s="3" t="s">
        <v>13</v>
      </c>
      <c r="C6" s="4">
        <f>+'Calculadora MCS Junio'!G13</f>
        <v>6000</v>
      </c>
      <c r="D6" s="4">
        <f>+'Calculadora INC Mayo'!G14</f>
        <v>4500</v>
      </c>
      <c r="E6" s="4">
        <f t="shared" si="0"/>
        <v>10500</v>
      </c>
      <c r="G6" s="6">
        <f t="shared" si="1"/>
        <v>10500</v>
      </c>
    </row>
    <row r="7" spans="2:13" ht="14.25" customHeight="1" x14ac:dyDescent="0.2">
      <c r="B7" s="3" t="s">
        <v>14</v>
      </c>
      <c r="C7" s="4" t="s">
        <v>210</v>
      </c>
      <c r="D7" s="4">
        <f>+'Calculadora INC Junio'!G19</f>
        <v>3539</v>
      </c>
      <c r="E7" s="4">
        <f t="shared" si="0"/>
        <v>3539</v>
      </c>
      <c r="G7" s="6">
        <f t="shared" si="1"/>
        <v>3539</v>
      </c>
      <c r="H7" s="3" t="s">
        <v>15</v>
      </c>
      <c r="I7" s="3">
        <v>3917</v>
      </c>
      <c r="J7" s="3">
        <v>7.7</v>
      </c>
    </row>
    <row r="8" spans="2:13" ht="14.25" customHeight="1" x14ac:dyDescent="0.2">
      <c r="B8" s="3" t="s">
        <v>16</v>
      </c>
      <c r="C8" s="4" t="s">
        <v>210</v>
      </c>
      <c r="D8" s="4">
        <f>+'Calculadora INC Junio'!G20</f>
        <v>500</v>
      </c>
      <c r="E8" s="4">
        <f t="shared" si="0"/>
        <v>500</v>
      </c>
      <c r="G8" s="6">
        <f t="shared" si="1"/>
        <v>500</v>
      </c>
    </row>
    <row r="9" spans="2:13" ht="14.25" customHeight="1" x14ac:dyDescent="0.2">
      <c r="B9" s="3" t="s">
        <v>18</v>
      </c>
      <c r="C9" s="4">
        <v>0</v>
      </c>
      <c r="D9" s="4">
        <f>+'Calculadora INC Junio'!G21</f>
        <v>23000</v>
      </c>
      <c r="E9" s="4">
        <f t="shared" si="0"/>
        <v>23000</v>
      </c>
      <c r="G9" s="6">
        <f t="shared" si="1"/>
        <v>23000</v>
      </c>
      <c r="I9" s="4">
        <f t="shared" ref="I9:J9" si="2">+I3*I7</f>
        <v>734175312.4245826</v>
      </c>
      <c r="J9" s="4">
        <f t="shared" si="2"/>
        <v>274901.82747580321</v>
      </c>
      <c r="M9" s="4"/>
    </row>
    <row r="10" spans="2:13" ht="14.25" customHeight="1" x14ac:dyDescent="0.2">
      <c r="B10" s="3" t="s">
        <v>20</v>
      </c>
      <c r="C10" s="4"/>
      <c r="D10" s="4">
        <f>+'Calculadora INC Junio'!G16</f>
        <v>105</v>
      </c>
      <c r="E10" s="4">
        <f t="shared" si="0"/>
        <v>105</v>
      </c>
      <c r="G10" s="6">
        <f t="shared" si="1"/>
        <v>105</v>
      </c>
      <c r="M10" s="4"/>
    </row>
    <row r="11" spans="2:13" ht="14.25" customHeight="1" x14ac:dyDescent="0.2">
      <c r="B11" s="3" t="s">
        <v>22</v>
      </c>
      <c r="C11" s="4"/>
      <c r="D11" s="4">
        <f>+'Calculadora INC Junio'!G17</f>
        <v>87.5</v>
      </c>
      <c r="E11" s="4">
        <f t="shared" si="0"/>
        <v>87.5</v>
      </c>
      <c r="G11" s="6">
        <f t="shared" si="1"/>
        <v>87.5</v>
      </c>
      <c r="L11" s="8"/>
    </row>
    <row r="12" spans="2:13" ht="14.25" customHeight="1" x14ac:dyDescent="0.2">
      <c r="B12" s="3" t="s">
        <v>24</v>
      </c>
      <c r="C12" s="4"/>
      <c r="D12" s="4">
        <f>+'Calculadora INC Junio'!G18</f>
        <v>350</v>
      </c>
      <c r="E12" s="4">
        <f t="shared" si="0"/>
        <v>350</v>
      </c>
      <c r="G12" s="6">
        <f t="shared" si="1"/>
        <v>350</v>
      </c>
    </row>
    <row r="13" spans="2:13" ht="14.25" customHeight="1" x14ac:dyDescent="0.2">
      <c r="B13" s="3" t="s">
        <v>25</v>
      </c>
      <c r="C13" s="4">
        <f>+'[3]Calculadora MCS Enero-24'!C19</f>
        <v>0</v>
      </c>
      <c r="D13" s="4">
        <f>+'Calculadora INC Mayo'!G22</f>
        <v>0</v>
      </c>
      <c r="E13" s="4">
        <f t="shared" si="0"/>
        <v>0</v>
      </c>
      <c r="G13" s="6">
        <f t="shared" si="1"/>
        <v>0</v>
      </c>
    </row>
    <row r="14" spans="2:13" ht="14.25" customHeight="1" x14ac:dyDescent="0.2">
      <c r="C14" s="4"/>
      <c r="D14" s="4"/>
      <c r="E14" s="4"/>
      <c r="G14" s="12"/>
    </row>
    <row r="15" spans="2:13" ht="14.25" customHeight="1" x14ac:dyDescent="0.2">
      <c r="C15" s="9">
        <f t="shared" ref="C15:E15" si="3">SUM(C3:C13)</f>
        <v>191937.42094488873</v>
      </c>
      <c r="D15" s="9">
        <f t="shared" si="3"/>
        <v>82466.179278977506</v>
      </c>
      <c r="E15" s="9">
        <f t="shared" si="3"/>
        <v>274403.60022386623</v>
      </c>
      <c r="G15" s="10">
        <f>SUM(G3:G14)</f>
        <v>274403.60022386623</v>
      </c>
    </row>
    <row r="16" spans="2:13" ht="14.25" customHeight="1" x14ac:dyDescent="0.2">
      <c r="B16" s="1" t="s">
        <v>28</v>
      </c>
      <c r="C16" s="11"/>
      <c r="D16" s="11"/>
      <c r="E16" s="11"/>
    </row>
    <row r="17" spans="2:13" ht="14.25" customHeight="1" x14ac:dyDescent="0.2">
      <c r="C17" s="4"/>
      <c r="D17" s="4"/>
      <c r="E17" s="4"/>
    </row>
    <row r="18" spans="2:13" ht="14.25" customHeight="1" x14ac:dyDescent="0.2">
      <c r="C18" s="4"/>
      <c r="D18" s="4"/>
      <c r="E18" s="4"/>
      <c r="F18" s="4"/>
    </row>
    <row r="19" spans="2:13" ht="14.25" customHeight="1" x14ac:dyDescent="0.2">
      <c r="B19" s="1" t="s">
        <v>29</v>
      </c>
      <c r="C19" s="4"/>
      <c r="D19" s="4"/>
    </row>
    <row r="20" spans="2:13" ht="14.25" customHeight="1" x14ac:dyDescent="0.2">
      <c r="B20" s="3" t="s">
        <v>30</v>
      </c>
      <c r="C20" s="4">
        <f>+'Calculadora MCS Junio'!G14</f>
        <v>-19243</v>
      </c>
      <c r="D20" s="4"/>
      <c r="E20" s="4">
        <f t="shared" ref="E20:E28" si="4">SUM(C20:D20)</f>
        <v>-19243</v>
      </c>
      <c r="F20" s="4" t="s">
        <v>31</v>
      </c>
      <c r="G20" s="12">
        <f t="shared" ref="G20:G28" si="5">E20</f>
        <v>-19243</v>
      </c>
    </row>
    <row r="21" spans="2:13" ht="14.25" customHeight="1" x14ac:dyDescent="0.2">
      <c r="B21" s="3" t="s">
        <v>32</v>
      </c>
      <c r="C21" s="4">
        <f>+'Calculadora MCS Junio'!G15</f>
        <v>-2252</v>
      </c>
      <c r="D21" s="4"/>
      <c r="E21" s="4">
        <f t="shared" si="4"/>
        <v>-2252</v>
      </c>
      <c r="F21" s="4" t="s">
        <v>31</v>
      </c>
      <c r="G21" s="12">
        <f t="shared" si="5"/>
        <v>-2252</v>
      </c>
    </row>
    <row r="22" spans="2:13" ht="14.25" customHeight="1" x14ac:dyDescent="0.2">
      <c r="B22" s="3" t="s">
        <v>74</v>
      </c>
      <c r="C22" s="4">
        <f>+'Calculadora MCS Junio'!G16</f>
        <v>-187.5</v>
      </c>
      <c r="D22" s="4"/>
      <c r="E22" s="4">
        <f t="shared" si="4"/>
        <v>-187.5</v>
      </c>
      <c r="F22" s="4" t="s">
        <v>31</v>
      </c>
      <c r="G22" s="12">
        <f t="shared" si="5"/>
        <v>-187.5</v>
      </c>
    </row>
    <row r="23" spans="2:13" ht="14.25" customHeight="1" x14ac:dyDescent="0.2">
      <c r="B23" s="3" t="s">
        <v>34</v>
      </c>
      <c r="C23" s="4">
        <f>+'Calculadora MCS Junio'!G17</f>
        <v>-861.79</v>
      </c>
      <c r="D23" s="4"/>
      <c r="E23" s="4">
        <f t="shared" si="4"/>
        <v>-861.79</v>
      </c>
      <c r="F23" s="4" t="s">
        <v>31</v>
      </c>
      <c r="G23" s="12">
        <f t="shared" si="5"/>
        <v>-861.79</v>
      </c>
    </row>
    <row r="24" spans="2:13" ht="14.25" customHeight="1" x14ac:dyDescent="0.2">
      <c r="B24" s="3" t="s">
        <v>35</v>
      </c>
      <c r="C24" s="4">
        <f>+'Calculadora MCS Junio'!G19</f>
        <v>-3679.38</v>
      </c>
      <c r="D24" s="4">
        <v>0</v>
      </c>
      <c r="E24" s="4">
        <f t="shared" si="4"/>
        <v>-3679.38</v>
      </c>
      <c r="F24" s="4" t="s">
        <v>31</v>
      </c>
      <c r="G24" s="12">
        <f t="shared" si="5"/>
        <v>-3679.38</v>
      </c>
    </row>
    <row r="25" spans="2:13" ht="14.25" customHeight="1" x14ac:dyDescent="0.2">
      <c r="B25" s="13" t="s">
        <v>75</v>
      </c>
      <c r="C25" s="4">
        <f>+'Calculadora MCS Junio'!G18</f>
        <v>-2995.63</v>
      </c>
      <c r="D25" s="4"/>
      <c r="E25" s="4">
        <f t="shared" si="4"/>
        <v>-2995.63</v>
      </c>
      <c r="F25" s="4" t="s">
        <v>31</v>
      </c>
      <c r="G25" s="12">
        <f t="shared" si="5"/>
        <v>-2995.63</v>
      </c>
    </row>
    <row r="26" spans="2:13" ht="14.25" customHeight="1" x14ac:dyDescent="0.2">
      <c r="B26" s="13" t="s">
        <v>37</v>
      </c>
      <c r="C26" s="4">
        <v>0</v>
      </c>
      <c r="D26" s="4"/>
      <c r="E26" s="4">
        <f t="shared" si="4"/>
        <v>0</v>
      </c>
      <c r="F26" s="4" t="s">
        <v>31</v>
      </c>
      <c r="G26" s="12">
        <f t="shared" si="5"/>
        <v>0</v>
      </c>
    </row>
    <row r="27" spans="2:13" ht="14.25" customHeight="1" x14ac:dyDescent="0.2">
      <c r="B27" s="3" t="s">
        <v>38</v>
      </c>
      <c r="C27" s="4" t="e">
        <f>-#REF!</f>
        <v>#REF!</v>
      </c>
      <c r="D27" s="4"/>
      <c r="E27" s="4" t="e">
        <f t="shared" si="4"/>
        <v>#REF!</v>
      </c>
      <c r="F27" s="4" t="s">
        <v>31</v>
      </c>
      <c r="G27" s="12" t="e">
        <f t="shared" si="5"/>
        <v>#REF!</v>
      </c>
    </row>
    <row r="28" spans="2:13" ht="14.25" customHeight="1" x14ac:dyDescent="0.2">
      <c r="B28" s="13" t="s">
        <v>40</v>
      </c>
      <c r="C28" s="4" t="e">
        <f>-#REF!</f>
        <v>#REF!</v>
      </c>
      <c r="D28" s="4"/>
      <c r="E28" s="4" t="e">
        <f t="shared" si="4"/>
        <v>#REF!</v>
      </c>
      <c r="F28" s="4" t="s">
        <v>31</v>
      </c>
      <c r="G28" s="12" t="e">
        <f t="shared" si="5"/>
        <v>#REF!</v>
      </c>
    </row>
    <row r="29" spans="2:13" ht="14.25" customHeight="1" x14ac:dyDescent="0.2">
      <c r="C29" s="9" t="e">
        <f t="shared" ref="C29:E29" si="6">SUM(C20:C28)</f>
        <v>#REF!</v>
      </c>
      <c r="D29" s="9">
        <f t="shared" si="6"/>
        <v>0</v>
      </c>
      <c r="E29" s="9" t="e">
        <f t="shared" si="6"/>
        <v>#REF!</v>
      </c>
      <c r="F29" s="4"/>
      <c r="G29" s="10" t="e">
        <f>SUM(G20:G28)</f>
        <v>#REF!</v>
      </c>
      <c r="M29" s="4"/>
    </row>
    <row r="30" spans="2:13" ht="14.25" customHeight="1" x14ac:dyDescent="0.2">
      <c r="C30" s="4"/>
      <c r="D30" s="4"/>
      <c r="E30" s="4"/>
      <c r="F30" s="4"/>
      <c r="G30" s="4"/>
    </row>
    <row r="31" spans="2:13" ht="14.25" customHeight="1" x14ac:dyDescent="0.2">
      <c r="C31" s="4"/>
      <c r="D31" s="4"/>
      <c r="E31" s="4"/>
      <c r="F31" s="4"/>
      <c r="G31" s="4"/>
    </row>
    <row r="32" spans="2:13" ht="14.25" customHeight="1" x14ac:dyDescent="0.2">
      <c r="C32" s="4"/>
      <c r="D32" s="4"/>
      <c r="E32" s="4"/>
      <c r="F32" s="4"/>
      <c r="G32" s="4"/>
    </row>
    <row r="33" spans="2:9" ht="14.25" customHeight="1" x14ac:dyDescent="0.2">
      <c r="B33" s="15"/>
      <c r="C33" s="15"/>
      <c r="D33" s="16" t="s">
        <v>42</v>
      </c>
      <c r="E33" s="16" t="s">
        <v>43</v>
      </c>
      <c r="F33" s="16" t="s">
        <v>44</v>
      </c>
      <c r="G33" s="16"/>
    </row>
    <row r="34" spans="2:9" ht="14.25" customHeight="1" x14ac:dyDescent="0.2">
      <c r="B34" s="15" t="s">
        <v>45</v>
      </c>
      <c r="C34" s="17">
        <v>0.84</v>
      </c>
      <c r="D34" s="18">
        <f t="shared" ref="D34:D36" si="7">+$E$15*C34</f>
        <v>230499.02418804762</v>
      </c>
      <c r="E34" s="18" t="e">
        <f>+G29</f>
        <v>#REF!</v>
      </c>
      <c r="F34" s="18" t="e">
        <f t="shared" ref="F34:F36" si="8">+D34+E34</f>
        <v>#REF!</v>
      </c>
      <c r="G34" s="18"/>
      <c r="I34" s="4">
        <f>+D34-H5</f>
        <v>185530.02418804762</v>
      </c>
    </row>
    <row r="35" spans="2:9" ht="14.25" customHeight="1" x14ac:dyDescent="0.2">
      <c r="B35" s="15" t="s">
        <v>46</v>
      </c>
      <c r="C35" s="17"/>
      <c r="D35" s="18">
        <f t="shared" si="7"/>
        <v>0</v>
      </c>
      <c r="E35" s="18"/>
      <c r="F35" s="18">
        <f t="shared" si="8"/>
        <v>0</v>
      </c>
      <c r="G35" s="18"/>
      <c r="I35" s="4">
        <f>+I34*I7</f>
        <v>726721104.74458253</v>
      </c>
    </row>
    <row r="36" spans="2:9" ht="14.25" customHeight="1" x14ac:dyDescent="0.2">
      <c r="B36" s="15" t="s">
        <v>7</v>
      </c>
      <c r="C36" s="17">
        <v>0.16</v>
      </c>
      <c r="D36" s="18">
        <f t="shared" si="7"/>
        <v>43904.576035818602</v>
      </c>
      <c r="E36" s="18">
        <v>0</v>
      </c>
      <c r="F36" s="18">
        <f t="shared" si="8"/>
        <v>43904.576035818602</v>
      </c>
      <c r="G36" s="18"/>
    </row>
    <row r="37" spans="2:9" ht="14.25" customHeight="1" x14ac:dyDescent="0.2">
      <c r="B37" s="15"/>
      <c r="C37" s="15"/>
      <c r="D37" s="15"/>
      <c r="E37" s="15"/>
      <c r="F37" s="15"/>
      <c r="G37" s="15"/>
    </row>
    <row r="38" spans="2:9" ht="14.25" customHeight="1" x14ac:dyDescent="0.2">
      <c r="B38" s="15"/>
      <c r="C38" s="19">
        <f t="shared" ref="C38:F38" si="9">C34+C35+C36</f>
        <v>1</v>
      </c>
      <c r="D38" s="20">
        <f t="shared" si="9"/>
        <v>274403.60022386623</v>
      </c>
      <c r="E38" s="20" t="e">
        <f t="shared" si="9"/>
        <v>#REF!</v>
      </c>
      <c r="F38" s="20" t="e">
        <f t="shared" si="9"/>
        <v>#REF!</v>
      </c>
      <c r="G38" s="20"/>
    </row>
    <row r="39" spans="2:9" ht="14.25" customHeight="1" x14ac:dyDescent="0.2">
      <c r="C39" s="4"/>
      <c r="D39" s="4"/>
      <c r="E39" s="4"/>
      <c r="F39" s="4"/>
      <c r="G39" s="4"/>
    </row>
    <row r="40" spans="2:9" ht="14.25" customHeight="1" x14ac:dyDescent="0.2">
      <c r="C40" s="4"/>
      <c r="D40" s="4"/>
      <c r="E40" s="4"/>
      <c r="F40" s="4"/>
      <c r="G40" s="4"/>
    </row>
    <row r="41" spans="2:9" ht="14.25" customHeight="1" x14ac:dyDescent="0.2">
      <c r="B41" s="3" t="s">
        <v>76</v>
      </c>
      <c r="C41" s="4"/>
      <c r="E41" s="4"/>
      <c r="F41" s="4"/>
      <c r="G41" s="4"/>
    </row>
    <row r="42" spans="2:9" ht="14.25" customHeight="1" x14ac:dyDescent="0.2">
      <c r="B42" s="3" t="s">
        <v>60</v>
      </c>
      <c r="D42" s="4">
        <v>167255</v>
      </c>
    </row>
    <row r="43" spans="2:9" ht="14.25" customHeight="1" x14ac:dyDescent="0.2">
      <c r="B43" s="3" t="s">
        <v>49</v>
      </c>
      <c r="D43" s="4">
        <v>17051</v>
      </c>
    </row>
    <row r="44" spans="2:9" ht="14.25" customHeight="1" x14ac:dyDescent="0.2">
      <c r="D44" s="11">
        <f>+D42+D43</f>
        <v>184306</v>
      </c>
    </row>
    <row r="45" spans="2:9" ht="14.25" customHeight="1" x14ac:dyDescent="0.2"/>
    <row r="46" spans="2:9" ht="14.25" customHeight="1" x14ac:dyDescent="0.2"/>
    <row r="47" spans="2:9" ht="14.25" customHeight="1" x14ac:dyDescent="0.2"/>
    <row r="48" spans="2:9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23.5" customWidth="1"/>
    <col min="5" max="5" width="17.33203125" customWidth="1"/>
    <col min="6" max="6" width="13.33203125" customWidth="1"/>
    <col min="7" max="7" width="13.6640625" customWidth="1"/>
    <col min="8" max="8" width="16" customWidth="1"/>
    <col min="9" max="9" width="5.33203125" customWidth="1"/>
    <col min="10" max="26" width="10.6640625" customWidth="1"/>
  </cols>
  <sheetData>
    <row r="1" spans="1:9" ht="14.25" customHeight="1" x14ac:dyDescent="0.2"/>
    <row r="2" spans="1:9" ht="14.25" customHeight="1" x14ac:dyDescent="0.2">
      <c r="B2" s="23"/>
      <c r="C2" s="24"/>
      <c r="D2" s="24"/>
      <c r="E2" s="24"/>
      <c r="F2" s="24"/>
      <c r="G2" s="24"/>
      <c r="H2" s="24"/>
      <c r="I2" s="25"/>
    </row>
    <row r="3" spans="1:9" ht="14.25" customHeight="1" x14ac:dyDescent="0.2">
      <c r="A3" s="26"/>
      <c r="B3" s="27"/>
      <c r="C3" s="293" t="s">
        <v>52</v>
      </c>
      <c r="D3" s="294"/>
      <c r="E3" s="294"/>
      <c r="F3" s="294"/>
      <c r="G3" s="294"/>
      <c r="H3" s="296"/>
      <c r="I3" s="28"/>
    </row>
    <row r="4" spans="1:9" ht="14.25" customHeight="1" x14ac:dyDescent="0.2">
      <c r="A4" s="26"/>
      <c r="B4" s="27"/>
      <c r="C4" s="297"/>
      <c r="D4" s="286"/>
      <c r="E4" s="286"/>
      <c r="F4" s="286"/>
      <c r="G4" s="286"/>
      <c r="H4" s="30"/>
      <c r="I4" s="28"/>
    </row>
    <row r="5" spans="1:9" ht="14.25" customHeight="1" x14ac:dyDescent="0.2">
      <c r="A5" s="26"/>
      <c r="B5" s="27"/>
      <c r="C5" s="31"/>
      <c r="D5" s="26"/>
      <c r="E5" s="26"/>
      <c r="F5" s="26"/>
      <c r="G5" s="26"/>
      <c r="H5" s="32"/>
      <c r="I5" s="28"/>
    </row>
    <row r="6" spans="1:9" ht="14.25" customHeight="1" x14ac:dyDescent="0.2">
      <c r="A6" s="26"/>
      <c r="B6" s="27"/>
      <c r="C6" s="33"/>
      <c r="D6" s="26"/>
      <c r="E6" s="34"/>
      <c r="F6" s="35" t="s">
        <v>53</v>
      </c>
      <c r="G6" s="36">
        <f ca="1">TODAY()</f>
        <v>45974</v>
      </c>
      <c r="H6" s="37"/>
      <c r="I6" s="28"/>
    </row>
    <row r="7" spans="1:9" ht="14.25" customHeight="1" x14ac:dyDescent="0.2">
      <c r="A7" s="26"/>
      <c r="B7" s="27"/>
      <c r="C7" s="33"/>
      <c r="D7" s="26"/>
      <c r="E7" s="34"/>
      <c r="F7" s="35"/>
      <c r="G7" s="26"/>
      <c r="H7" s="32"/>
      <c r="I7" s="28"/>
    </row>
    <row r="8" spans="1:9" ht="14.25" customHeight="1" x14ac:dyDescent="0.2">
      <c r="A8" s="26"/>
      <c r="B8" s="27"/>
      <c r="C8" s="38"/>
      <c r="D8" s="39"/>
      <c r="E8" s="34"/>
      <c r="F8" s="35"/>
      <c r="G8" s="26"/>
      <c r="H8" s="32"/>
      <c r="I8" s="28"/>
    </row>
    <row r="9" spans="1:9" ht="14.25" customHeight="1" x14ac:dyDescent="0.2">
      <c r="A9" s="26"/>
      <c r="B9" s="27"/>
      <c r="C9" s="40"/>
      <c r="D9" s="39"/>
      <c r="E9" s="34"/>
      <c r="F9" s="35"/>
      <c r="G9" s="26"/>
      <c r="H9" s="32"/>
      <c r="I9" s="28"/>
    </row>
    <row r="10" spans="1:9" ht="14.25" customHeight="1" x14ac:dyDescent="0.2">
      <c r="A10" s="26"/>
      <c r="B10" s="27"/>
      <c r="C10" s="41"/>
      <c r="D10" s="42"/>
      <c r="E10" s="34"/>
      <c r="F10" s="26"/>
      <c r="G10" s="26"/>
      <c r="H10" s="32"/>
      <c r="I10" s="28"/>
    </row>
    <row r="11" spans="1:9" ht="14.25" customHeight="1" x14ac:dyDescent="0.2">
      <c r="A11" s="26"/>
      <c r="B11" s="27"/>
      <c r="C11" s="43" t="s">
        <v>54</v>
      </c>
      <c r="D11" s="44" t="s">
        <v>55</v>
      </c>
      <c r="E11" s="44" t="s">
        <v>56</v>
      </c>
      <c r="F11" s="44" t="s">
        <v>57</v>
      </c>
      <c r="G11" s="44" t="s">
        <v>58</v>
      </c>
      <c r="H11" s="45" t="s">
        <v>59</v>
      </c>
      <c r="I11" s="28"/>
    </row>
    <row r="12" spans="1:9" ht="14.25" customHeight="1" x14ac:dyDescent="0.2">
      <c r="A12" s="26"/>
      <c r="B12" s="27"/>
      <c r="C12" s="46">
        <v>1</v>
      </c>
      <c r="D12" s="47" t="s">
        <v>60</v>
      </c>
      <c r="E12" s="48">
        <v>1</v>
      </c>
      <c r="F12" s="49">
        <f>+'Servicios de Cabina INC'!P61</f>
        <v>49797.179278977499</v>
      </c>
      <c r="G12" s="50">
        <f>'Calculadora INC Junio'!$E12*'Calculadora INC Junio'!$F12</f>
        <v>49797.179278977499</v>
      </c>
      <c r="H12" s="51">
        <f>+'Calculadora INC Mayo'!$G12</f>
        <v>49104.492542686254</v>
      </c>
      <c r="I12" s="28"/>
    </row>
    <row r="13" spans="1:9" ht="14.25" customHeight="1" x14ac:dyDescent="0.2">
      <c r="A13" s="26"/>
      <c r="B13" s="27"/>
      <c r="C13" s="46">
        <v>2</v>
      </c>
      <c r="D13" s="47" t="s">
        <v>12</v>
      </c>
      <c r="E13" s="52">
        <v>47</v>
      </c>
      <c r="F13" s="49">
        <v>12.5</v>
      </c>
      <c r="G13" s="50">
        <f>'Calculadora INC Junio'!$E13*'Calculadora INC Junio'!$F13</f>
        <v>587.5</v>
      </c>
      <c r="H13" s="53">
        <f>+G12-H12</f>
        <v>692.68673629124532</v>
      </c>
      <c r="I13" s="28"/>
    </row>
    <row r="14" spans="1:9" ht="14.25" customHeight="1" x14ac:dyDescent="0.2">
      <c r="A14" s="26"/>
      <c r="B14" s="27"/>
      <c r="C14" s="46">
        <v>3</v>
      </c>
      <c r="D14" s="47" t="s">
        <v>61</v>
      </c>
      <c r="E14" s="52">
        <v>3</v>
      </c>
      <c r="F14" s="49">
        <v>1500</v>
      </c>
      <c r="G14" s="50">
        <f>'Calculadora INC Junio'!$E14*'Calculadora INC Junio'!$F14</f>
        <v>4500</v>
      </c>
      <c r="H14" s="54">
        <f>+H13/H12</f>
        <v>1.4106382133754803E-2</v>
      </c>
      <c r="I14" s="28"/>
    </row>
    <row r="15" spans="1:9" ht="14.25" customHeight="1" x14ac:dyDescent="0.2">
      <c r="A15" s="26"/>
      <c r="B15" s="27"/>
      <c r="C15" s="46">
        <v>4</v>
      </c>
      <c r="D15" s="47" t="s">
        <v>62</v>
      </c>
      <c r="E15" s="55">
        <v>1</v>
      </c>
      <c r="F15" s="49">
        <v>0</v>
      </c>
      <c r="G15" s="50">
        <f>'Calculadora INC Junio'!$E15*'Calculadora INC Junio'!$F15</f>
        <v>0</v>
      </c>
      <c r="H15" s="56"/>
      <c r="I15" s="28"/>
    </row>
    <row r="16" spans="1:9" ht="14.25" customHeight="1" x14ac:dyDescent="0.2">
      <c r="A16" s="26"/>
      <c r="B16" s="27"/>
      <c r="C16" s="46">
        <v>5</v>
      </c>
      <c r="D16" s="47" t="s">
        <v>20</v>
      </c>
      <c r="E16" s="55">
        <v>1</v>
      </c>
      <c r="F16" s="49">
        <v>105</v>
      </c>
      <c r="G16" s="50">
        <f>'Calculadora INC Junio'!$E16*'Calculadora INC Junio'!$F16</f>
        <v>105</v>
      </c>
      <c r="H16" s="56"/>
      <c r="I16" s="28"/>
    </row>
    <row r="17" spans="1:9" ht="14.25" customHeight="1" x14ac:dyDescent="0.2">
      <c r="A17" s="26"/>
      <c r="B17" s="27"/>
      <c r="C17" s="46">
        <v>6</v>
      </c>
      <c r="D17" s="47" t="s">
        <v>22</v>
      </c>
      <c r="E17" s="55">
        <v>1</v>
      </c>
      <c r="F17" s="49">
        <v>87.5</v>
      </c>
      <c r="G17" s="50">
        <f>'Calculadora INC Junio'!$E17*'Calculadora INC Junio'!$F17</f>
        <v>87.5</v>
      </c>
      <c r="H17" s="56"/>
      <c r="I17" s="28"/>
    </row>
    <row r="18" spans="1:9" ht="14.25" customHeight="1" x14ac:dyDescent="0.2">
      <c r="A18" s="26"/>
      <c r="B18" s="27"/>
      <c r="C18" s="46">
        <v>7</v>
      </c>
      <c r="D18" s="47" t="s">
        <v>24</v>
      </c>
      <c r="E18" s="55">
        <v>1</v>
      </c>
      <c r="F18" s="49">
        <v>350</v>
      </c>
      <c r="G18" s="50">
        <f>'Calculadora INC Junio'!$E18*'Calculadora INC Junio'!$F18</f>
        <v>350</v>
      </c>
      <c r="H18" s="56"/>
      <c r="I18" s="28"/>
    </row>
    <row r="19" spans="1:9" ht="14.25" customHeight="1" x14ac:dyDescent="0.2">
      <c r="A19" s="26"/>
      <c r="B19" s="27"/>
      <c r="C19" s="46">
        <v>8</v>
      </c>
      <c r="D19" s="47" t="s">
        <v>14</v>
      </c>
      <c r="E19" s="55">
        <v>1</v>
      </c>
      <c r="F19" s="49">
        <v>3539</v>
      </c>
      <c r="G19" s="50">
        <f>'Calculadora INC Junio'!$E19*'Calculadora INC Junio'!$F19</f>
        <v>3539</v>
      </c>
      <c r="H19" s="56"/>
      <c r="I19" s="28"/>
    </row>
    <row r="20" spans="1:9" ht="14.25" customHeight="1" x14ac:dyDescent="0.2">
      <c r="A20" s="26"/>
      <c r="B20" s="27"/>
      <c r="C20" s="46">
        <v>9</v>
      </c>
      <c r="D20" s="47" t="s">
        <v>16</v>
      </c>
      <c r="E20" s="55">
        <v>1</v>
      </c>
      <c r="F20" s="49">
        <v>500</v>
      </c>
      <c r="G20" s="50">
        <f>'Calculadora INC Junio'!$E20*'Calculadora INC Junio'!$F20</f>
        <v>500</v>
      </c>
      <c r="H20" s="56"/>
      <c r="I20" s="28"/>
    </row>
    <row r="21" spans="1:9" ht="14.25" customHeight="1" x14ac:dyDescent="0.2">
      <c r="A21" s="26"/>
      <c r="B21" s="27"/>
      <c r="C21" s="46">
        <v>10</v>
      </c>
      <c r="D21" s="47" t="s">
        <v>18</v>
      </c>
      <c r="E21" s="55">
        <v>1</v>
      </c>
      <c r="F21" s="57">
        <f>23000</f>
        <v>23000</v>
      </c>
      <c r="G21" s="50">
        <f>'Calculadora INC Junio'!$E21*'Calculadora INC Junio'!$F21</f>
        <v>23000</v>
      </c>
      <c r="H21" s="56"/>
      <c r="I21" s="28"/>
    </row>
    <row r="22" spans="1:9" ht="14.25" customHeight="1" x14ac:dyDescent="0.2">
      <c r="A22" s="26"/>
      <c r="B22" s="27"/>
      <c r="C22" s="46">
        <v>11</v>
      </c>
      <c r="D22" s="47" t="s">
        <v>63</v>
      </c>
      <c r="E22" s="55">
        <v>1</v>
      </c>
      <c r="F22" s="49">
        <v>0</v>
      </c>
      <c r="G22" s="50">
        <f>'Calculadora INC Junio'!$E22*'Calculadora INC Junio'!$F22</f>
        <v>0</v>
      </c>
      <c r="H22" s="56"/>
      <c r="I22" s="28"/>
    </row>
    <row r="23" spans="1:9" ht="14.25" customHeight="1" x14ac:dyDescent="0.2">
      <c r="A23" s="26"/>
      <c r="B23" s="27"/>
      <c r="C23" s="58"/>
      <c r="D23" s="59"/>
      <c r="E23" s="59"/>
      <c r="F23" s="60" t="s">
        <v>57</v>
      </c>
      <c r="G23" s="50">
        <f>SUM(G12:G22)</f>
        <v>82466.179278977506</v>
      </c>
      <c r="H23" s="61"/>
      <c r="I23" s="28"/>
    </row>
    <row r="24" spans="1:9" ht="14.25" customHeight="1" x14ac:dyDescent="0.2">
      <c r="A24" s="26"/>
      <c r="B24" s="27"/>
      <c r="C24" s="298"/>
      <c r="D24" s="299"/>
      <c r="E24" s="62"/>
      <c r="F24" s="63"/>
      <c r="G24" s="64"/>
      <c r="H24" s="65"/>
      <c r="I24" s="28"/>
    </row>
    <row r="25" spans="1:9" ht="14.25" customHeight="1" x14ac:dyDescent="0.2">
      <c r="A25" s="26"/>
      <c r="B25" s="66"/>
      <c r="C25" s="290"/>
      <c r="D25" s="291"/>
      <c r="E25" s="67"/>
      <c r="F25" s="68" t="e">
        <f>'Calculadora INC Junio'!Saldo_pendiente</f>
        <v>#REF!</v>
      </c>
      <c r="G25" s="69"/>
      <c r="H25" s="69"/>
      <c r="I25" s="70"/>
    </row>
    <row r="26" spans="1:9" ht="14.25" customHeight="1" x14ac:dyDescent="0.2"/>
    <row r="27" spans="1:9" ht="14.25" customHeight="1" x14ac:dyDescent="0.2"/>
    <row r="28" spans="1:9" ht="14.25" customHeight="1" x14ac:dyDescent="0.2"/>
    <row r="29" spans="1:9" ht="14.25" customHeight="1" x14ac:dyDescent="0.2"/>
    <row r="30" spans="1:9" ht="14.25" customHeight="1" x14ac:dyDescent="0.2"/>
    <row r="31" spans="1:9" ht="14.25" customHeight="1" x14ac:dyDescent="0.2"/>
    <row r="32" spans="1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4">
    <mergeCell ref="C3:H3"/>
    <mergeCell ref="C4:G4"/>
    <mergeCell ref="C24:D24"/>
    <mergeCell ref="C25:D25"/>
  </mergeCells>
  <pageMargins left="0.7" right="0.7" top="0.75" bottom="0.75" header="0" footer="0"/>
  <pageSetup orientation="landscape"/>
  <drawing r:id="rId1"/>
  <legacyDrawing r:id="rId2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3.5" customWidth="1"/>
    <col min="5" max="5" width="17.33203125" customWidth="1"/>
    <col min="6" max="6" width="13.33203125" customWidth="1"/>
    <col min="7" max="7" width="14.6640625" customWidth="1"/>
    <col min="8" max="8" width="16" customWidth="1"/>
    <col min="9" max="9" width="5.33203125" customWidth="1"/>
    <col min="10" max="26" width="10.6640625" customWidth="1"/>
  </cols>
  <sheetData>
    <row r="1" spans="1:12" ht="14.25" customHeight="1" x14ac:dyDescent="0.2"/>
    <row r="2" spans="1:12" ht="14.25" customHeight="1" x14ac:dyDescent="0.2">
      <c r="B2" s="23"/>
      <c r="C2" s="24"/>
      <c r="D2" s="24"/>
      <c r="E2" s="24"/>
      <c r="F2" s="24"/>
      <c r="G2" s="24"/>
      <c r="H2" s="24"/>
      <c r="I2" s="25"/>
    </row>
    <row r="3" spans="1:12" ht="14.25" customHeight="1" x14ac:dyDescent="0.2">
      <c r="A3" s="26"/>
      <c r="B3" s="27"/>
      <c r="C3" s="293" t="s">
        <v>52</v>
      </c>
      <c r="D3" s="294"/>
      <c r="E3" s="294"/>
      <c r="F3" s="294"/>
      <c r="G3" s="294"/>
      <c r="H3" s="296"/>
      <c r="I3" s="28"/>
    </row>
    <row r="4" spans="1:12" ht="14.25" customHeight="1" x14ac:dyDescent="0.2">
      <c r="A4" s="26"/>
      <c r="B4" s="27"/>
      <c r="C4" s="297"/>
      <c r="D4" s="286"/>
      <c r="E4" s="286"/>
      <c r="F4" s="286"/>
      <c r="G4" s="286"/>
      <c r="H4" s="30"/>
      <c r="I4" s="28"/>
    </row>
    <row r="5" spans="1:12" ht="14.25" customHeight="1" x14ac:dyDescent="0.2">
      <c r="A5" s="26"/>
      <c r="B5" s="27"/>
      <c r="C5" s="31"/>
      <c r="D5" s="26"/>
      <c r="E5" s="26"/>
      <c r="F5" s="26"/>
      <c r="G5" s="26"/>
      <c r="H5" s="32"/>
      <c r="I5" s="28"/>
    </row>
    <row r="6" spans="1:12" ht="14.25" customHeight="1" x14ac:dyDescent="0.2">
      <c r="A6" s="26"/>
      <c r="B6" s="27"/>
      <c r="C6" s="33"/>
      <c r="D6" s="26"/>
      <c r="E6" s="34"/>
      <c r="F6" s="35" t="s">
        <v>53</v>
      </c>
      <c r="G6" s="36">
        <f ca="1">TODAY()</f>
        <v>45974</v>
      </c>
      <c r="H6" s="37"/>
      <c r="I6" s="28"/>
    </row>
    <row r="7" spans="1:12" ht="14.25" customHeight="1" x14ac:dyDescent="0.2">
      <c r="A7" s="26"/>
      <c r="B7" s="27"/>
      <c r="C7" s="33"/>
      <c r="D7" s="26"/>
      <c r="E7" s="34"/>
      <c r="F7" s="35"/>
      <c r="G7" s="26"/>
      <c r="H7" s="32"/>
      <c r="I7" s="28"/>
    </row>
    <row r="8" spans="1:12" ht="14.25" customHeight="1" x14ac:dyDescent="0.2">
      <c r="A8" s="26"/>
      <c r="B8" s="27"/>
      <c r="C8" s="38"/>
      <c r="D8" s="39"/>
      <c r="E8" s="34"/>
      <c r="F8" s="35"/>
      <c r="G8" s="26"/>
      <c r="H8" s="32"/>
      <c r="I8" s="28"/>
    </row>
    <row r="9" spans="1:12" ht="14.25" customHeight="1" x14ac:dyDescent="0.2">
      <c r="A9" s="26"/>
      <c r="B9" s="27"/>
      <c r="C9" s="40"/>
      <c r="D9" s="39"/>
      <c r="E9" s="34"/>
      <c r="F9" s="35"/>
      <c r="G9" s="26"/>
      <c r="H9" s="32"/>
      <c r="I9" s="28"/>
    </row>
    <row r="10" spans="1:12" ht="14.25" customHeight="1" x14ac:dyDescent="0.2">
      <c r="A10" s="26"/>
      <c r="B10" s="27"/>
      <c r="C10" s="41"/>
      <c r="D10" s="42"/>
      <c r="E10" s="34"/>
      <c r="F10" s="26"/>
      <c r="G10" s="26"/>
      <c r="H10" s="32"/>
      <c r="I10" s="28"/>
    </row>
    <row r="11" spans="1:12" ht="14.25" customHeight="1" x14ac:dyDescent="0.2">
      <c r="A11" s="26"/>
      <c r="B11" s="27"/>
      <c r="C11" s="43" t="s">
        <v>54</v>
      </c>
      <c r="D11" s="44" t="s">
        <v>55</v>
      </c>
      <c r="E11" s="44" t="s">
        <v>56</v>
      </c>
      <c r="F11" s="44" t="s">
        <v>57</v>
      </c>
      <c r="G11" s="44" t="s">
        <v>58</v>
      </c>
      <c r="H11" s="45" t="s">
        <v>59</v>
      </c>
      <c r="I11" s="28"/>
    </row>
    <row r="12" spans="1:12" ht="14.25" customHeight="1" x14ac:dyDescent="0.2">
      <c r="A12" s="26"/>
      <c r="B12" s="27"/>
      <c r="C12" s="46">
        <v>1</v>
      </c>
      <c r="D12" s="47" t="s">
        <v>60</v>
      </c>
      <c r="E12" s="48">
        <v>1</v>
      </c>
      <c r="F12" s="49">
        <f>+'Servicios de Cabina MCS'!P61</f>
        <v>185937.42094488873</v>
      </c>
      <c r="G12" s="50">
        <f>+'Calculadora MCS Junio'!$F12</f>
        <v>185937.42094488873</v>
      </c>
      <c r="H12" s="71">
        <f>+'Calculadora MCS Mayo'!$G12</f>
        <v>187848.26437198624</v>
      </c>
      <c r="I12" s="28"/>
      <c r="L12" s="72"/>
    </row>
    <row r="13" spans="1:12" ht="14.25" customHeight="1" x14ac:dyDescent="0.2">
      <c r="A13" s="26"/>
      <c r="B13" s="27"/>
      <c r="C13" s="46">
        <v>2</v>
      </c>
      <c r="D13" s="47" t="s">
        <v>61</v>
      </c>
      <c r="E13" s="52">
        <v>4</v>
      </c>
      <c r="F13" s="49">
        <v>1500</v>
      </c>
      <c r="G13" s="50">
        <f>'Calculadora MCS Junio'!$E13*'Calculadora MCS Junio'!$F13</f>
        <v>6000</v>
      </c>
      <c r="H13" s="71">
        <f>+G12-H12</f>
        <v>-1910.8434270975122</v>
      </c>
      <c r="I13" s="28"/>
    </row>
    <row r="14" spans="1:12" ht="14.25" customHeight="1" x14ac:dyDescent="0.2">
      <c r="A14" s="26"/>
      <c r="B14" s="27"/>
      <c r="C14" s="46">
        <v>3</v>
      </c>
      <c r="D14" s="47" t="s">
        <v>30</v>
      </c>
      <c r="E14" s="55">
        <v>1</v>
      </c>
      <c r="F14" s="49">
        <v>-19243</v>
      </c>
      <c r="G14" s="50">
        <f>'Calculadora MCS Junio'!$E14*'Calculadora MCS Junio'!$F14</f>
        <v>-19243</v>
      </c>
      <c r="H14" s="73">
        <f>+H13/H12</f>
        <v>-1.0172270867052396E-2</v>
      </c>
      <c r="I14" s="28"/>
    </row>
    <row r="15" spans="1:12" ht="14.25" customHeight="1" x14ac:dyDescent="0.2">
      <c r="A15" s="26"/>
      <c r="B15" s="27"/>
      <c r="C15" s="46">
        <v>4</v>
      </c>
      <c r="D15" s="47" t="s">
        <v>32</v>
      </c>
      <c r="E15" s="55">
        <v>1</v>
      </c>
      <c r="F15" s="49">
        <v>-2252</v>
      </c>
      <c r="G15" s="50">
        <f>'Calculadora MCS Junio'!$E15*'Calculadora MCS Junio'!$F15</f>
        <v>-2252</v>
      </c>
      <c r="H15" s="56"/>
      <c r="I15" s="28"/>
    </row>
    <row r="16" spans="1:12" ht="14.25" customHeight="1" x14ac:dyDescent="0.2">
      <c r="A16" s="26"/>
      <c r="B16" s="27"/>
      <c r="C16" s="46">
        <v>5</v>
      </c>
      <c r="D16" s="47" t="s">
        <v>64</v>
      </c>
      <c r="E16" s="55">
        <v>1</v>
      </c>
      <c r="F16" s="49">
        <v>-187.5</v>
      </c>
      <c r="G16" s="50">
        <f>'Calculadora MCS Junio'!$E16*'Calculadora MCS Junio'!$F16</f>
        <v>-187.5</v>
      </c>
      <c r="H16" s="56"/>
      <c r="I16" s="28"/>
    </row>
    <row r="17" spans="1:9" ht="14.25" customHeight="1" x14ac:dyDescent="0.2">
      <c r="A17" s="26"/>
      <c r="B17" s="27"/>
      <c r="C17" s="46">
        <v>6</v>
      </c>
      <c r="D17" s="47" t="s">
        <v>34</v>
      </c>
      <c r="E17" s="55">
        <v>1</v>
      </c>
      <c r="F17" s="49">
        <v>-861.79</v>
      </c>
      <c r="G17" s="50">
        <f>'Calculadora MCS Junio'!$E17*'Calculadora MCS Junio'!$F17</f>
        <v>-861.79</v>
      </c>
      <c r="H17" s="56"/>
      <c r="I17" s="28"/>
    </row>
    <row r="18" spans="1:9" ht="14.25" customHeight="1" x14ac:dyDescent="0.2">
      <c r="A18" s="26"/>
      <c r="B18" s="27"/>
      <c r="C18" s="46">
        <v>7</v>
      </c>
      <c r="D18" s="47" t="s">
        <v>73</v>
      </c>
      <c r="E18" s="55">
        <v>1</v>
      </c>
      <c r="F18" s="49">
        <v>-2995.63</v>
      </c>
      <c r="G18" s="50">
        <f>'Calculadora MCS Junio'!$E18*'Calculadora MCS Junio'!$F18</f>
        <v>-2995.63</v>
      </c>
      <c r="H18" s="56"/>
      <c r="I18" s="28"/>
    </row>
    <row r="19" spans="1:9" ht="14.25" customHeight="1" x14ac:dyDescent="0.2">
      <c r="A19" s="26"/>
      <c r="B19" s="27"/>
      <c r="C19" s="46">
        <v>8</v>
      </c>
      <c r="D19" s="47" t="s">
        <v>65</v>
      </c>
      <c r="E19" s="55">
        <v>1</v>
      </c>
      <c r="F19" s="49">
        <v>-3679.38</v>
      </c>
      <c r="G19" s="50">
        <f>'Calculadora MCS Junio'!$E19*'Calculadora MCS Junio'!$F19</f>
        <v>-3679.38</v>
      </c>
      <c r="H19" s="56"/>
      <c r="I19" s="28"/>
    </row>
    <row r="20" spans="1:9" ht="14.25" customHeight="1" x14ac:dyDescent="0.2">
      <c r="A20" s="26"/>
      <c r="B20" s="27"/>
      <c r="C20" s="46">
        <v>9</v>
      </c>
      <c r="D20" s="47" t="s">
        <v>37</v>
      </c>
      <c r="E20" s="55">
        <v>1</v>
      </c>
      <c r="F20" s="49">
        <v>0</v>
      </c>
      <c r="G20" s="50">
        <f>'Calculadora MCS Junio'!$E20*'Calculadora MCS Junio'!$F20</f>
        <v>0</v>
      </c>
      <c r="H20" s="56"/>
      <c r="I20" s="28"/>
    </row>
    <row r="21" spans="1:9" ht="14.25" customHeight="1" x14ac:dyDescent="0.2">
      <c r="A21" s="26"/>
      <c r="B21" s="27"/>
      <c r="C21" s="46">
        <v>10</v>
      </c>
      <c r="D21" s="47" t="s">
        <v>40</v>
      </c>
      <c r="E21" s="55">
        <v>1</v>
      </c>
      <c r="F21" s="49">
        <v>-4248.2653333333328</v>
      </c>
      <c r="G21" s="74">
        <f>'Calculadora MCS Junio'!$E21*'Calculadora MCS Junio'!$F21</f>
        <v>-4248.2653333333328</v>
      </c>
      <c r="H21" s="56"/>
      <c r="I21" s="28"/>
    </row>
    <row r="22" spans="1:9" ht="14.25" customHeight="1" x14ac:dyDescent="0.2">
      <c r="A22" s="26"/>
      <c r="B22" s="27"/>
      <c r="C22" s="46"/>
      <c r="D22" s="59"/>
      <c r="E22" s="49"/>
      <c r="F22" s="49"/>
      <c r="G22" s="50"/>
      <c r="H22" s="56"/>
      <c r="I22" s="28"/>
    </row>
    <row r="23" spans="1:9" ht="14.25" customHeight="1" x14ac:dyDescent="0.2">
      <c r="A23" s="26"/>
      <c r="B23" s="27"/>
      <c r="C23" s="58"/>
      <c r="D23" s="59"/>
      <c r="E23" s="59"/>
      <c r="F23" s="60" t="s">
        <v>57</v>
      </c>
      <c r="G23" s="50">
        <f>SUM(G12:G22)</f>
        <v>158469.85561155537</v>
      </c>
      <c r="H23" s="61"/>
      <c r="I23" s="28"/>
    </row>
    <row r="24" spans="1:9" ht="14.25" customHeight="1" x14ac:dyDescent="0.2">
      <c r="A24" s="26"/>
      <c r="B24" s="27"/>
      <c r="C24" s="298"/>
      <c r="D24" s="299"/>
      <c r="E24" s="62"/>
      <c r="F24" s="63"/>
      <c r="G24" s="64"/>
      <c r="H24" s="65"/>
      <c r="I24" s="28"/>
    </row>
    <row r="25" spans="1:9" ht="14.25" customHeight="1" x14ac:dyDescent="0.2">
      <c r="A25" s="26"/>
      <c r="B25" s="66"/>
      <c r="C25" s="290"/>
      <c r="D25" s="291"/>
      <c r="E25" s="67"/>
      <c r="F25" s="68" t="e">
        <f>'Calculadora MCS Junio'!Saldo_pendiente</f>
        <v>#REF!</v>
      </c>
      <c r="G25" s="69"/>
      <c r="H25" s="69"/>
      <c r="I25" s="70"/>
    </row>
    <row r="26" spans="1:9" ht="14.25" customHeight="1" x14ac:dyDescent="0.2"/>
    <row r="27" spans="1:9" ht="14.25" customHeight="1" x14ac:dyDescent="0.2"/>
    <row r="28" spans="1:9" ht="14.25" customHeight="1" x14ac:dyDescent="0.2"/>
    <row r="29" spans="1:9" ht="14.25" customHeight="1" x14ac:dyDescent="0.2"/>
    <row r="30" spans="1:9" ht="14.25" customHeight="1" x14ac:dyDescent="0.2"/>
    <row r="31" spans="1:9" ht="14.25" customHeight="1" x14ac:dyDescent="0.2"/>
    <row r="32" spans="1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4">
    <mergeCell ref="C3:H3"/>
    <mergeCell ref="C4:G4"/>
    <mergeCell ref="C24:D24"/>
    <mergeCell ref="C25:D25"/>
  </mergeCells>
  <pageMargins left="0.7" right="0.7" top="0.75" bottom="0.75" header="0" footer="0"/>
  <pageSetup orientation="landscape"/>
  <drawing r:id="rId1"/>
  <legacyDrawing r:id="rId2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M1000"/>
  <sheetViews>
    <sheetView showGridLines="0" workbookViewId="0"/>
  </sheetViews>
  <sheetFormatPr baseColWidth="10" defaultColWidth="14.5" defaultRowHeight="15" customHeight="1" x14ac:dyDescent="0.2"/>
  <cols>
    <col min="1" max="1" width="10.6640625" customWidth="1"/>
    <col min="2" max="2" width="30" customWidth="1"/>
    <col min="3" max="3" width="11.6640625" customWidth="1"/>
    <col min="4" max="4" width="13.6640625" customWidth="1"/>
    <col min="5" max="5" width="12.5" customWidth="1"/>
    <col min="6" max="6" width="18.5" customWidth="1"/>
    <col min="7" max="7" width="14" customWidth="1"/>
    <col min="8" max="8" width="11.33203125" customWidth="1"/>
    <col min="9" max="9" width="14.6640625" customWidth="1"/>
    <col min="10" max="10" width="11.33203125" customWidth="1"/>
    <col min="11" max="12" width="10.6640625" customWidth="1"/>
    <col min="13" max="13" width="13.33203125" customWidth="1"/>
    <col min="14" max="26" width="10.6640625" customWidth="1"/>
  </cols>
  <sheetData>
    <row r="1" spans="2:13" ht="14.25" customHeight="1" x14ac:dyDescent="0.2"/>
    <row r="2" spans="2:13" ht="14.25" customHeight="1" x14ac:dyDescent="0.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I2" s="2" t="s">
        <v>6</v>
      </c>
      <c r="J2" s="2" t="s">
        <v>7</v>
      </c>
    </row>
    <row r="3" spans="2:13" ht="14.25" customHeight="1" x14ac:dyDescent="0.2">
      <c r="B3" s="3" t="s">
        <v>8</v>
      </c>
      <c r="C3" s="77">
        <f>+'Servicios de Cabina MCS'!O61</f>
        <v>187848.26437198624</v>
      </c>
      <c r="D3" s="77">
        <f>+'Servicios de Cabina INC'!O61</f>
        <v>49104.492542686254</v>
      </c>
      <c r="E3" s="4">
        <f t="shared" ref="E3:E12" si="0">SUM(C3:D3)</f>
        <v>236952.7569146725</v>
      </c>
      <c r="F3" s="5">
        <f>+'Consolidado Abril'!E3</f>
        <v>242175.23344696747</v>
      </c>
      <c r="G3" s="6">
        <f t="shared" ref="G3:G12" si="1">+E3</f>
        <v>236952.7569146725</v>
      </c>
      <c r="H3" s="4">
        <f>+E3-6300</f>
        <v>230652.7569146725</v>
      </c>
      <c r="I3" s="4">
        <f>+H3*C32</f>
        <v>179909.15039344455</v>
      </c>
      <c r="J3" s="4">
        <f>+H3*C34</f>
        <v>50743.60652122795</v>
      </c>
    </row>
    <row r="4" spans="2:13" ht="14.25" customHeight="1" x14ac:dyDescent="0.2">
      <c r="B4" s="3" t="s">
        <v>12</v>
      </c>
      <c r="C4" s="4">
        <f>'[3]Calculadora MCS Enero-24'!C15</f>
        <v>0</v>
      </c>
      <c r="D4" s="4">
        <f>+'Calculadora INC Mayo'!G13</f>
        <v>575</v>
      </c>
      <c r="E4" s="4">
        <f t="shared" si="0"/>
        <v>575</v>
      </c>
      <c r="F4" s="5">
        <f>+E3-F3</f>
        <v>-5222.4765322949679</v>
      </c>
      <c r="G4" s="6">
        <f t="shared" si="1"/>
        <v>575</v>
      </c>
      <c r="H4" s="4">
        <f>+E14-E3</f>
        <v>38656.5</v>
      </c>
    </row>
    <row r="5" spans="2:13" ht="14.25" customHeight="1" x14ac:dyDescent="0.2">
      <c r="B5" s="3" t="s">
        <v>13</v>
      </c>
      <c r="C5" s="4">
        <f>+'Calculadora MCS Mayo'!G13</f>
        <v>6000</v>
      </c>
      <c r="D5" s="4">
        <f>+'Calculadora INC Mayo'!G14</f>
        <v>4500</v>
      </c>
      <c r="E5" s="4">
        <f t="shared" si="0"/>
        <v>10500</v>
      </c>
      <c r="F5" s="7">
        <f>+F4/F3</f>
        <v>-2.1564866307597089E-2</v>
      </c>
      <c r="G5" s="6">
        <f t="shared" si="1"/>
        <v>10500</v>
      </c>
    </row>
    <row r="6" spans="2:13" ht="14.25" customHeight="1" x14ac:dyDescent="0.2">
      <c r="B6" s="3" t="s">
        <v>14</v>
      </c>
      <c r="C6" s="4" t="s">
        <v>210</v>
      </c>
      <c r="D6" s="4">
        <f>+'Calculadora INC Mayo'!G19</f>
        <v>3539</v>
      </c>
      <c r="E6" s="4">
        <f t="shared" si="0"/>
        <v>3539</v>
      </c>
      <c r="G6" s="6">
        <f t="shared" si="1"/>
        <v>3539</v>
      </c>
      <c r="H6" s="3" t="s">
        <v>15</v>
      </c>
      <c r="I6" s="3">
        <v>3917</v>
      </c>
      <c r="J6" s="3">
        <v>7.7</v>
      </c>
    </row>
    <row r="7" spans="2:13" ht="14.25" customHeight="1" x14ac:dyDescent="0.2">
      <c r="B7" s="3" t="s">
        <v>16</v>
      </c>
      <c r="C7" s="4" t="s">
        <v>210</v>
      </c>
      <c r="D7" s="4">
        <f>+'Calculadora INC Mayo'!G20</f>
        <v>500</v>
      </c>
      <c r="E7" s="4">
        <f t="shared" si="0"/>
        <v>500</v>
      </c>
      <c r="G7" s="6">
        <f t="shared" si="1"/>
        <v>500</v>
      </c>
    </row>
    <row r="8" spans="2:13" ht="14.25" customHeight="1" x14ac:dyDescent="0.2">
      <c r="B8" s="3" t="s">
        <v>18</v>
      </c>
      <c r="C8" s="4">
        <v>0</v>
      </c>
      <c r="D8" s="4">
        <f>+'Calculadora INC Mayo'!G21</f>
        <v>23000</v>
      </c>
      <c r="E8" s="4">
        <f t="shared" si="0"/>
        <v>23000</v>
      </c>
      <c r="G8" s="6">
        <f t="shared" si="1"/>
        <v>23000</v>
      </c>
      <c r="I8" s="4">
        <f t="shared" ref="I8:J8" si="2">+I3*I6</f>
        <v>704704142.09112227</v>
      </c>
      <c r="J8" s="4">
        <f t="shared" si="2"/>
        <v>390725.77021345525</v>
      </c>
      <c r="M8" s="4">
        <v>3384875</v>
      </c>
    </row>
    <row r="9" spans="2:13" ht="14.25" customHeight="1" x14ac:dyDescent="0.2">
      <c r="B9" s="3" t="s">
        <v>20</v>
      </c>
      <c r="C9" s="4"/>
      <c r="D9" s="4">
        <f>+'Calculadora INC Mayo'!G16</f>
        <v>105</v>
      </c>
      <c r="E9" s="4">
        <f t="shared" si="0"/>
        <v>105</v>
      </c>
      <c r="G9" s="6">
        <f t="shared" si="1"/>
        <v>105</v>
      </c>
      <c r="M9" s="4" t="e">
        <f>M8/#REF!</f>
        <v>#REF!</v>
      </c>
    </row>
    <row r="10" spans="2:13" ht="14.25" customHeight="1" x14ac:dyDescent="0.2">
      <c r="B10" s="3" t="s">
        <v>22</v>
      </c>
      <c r="C10" s="4"/>
      <c r="D10" s="4">
        <f>+'Calculadora INC Mayo'!G17</f>
        <v>87.5</v>
      </c>
      <c r="E10" s="4">
        <f t="shared" si="0"/>
        <v>87.5</v>
      </c>
      <c r="G10" s="6">
        <f t="shared" si="1"/>
        <v>87.5</v>
      </c>
    </row>
    <row r="11" spans="2:13" ht="14.25" customHeight="1" x14ac:dyDescent="0.2">
      <c r="B11" s="3" t="s">
        <v>24</v>
      </c>
      <c r="C11" s="4"/>
      <c r="D11" s="4">
        <f>+'Calculadora INC Mayo'!G18</f>
        <v>350</v>
      </c>
      <c r="E11" s="4">
        <f t="shared" si="0"/>
        <v>350</v>
      </c>
      <c r="G11" s="6">
        <f t="shared" si="1"/>
        <v>350</v>
      </c>
    </row>
    <row r="12" spans="2:13" ht="14.25" customHeight="1" x14ac:dyDescent="0.2">
      <c r="B12" s="3" t="s">
        <v>25</v>
      </c>
      <c r="C12" s="4">
        <f>+'[3]Calculadora MCS Enero-24'!C19</f>
        <v>0</v>
      </c>
      <c r="D12" s="4">
        <f>+'Calculadora INC Mayo'!G22</f>
        <v>0</v>
      </c>
      <c r="E12" s="4">
        <f t="shared" si="0"/>
        <v>0</v>
      </c>
      <c r="G12" s="6">
        <f t="shared" si="1"/>
        <v>0</v>
      </c>
    </row>
    <row r="13" spans="2:13" ht="14.25" customHeight="1" x14ac:dyDescent="0.2">
      <c r="C13" s="4"/>
      <c r="D13" s="4"/>
      <c r="E13" s="4"/>
      <c r="G13" s="12"/>
    </row>
    <row r="14" spans="2:13" ht="14.25" customHeight="1" x14ac:dyDescent="0.2">
      <c r="C14" s="9">
        <f t="shared" ref="C14:E14" si="3">SUM(C3:C13)</f>
        <v>193848.26437198624</v>
      </c>
      <c r="D14" s="9">
        <f t="shared" si="3"/>
        <v>81760.992542686261</v>
      </c>
      <c r="E14" s="9">
        <f t="shared" si="3"/>
        <v>275609.2569146725</v>
      </c>
      <c r="G14" s="10">
        <f>E14+F14</f>
        <v>275609.2569146725</v>
      </c>
    </row>
    <row r="15" spans="2:13" ht="14.25" customHeight="1" x14ac:dyDescent="0.2">
      <c r="B15" s="1" t="s">
        <v>28</v>
      </c>
      <c r="C15" s="11"/>
      <c r="D15" s="11"/>
      <c r="E15" s="11"/>
    </row>
    <row r="16" spans="2:13" ht="14.25" customHeight="1" x14ac:dyDescent="0.2">
      <c r="C16" s="4"/>
      <c r="D16" s="4"/>
      <c r="E16" s="4">
        <f>SUM(E4:E11)+6300</f>
        <v>44956.5</v>
      </c>
    </row>
    <row r="17" spans="2:9" ht="14.25" customHeight="1" x14ac:dyDescent="0.2">
      <c r="C17" s="4"/>
      <c r="D17" s="4"/>
      <c r="E17" s="4">
        <v>50926.153578080004</v>
      </c>
      <c r="F17" s="4">
        <f>+E14-E17-E16</f>
        <v>179726.6033365925</v>
      </c>
    </row>
    <row r="18" spans="2:9" ht="14.25" customHeight="1" x14ac:dyDescent="0.2">
      <c r="B18" s="1" t="s">
        <v>29</v>
      </c>
      <c r="C18" s="4"/>
      <c r="D18" s="4"/>
    </row>
    <row r="19" spans="2:9" ht="14.25" customHeight="1" x14ac:dyDescent="0.2">
      <c r="B19" s="3" t="s">
        <v>30</v>
      </c>
      <c r="C19" s="4">
        <f>+'Calculadora MCS Abril'!F14</f>
        <v>-19243</v>
      </c>
      <c r="D19" s="4"/>
      <c r="E19" s="4">
        <f t="shared" ref="E19:E26" si="4">SUM(C19:D19)</f>
        <v>-19243</v>
      </c>
      <c r="F19" s="4" t="s">
        <v>31</v>
      </c>
      <c r="G19" s="12">
        <f t="shared" ref="G19:G26" si="5">E19</f>
        <v>-19243</v>
      </c>
    </row>
    <row r="20" spans="2:9" ht="14.25" customHeight="1" x14ac:dyDescent="0.2">
      <c r="B20" s="3" t="s">
        <v>32</v>
      </c>
      <c r="C20" s="4">
        <f>+'Calculadora MCS Abril'!F15</f>
        <v>-2252</v>
      </c>
      <c r="D20" s="4"/>
      <c r="E20" s="4">
        <f t="shared" si="4"/>
        <v>-2252</v>
      </c>
      <c r="F20" s="4" t="s">
        <v>11</v>
      </c>
      <c r="G20" s="12">
        <f t="shared" si="5"/>
        <v>-2252</v>
      </c>
    </row>
    <row r="21" spans="2:9" ht="14.25" customHeight="1" x14ac:dyDescent="0.2">
      <c r="B21" s="3" t="s">
        <v>74</v>
      </c>
      <c r="C21" s="4">
        <f>+'Calculadora MCS Abril'!F16</f>
        <v>-187.5</v>
      </c>
      <c r="D21" s="4"/>
      <c r="E21" s="4">
        <f t="shared" si="4"/>
        <v>-187.5</v>
      </c>
      <c r="F21" s="4" t="s">
        <v>11</v>
      </c>
      <c r="G21" s="12">
        <f t="shared" si="5"/>
        <v>-187.5</v>
      </c>
    </row>
    <row r="22" spans="2:9" ht="14.25" customHeight="1" x14ac:dyDescent="0.2">
      <c r="B22" s="3" t="s">
        <v>34</v>
      </c>
      <c r="C22" s="4">
        <f>+'Calculadora MCS Abril'!F17</f>
        <v>-861.79</v>
      </c>
      <c r="D22" s="4"/>
      <c r="E22" s="4">
        <f t="shared" si="4"/>
        <v>-861.79</v>
      </c>
      <c r="F22" s="4" t="s">
        <v>11</v>
      </c>
      <c r="G22" s="12">
        <f t="shared" si="5"/>
        <v>-861.79</v>
      </c>
    </row>
    <row r="23" spans="2:9" ht="14.25" customHeight="1" x14ac:dyDescent="0.2">
      <c r="B23" s="3" t="s">
        <v>35</v>
      </c>
      <c r="C23" s="4">
        <f>+'Calculadora MCS Abril'!F19</f>
        <v>-3679.38</v>
      </c>
      <c r="D23" s="4">
        <v>0</v>
      </c>
      <c r="E23" s="4">
        <f t="shared" si="4"/>
        <v>-3679.38</v>
      </c>
      <c r="F23" s="4" t="s">
        <v>31</v>
      </c>
      <c r="G23" s="12">
        <f t="shared" si="5"/>
        <v>-3679.38</v>
      </c>
    </row>
    <row r="24" spans="2:9" ht="14.25" customHeight="1" x14ac:dyDescent="0.2">
      <c r="B24" s="13" t="s">
        <v>73</v>
      </c>
      <c r="C24" s="4">
        <f>+'Calculadora MCS Abril'!F18</f>
        <v>-2995.63</v>
      </c>
      <c r="D24" s="4"/>
      <c r="E24" s="4">
        <f t="shared" si="4"/>
        <v>-2995.63</v>
      </c>
      <c r="F24" s="4" t="s">
        <v>31</v>
      </c>
      <c r="G24" s="12">
        <f t="shared" si="5"/>
        <v>-2995.63</v>
      </c>
    </row>
    <row r="25" spans="2:9" ht="14.25" customHeight="1" x14ac:dyDescent="0.2">
      <c r="B25" s="13" t="s">
        <v>37</v>
      </c>
      <c r="C25" s="4">
        <v>0</v>
      </c>
      <c r="D25" s="4"/>
      <c r="E25" s="4">
        <f t="shared" si="4"/>
        <v>0</v>
      </c>
      <c r="F25" s="4" t="s">
        <v>11</v>
      </c>
      <c r="G25" s="12">
        <f t="shared" si="5"/>
        <v>0</v>
      </c>
    </row>
    <row r="26" spans="2:9" ht="14.25" customHeight="1" x14ac:dyDescent="0.2">
      <c r="B26" s="13" t="s">
        <v>40</v>
      </c>
      <c r="C26" s="4" t="e">
        <f>-#REF!</f>
        <v>#REF!</v>
      </c>
      <c r="D26" s="4"/>
      <c r="E26" s="4" t="e">
        <f t="shared" si="4"/>
        <v>#REF!</v>
      </c>
      <c r="F26" s="4" t="s">
        <v>11</v>
      </c>
      <c r="G26" s="12" t="e">
        <f t="shared" si="5"/>
        <v>#REF!</v>
      </c>
    </row>
    <row r="27" spans="2:9" ht="14.25" customHeight="1" x14ac:dyDescent="0.2">
      <c r="C27" s="9" t="e">
        <f t="shared" ref="C27:E27" si="6">SUM(C19:C26)</f>
        <v>#REF!</v>
      </c>
      <c r="D27" s="9">
        <f t="shared" si="6"/>
        <v>0</v>
      </c>
      <c r="E27" s="9" t="e">
        <f t="shared" si="6"/>
        <v>#REF!</v>
      </c>
      <c r="F27" s="4"/>
      <c r="G27" s="10" t="e">
        <f>SUM(G19:G26)</f>
        <v>#REF!</v>
      </c>
    </row>
    <row r="28" spans="2:9" ht="14.25" customHeight="1" x14ac:dyDescent="0.2">
      <c r="C28" s="4"/>
      <c r="D28" s="4"/>
      <c r="E28" s="4"/>
      <c r="F28" s="4"/>
      <c r="G28" s="4"/>
    </row>
    <row r="29" spans="2:9" ht="14.25" customHeight="1" x14ac:dyDescent="0.2">
      <c r="C29" s="4"/>
      <c r="D29" s="4"/>
      <c r="E29" s="4"/>
      <c r="F29" s="4"/>
      <c r="G29" s="4"/>
    </row>
    <row r="30" spans="2:9" ht="14.25" customHeight="1" x14ac:dyDescent="0.2">
      <c r="C30" s="4"/>
      <c r="D30" s="4"/>
      <c r="E30" s="4"/>
      <c r="F30" s="4"/>
      <c r="G30" s="4"/>
    </row>
    <row r="31" spans="2:9" ht="14.25" customHeight="1" x14ac:dyDescent="0.2">
      <c r="B31" s="15"/>
      <c r="C31" s="15"/>
      <c r="D31" s="16" t="s">
        <v>42</v>
      </c>
      <c r="E31" s="16" t="s">
        <v>43</v>
      </c>
      <c r="F31" s="16" t="s">
        <v>44</v>
      </c>
      <c r="G31" s="16"/>
    </row>
    <row r="32" spans="2:9" ht="14.25" customHeight="1" x14ac:dyDescent="0.2">
      <c r="B32" s="15" t="s">
        <v>45</v>
      </c>
      <c r="C32" s="17">
        <v>0.78</v>
      </c>
      <c r="D32" s="18">
        <f t="shared" ref="D32:D34" si="7">+$E$14*C32</f>
        <v>214975.22039344456</v>
      </c>
      <c r="E32" s="18">
        <f>+G19+G23+G24</f>
        <v>-25918.010000000002</v>
      </c>
      <c r="F32" s="18">
        <f t="shared" ref="F32:F34" si="8">+D32+E32</f>
        <v>189057.21039344455</v>
      </c>
      <c r="G32" s="18"/>
      <c r="I32" s="4">
        <f>+D32-H4</f>
        <v>176318.72039344456</v>
      </c>
    </row>
    <row r="33" spans="2:9" ht="14.25" customHeight="1" x14ac:dyDescent="0.2">
      <c r="B33" s="15" t="s">
        <v>46</v>
      </c>
      <c r="C33" s="17"/>
      <c r="D33" s="18">
        <f t="shared" si="7"/>
        <v>0</v>
      </c>
      <c r="E33" s="18"/>
      <c r="F33" s="18">
        <f t="shared" si="8"/>
        <v>0</v>
      </c>
      <c r="G33" s="18"/>
      <c r="I33" s="4">
        <f>+I32*I6</f>
        <v>690640427.78112233</v>
      </c>
    </row>
    <row r="34" spans="2:9" ht="14.25" customHeight="1" x14ac:dyDescent="0.2">
      <c r="B34" s="15" t="s">
        <v>7</v>
      </c>
      <c r="C34" s="17">
        <v>0.22</v>
      </c>
      <c r="D34" s="18">
        <f t="shared" si="7"/>
        <v>60634.03652122795</v>
      </c>
      <c r="E34" s="18" t="e">
        <f>+G20+G21+G22+G25+G26</f>
        <v>#REF!</v>
      </c>
      <c r="F34" s="18" t="e">
        <f t="shared" si="8"/>
        <v>#REF!</v>
      </c>
      <c r="G34" s="18"/>
    </row>
    <row r="35" spans="2:9" ht="14.25" customHeight="1" x14ac:dyDescent="0.2">
      <c r="B35" s="15"/>
      <c r="C35" s="15"/>
      <c r="D35" s="15"/>
      <c r="E35" s="15"/>
      <c r="F35" s="15"/>
      <c r="G35" s="15"/>
    </row>
    <row r="36" spans="2:9" ht="14.25" customHeight="1" x14ac:dyDescent="0.2">
      <c r="B36" s="15"/>
      <c r="C36" s="19">
        <f t="shared" ref="C36:F36" si="9">C32+C33+C34</f>
        <v>1</v>
      </c>
      <c r="D36" s="20">
        <f t="shared" si="9"/>
        <v>275609.2569146725</v>
      </c>
      <c r="E36" s="20" t="e">
        <f t="shared" si="9"/>
        <v>#REF!</v>
      </c>
      <c r="F36" s="20" t="e">
        <f t="shared" si="9"/>
        <v>#REF!</v>
      </c>
      <c r="G36" s="20"/>
    </row>
    <row r="37" spans="2:9" ht="14.25" customHeight="1" x14ac:dyDescent="0.2">
      <c r="C37" s="4"/>
      <c r="D37" s="4"/>
      <c r="E37" s="4"/>
      <c r="F37" s="4"/>
      <c r="G37" s="4"/>
    </row>
    <row r="38" spans="2:9" ht="14.25" customHeight="1" x14ac:dyDescent="0.2">
      <c r="C38" s="4"/>
      <c r="D38" s="4"/>
      <c r="E38" s="4"/>
      <c r="F38" s="4"/>
      <c r="G38" s="4"/>
    </row>
    <row r="39" spans="2:9" ht="14.25" customHeight="1" x14ac:dyDescent="0.2">
      <c r="C39" s="4"/>
      <c r="D39" s="4"/>
      <c r="E39" s="4"/>
      <c r="F39" s="4"/>
      <c r="G39" s="4"/>
    </row>
    <row r="40" spans="2:9" ht="14.25" customHeight="1" x14ac:dyDescent="0.2"/>
    <row r="41" spans="2:9" ht="14.25" customHeight="1" x14ac:dyDescent="0.2"/>
    <row r="42" spans="2:9" ht="14.25" customHeight="1" x14ac:dyDescent="0.2"/>
    <row r="43" spans="2:9" ht="14.25" customHeight="1" x14ac:dyDescent="0.2"/>
    <row r="44" spans="2:9" ht="14.25" customHeight="1" x14ac:dyDescent="0.2"/>
    <row r="45" spans="2:9" ht="14.25" customHeight="1" x14ac:dyDescent="0.2"/>
    <row r="46" spans="2:9" ht="14.25" customHeight="1" x14ac:dyDescent="0.2"/>
    <row r="47" spans="2:9" ht="14.25" customHeight="1" x14ac:dyDescent="0.2"/>
    <row r="48" spans="2:9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23.5" customWidth="1"/>
    <col min="5" max="5" width="17.33203125" customWidth="1"/>
    <col min="6" max="6" width="13.33203125" customWidth="1"/>
    <col min="7" max="7" width="13.6640625" customWidth="1"/>
    <col min="8" max="8" width="16" customWidth="1"/>
    <col min="9" max="9" width="5.33203125" customWidth="1"/>
    <col min="10" max="26" width="10.6640625" customWidth="1"/>
  </cols>
  <sheetData>
    <row r="1" spans="1:9" ht="14.25" customHeight="1" x14ac:dyDescent="0.2"/>
    <row r="2" spans="1:9" ht="14.25" customHeight="1" x14ac:dyDescent="0.2">
      <c r="B2" s="23"/>
      <c r="C2" s="24"/>
      <c r="D2" s="24"/>
      <c r="E2" s="24"/>
      <c r="F2" s="24"/>
      <c r="G2" s="24"/>
      <c r="H2" s="24"/>
      <c r="I2" s="25"/>
    </row>
    <row r="3" spans="1:9" ht="14.25" customHeight="1" x14ac:dyDescent="0.2">
      <c r="A3" s="26"/>
      <c r="B3" s="27"/>
      <c r="C3" s="293" t="s">
        <v>52</v>
      </c>
      <c r="D3" s="294"/>
      <c r="E3" s="294"/>
      <c r="F3" s="294"/>
      <c r="G3" s="294"/>
      <c r="H3" s="296"/>
      <c r="I3" s="28"/>
    </row>
    <row r="4" spans="1:9" ht="14.25" customHeight="1" x14ac:dyDescent="0.2">
      <c r="A4" s="26"/>
      <c r="B4" s="27"/>
      <c r="C4" s="297"/>
      <c r="D4" s="286"/>
      <c r="E4" s="286"/>
      <c r="F4" s="286"/>
      <c r="G4" s="286"/>
      <c r="H4" s="30"/>
      <c r="I4" s="28"/>
    </row>
    <row r="5" spans="1:9" ht="14.25" customHeight="1" x14ac:dyDescent="0.2">
      <c r="A5" s="26"/>
      <c r="B5" s="27"/>
      <c r="C5" s="31"/>
      <c r="D5" s="26"/>
      <c r="E5" s="26"/>
      <c r="F5" s="26"/>
      <c r="G5" s="26"/>
      <c r="H5" s="32"/>
      <c r="I5" s="28"/>
    </row>
    <row r="6" spans="1:9" ht="14.25" customHeight="1" x14ac:dyDescent="0.2">
      <c r="A6" s="26"/>
      <c r="B6" s="27"/>
      <c r="C6" s="33"/>
      <c r="D6" s="26"/>
      <c r="E6" s="34"/>
      <c r="F6" s="35" t="s">
        <v>53</v>
      </c>
      <c r="G6" s="36">
        <f ca="1">TODAY()</f>
        <v>45974</v>
      </c>
      <c r="H6" s="37"/>
      <c r="I6" s="28"/>
    </row>
    <row r="7" spans="1:9" ht="14.25" customHeight="1" x14ac:dyDescent="0.2">
      <c r="A7" s="26"/>
      <c r="B7" s="27"/>
      <c r="C7" s="33"/>
      <c r="D7" s="26"/>
      <c r="E7" s="34"/>
      <c r="F7" s="35"/>
      <c r="G7" s="26"/>
      <c r="H7" s="32"/>
      <c r="I7" s="28"/>
    </row>
    <row r="8" spans="1:9" ht="14.25" customHeight="1" x14ac:dyDescent="0.2">
      <c r="A8" s="26"/>
      <c r="B8" s="27"/>
      <c r="C8" s="38"/>
      <c r="D8" s="39"/>
      <c r="E8" s="34"/>
      <c r="F8" s="35"/>
      <c r="G8" s="26"/>
      <c r="H8" s="32"/>
      <c r="I8" s="28"/>
    </row>
    <row r="9" spans="1:9" ht="14.25" customHeight="1" x14ac:dyDescent="0.2">
      <c r="A9" s="26"/>
      <c r="B9" s="27"/>
      <c r="C9" s="40"/>
      <c r="D9" s="39"/>
      <c r="E9" s="34"/>
      <c r="F9" s="35"/>
      <c r="G9" s="26"/>
      <c r="H9" s="32"/>
      <c r="I9" s="28"/>
    </row>
    <row r="10" spans="1:9" ht="14.25" customHeight="1" x14ac:dyDescent="0.2">
      <c r="A10" s="26"/>
      <c r="B10" s="27"/>
      <c r="C10" s="41"/>
      <c r="D10" s="42"/>
      <c r="E10" s="34"/>
      <c r="F10" s="26"/>
      <c r="G10" s="26"/>
      <c r="H10" s="32"/>
      <c r="I10" s="28"/>
    </row>
    <row r="11" spans="1:9" ht="14.25" customHeight="1" x14ac:dyDescent="0.2">
      <c r="A11" s="26"/>
      <c r="B11" s="27"/>
      <c r="C11" s="43" t="s">
        <v>54</v>
      </c>
      <c r="D11" s="44" t="s">
        <v>55</v>
      </c>
      <c r="E11" s="44" t="s">
        <v>56</v>
      </c>
      <c r="F11" s="44" t="s">
        <v>57</v>
      </c>
      <c r="G11" s="44" t="s">
        <v>58</v>
      </c>
      <c r="H11" s="45" t="s">
        <v>59</v>
      </c>
      <c r="I11" s="28"/>
    </row>
    <row r="12" spans="1:9" ht="14.25" customHeight="1" x14ac:dyDescent="0.2">
      <c r="A12" s="26"/>
      <c r="B12" s="27"/>
      <c r="C12" s="46">
        <v>1</v>
      </c>
      <c r="D12" s="47" t="s">
        <v>60</v>
      </c>
      <c r="E12" s="48">
        <v>1</v>
      </c>
      <c r="F12" s="49">
        <f>+'Servicios de Cabina INC'!O61</f>
        <v>49104.492542686254</v>
      </c>
      <c r="G12" s="50">
        <f>'Calculadora INC Mayo'!$E12*'Calculadora INC Mayo'!$F12</f>
        <v>49104.492542686254</v>
      </c>
      <c r="H12" s="51">
        <f>+'Servicios de Cabina INC'!M61</f>
        <v>46185.213785971246</v>
      </c>
      <c r="I12" s="28"/>
    </row>
    <row r="13" spans="1:9" ht="14.25" customHeight="1" x14ac:dyDescent="0.2">
      <c r="A13" s="26"/>
      <c r="B13" s="27"/>
      <c r="C13" s="46">
        <v>2</v>
      </c>
      <c r="D13" s="47" t="s">
        <v>12</v>
      </c>
      <c r="E13" s="52">
        <v>46</v>
      </c>
      <c r="F13" s="49">
        <v>12.5</v>
      </c>
      <c r="G13" s="50">
        <f>'Calculadora INC Mayo'!$E13*'Calculadora INC Mayo'!$F13</f>
        <v>575</v>
      </c>
      <c r="H13" s="53">
        <f>+G12-H12</f>
        <v>2919.2787567150081</v>
      </c>
      <c r="I13" s="28"/>
    </row>
    <row r="14" spans="1:9" ht="14.25" customHeight="1" x14ac:dyDescent="0.2">
      <c r="A14" s="26"/>
      <c r="B14" s="27"/>
      <c r="C14" s="46">
        <v>3</v>
      </c>
      <c r="D14" s="47" t="s">
        <v>61</v>
      </c>
      <c r="E14" s="52">
        <v>3</v>
      </c>
      <c r="F14" s="49">
        <v>1500</v>
      </c>
      <c r="G14" s="50">
        <f>'Calculadora INC Mayo'!$E14*'Calculadora INC Mayo'!$F14</f>
        <v>4500</v>
      </c>
      <c r="H14" s="54">
        <f>+H13/H12</f>
        <v>6.3208081492127657E-2</v>
      </c>
      <c r="I14" s="28"/>
    </row>
    <row r="15" spans="1:9" ht="14.25" customHeight="1" x14ac:dyDescent="0.2">
      <c r="A15" s="26"/>
      <c r="B15" s="27"/>
      <c r="C15" s="46">
        <v>4</v>
      </c>
      <c r="D15" s="47" t="s">
        <v>62</v>
      </c>
      <c r="E15" s="55">
        <v>1</v>
      </c>
      <c r="F15" s="49">
        <v>0</v>
      </c>
      <c r="G15" s="50">
        <f>'Calculadora INC Mayo'!$E15*'Calculadora INC Mayo'!$F15</f>
        <v>0</v>
      </c>
      <c r="H15" s="56"/>
      <c r="I15" s="28"/>
    </row>
    <row r="16" spans="1:9" ht="14.25" customHeight="1" x14ac:dyDescent="0.2">
      <c r="A16" s="26"/>
      <c r="B16" s="27"/>
      <c r="C16" s="46">
        <v>5</v>
      </c>
      <c r="D16" s="47" t="s">
        <v>20</v>
      </c>
      <c r="E16" s="55">
        <v>1</v>
      </c>
      <c r="F16" s="49">
        <v>105</v>
      </c>
      <c r="G16" s="50">
        <f>'Calculadora INC Mayo'!$E16*'Calculadora INC Mayo'!$F16</f>
        <v>105</v>
      </c>
      <c r="H16" s="56"/>
      <c r="I16" s="28"/>
    </row>
    <row r="17" spans="1:9" ht="14.25" customHeight="1" x14ac:dyDescent="0.2">
      <c r="A17" s="26"/>
      <c r="B17" s="27"/>
      <c r="C17" s="46">
        <v>6</v>
      </c>
      <c r="D17" s="47" t="s">
        <v>22</v>
      </c>
      <c r="E17" s="55">
        <v>1</v>
      </c>
      <c r="F17" s="49">
        <v>87.5</v>
      </c>
      <c r="G17" s="50">
        <f>'Calculadora INC Mayo'!$E17*'Calculadora INC Mayo'!$F17</f>
        <v>87.5</v>
      </c>
      <c r="H17" s="56"/>
      <c r="I17" s="28"/>
    </row>
    <row r="18" spans="1:9" ht="14.25" customHeight="1" x14ac:dyDescent="0.2">
      <c r="A18" s="26"/>
      <c r="B18" s="27"/>
      <c r="C18" s="46">
        <v>7</v>
      </c>
      <c r="D18" s="47" t="s">
        <v>24</v>
      </c>
      <c r="E18" s="55">
        <v>1</v>
      </c>
      <c r="F18" s="49">
        <v>350</v>
      </c>
      <c r="G18" s="50">
        <f>'Calculadora INC Mayo'!$E18*'Calculadora INC Mayo'!$F18</f>
        <v>350</v>
      </c>
      <c r="H18" s="56"/>
      <c r="I18" s="28"/>
    </row>
    <row r="19" spans="1:9" ht="14.25" customHeight="1" x14ac:dyDescent="0.2">
      <c r="A19" s="26"/>
      <c r="B19" s="27"/>
      <c r="C19" s="46">
        <v>8</v>
      </c>
      <c r="D19" s="47" t="s">
        <v>14</v>
      </c>
      <c r="E19" s="55">
        <v>1</v>
      </c>
      <c r="F19" s="49">
        <v>3539</v>
      </c>
      <c r="G19" s="50">
        <f>'Calculadora INC Mayo'!$E19*'Calculadora INC Mayo'!$F19</f>
        <v>3539</v>
      </c>
      <c r="H19" s="56"/>
      <c r="I19" s="28"/>
    </row>
    <row r="20" spans="1:9" ht="14.25" customHeight="1" x14ac:dyDescent="0.2">
      <c r="A20" s="26"/>
      <c r="B20" s="27"/>
      <c r="C20" s="46">
        <v>9</v>
      </c>
      <c r="D20" s="47" t="s">
        <v>16</v>
      </c>
      <c r="E20" s="55">
        <v>1</v>
      </c>
      <c r="F20" s="49">
        <v>500</v>
      </c>
      <c r="G20" s="50">
        <f>'Calculadora INC Mayo'!$E20*'Calculadora INC Mayo'!$F20</f>
        <v>500</v>
      </c>
      <c r="H20" s="56"/>
      <c r="I20" s="28"/>
    </row>
    <row r="21" spans="1:9" ht="14.25" customHeight="1" x14ac:dyDescent="0.2">
      <c r="A21" s="26"/>
      <c r="B21" s="27"/>
      <c r="C21" s="46">
        <v>10</v>
      </c>
      <c r="D21" s="47" t="s">
        <v>18</v>
      </c>
      <c r="E21" s="55">
        <v>1</v>
      </c>
      <c r="F21" s="49">
        <v>23000</v>
      </c>
      <c r="G21" s="50">
        <f>'Calculadora INC Mayo'!$E21*'Calculadora INC Mayo'!$F21</f>
        <v>23000</v>
      </c>
      <c r="H21" s="56"/>
      <c r="I21" s="28"/>
    </row>
    <row r="22" spans="1:9" ht="14.25" customHeight="1" x14ac:dyDescent="0.2">
      <c r="A22" s="26"/>
      <c r="B22" s="27"/>
      <c r="C22" s="46">
        <v>11</v>
      </c>
      <c r="D22" s="47" t="s">
        <v>63</v>
      </c>
      <c r="E22" s="55">
        <v>1</v>
      </c>
      <c r="F22" s="49">
        <v>0</v>
      </c>
      <c r="G22" s="50">
        <f>'Calculadora INC Mayo'!$E22*'Calculadora INC Mayo'!$F22</f>
        <v>0</v>
      </c>
      <c r="H22" s="56"/>
      <c r="I22" s="28"/>
    </row>
    <row r="23" spans="1:9" ht="14.25" customHeight="1" x14ac:dyDescent="0.2">
      <c r="A23" s="26"/>
      <c r="B23" s="27"/>
      <c r="C23" s="58"/>
      <c r="D23" s="59"/>
      <c r="E23" s="59"/>
      <c r="F23" s="60" t="s">
        <v>57</v>
      </c>
      <c r="G23" s="50">
        <f>SUM(G12:G22)</f>
        <v>81760.992542686261</v>
      </c>
      <c r="H23" s="61"/>
      <c r="I23" s="28"/>
    </row>
    <row r="24" spans="1:9" ht="14.25" customHeight="1" x14ac:dyDescent="0.2">
      <c r="A24" s="26"/>
      <c r="B24" s="27"/>
      <c r="C24" s="298"/>
      <c r="D24" s="299"/>
      <c r="E24" s="62"/>
      <c r="F24" s="63"/>
      <c r="G24" s="64"/>
      <c r="H24" s="65"/>
      <c r="I24" s="28"/>
    </row>
    <row r="25" spans="1:9" ht="14.25" customHeight="1" x14ac:dyDescent="0.2">
      <c r="A25" s="26"/>
      <c r="B25" s="66"/>
      <c r="C25" s="290"/>
      <c r="D25" s="291"/>
      <c r="E25" s="67"/>
      <c r="F25" s="68" t="e">
        <f>'Calculadora INC Mayo'!Saldo_pendiente</f>
        <v>#REF!</v>
      </c>
      <c r="G25" s="69"/>
      <c r="H25" s="69"/>
      <c r="I25" s="70"/>
    </row>
    <row r="26" spans="1:9" ht="14.25" customHeight="1" x14ac:dyDescent="0.2"/>
    <row r="27" spans="1:9" ht="14.25" customHeight="1" x14ac:dyDescent="0.2"/>
    <row r="28" spans="1:9" ht="14.25" customHeight="1" x14ac:dyDescent="0.2"/>
    <row r="29" spans="1:9" ht="14.25" customHeight="1" x14ac:dyDescent="0.2"/>
    <row r="30" spans="1:9" ht="14.25" customHeight="1" x14ac:dyDescent="0.2"/>
    <row r="31" spans="1:9" ht="14.25" customHeight="1" x14ac:dyDescent="0.2"/>
    <row r="32" spans="1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4">
    <mergeCell ref="C3:H3"/>
    <mergeCell ref="C4:G4"/>
    <mergeCell ref="C24:D24"/>
    <mergeCell ref="C25:D25"/>
  </mergeCells>
  <pageMargins left="0.7" right="0.7" top="0.75" bottom="0.75" header="0" footer="0"/>
  <pageSetup orientation="landscape"/>
  <drawing r:id="rId1"/>
  <legacyDrawing r:id="rId2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3.5" customWidth="1"/>
    <col min="5" max="5" width="17.33203125" customWidth="1"/>
    <col min="6" max="6" width="13.33203125" customWidth="1"/>
    <col min="7" max="7" width="14.6640625" customWidth="1"/>
    <col min="8" max="8" width="16" customWidth="1"/>
    <col min="9" max="9" width="5.33203125" customWidth="1"/>
    <col min="10" max="26" width="10.6640625" customWidth="1"/>
  </cols>
  <sheetData>
    <row r="1" spans="1:12" ht="14.25" customHeight="1" x14ac:dyDescent="0.2"/>
    <row r="2" spans="1:12" ht="14.25" customHeight="1" x14ac:dyDescent="0.2">
      <c r="B2" s="23"/>
      <c r="C2" s="24"/>
      <c r="D2" s="24"/>
      <c r="E2" s="24"/>
      <c r="F2" s="24"/>
      <c r="G2" s="24"/>
      <c r="H2" s="24"/>
      <c r="I2" s="25"/>
    </row>
    <row r="3" spans="1:12" ht="14.25" customHeight="1" x14ac:dyDescent="0.2">
      <c r="A3" s="26"/>
      <c r="B3" s="27"/>
      <c r="C3" s="293" t="s">
        <v>52</v>
      </c>
      <c r="D3" s="294"/>
      <c r="E3" s="294"/>
      <c r="F3" s="294"/>
      <c r="G3" s="294"/>
      <c r="H3" s="296"/>
      <c r="I3" s="28"/>
    </row>
    <row r="4" spans="1:12" ht="14.25" customHeight="1" x14ac:dyDescent="0.2">
      <c r="A4" s="26"/>
      <c r="B4" s="27"/>
      <c r="C4" s="297"/>
      <c r="D4" s="286"/>
      <c r="E4" s="286"/>
      <c r="F4" s="286"/>
      <c r="G4" s="286"/>
      <c r="H4" s="30"/>
      <c r="I4" s="28"/>
    </row>
    <row r="5" spans="1:12" ht="14.25" customHeight="1" x14ac:dyDescent="0.2">
      <c r="A5" s="26"/>
      <c r="B5" s="27"/>
      <c r="C5" s="31"/>
      <c r="D5" s="26"/>
      <c r="E5" s="26"/>
      <c r="F5" s="26"/>
      <c r="G5" s="26"/>
      <c r="H5" s="32"/>
      <c r="I5" s="28"/>
    </row>
    <row r="6" spans="1:12" ht="14.25" customHeight="1" x14ac:dyDescent="0.2">
      <c r="A6" s="26"/>
      <c r="B6" s="27"/>
      <c r="C6" s="33"/>
      <c r="D6" s="26"/>
      <c r="E6" s="34"/>
      <c r="F6" s="35" t="s">
        <v>53</v>
      </c>
      <c r="G6" s="36">
        <f ca="1">TODAY()</f>
        <v>45974</v>
      </c>
      <c r="H6" s="37"/>
      <c r="I6" s="28"/>
    </row>
    <row r="7" spans="1:12" ht="14.25" customHeight="1" x14ac:dyDescent="0.2">
      <c r="A7" s="26"/>
      <c r="B7" s="27"/>
      <c r="C7" s="33"/>
      <c r="D7" s="26"/>
      <c r="E7" s="34"/>
      <c r="F7" s="35"/>
      <c r="G7" s="26"/>
      <c r="H7" s="32"/>
      <c r="I7" s="28"/>
    </row>
    <row r="8" spans="1:12" ht="14.25" customHeight="1" x14ac:dyDescent="0.2">
      <c r="A8" s="26"/>
      <c r="B8" s="27"/>
      <c r="C8" s="38"/>
      <c r="D8" s="39"/>
      <c r="E8" s="34"/>
      <c r="F8" s="35"/>
      <c r="G8" s="26"/>
      <c r="H8" s="32"/>
      <c r="I8" s="28"/>
    </row>
    <row r="9" spans="1:12" ht="14.25" customHeight="1" x14ac:dyDescent="0.2">
      <c r="A9" s="26"/>
      <c r="B9" s="27"/>
      <c r="C9" s="40"/>
      <c r="D9" s="39"/>
      <c r="E9" s="34"/>
      <c r="F9" s="35"/>
      <c r="G9" s="26"/>
      <c r="H9" s="32"/>
      <c r="I9" s="28"/>
    </row>
    <row r="10" spans="1:12" ht="14.25" customHeight="1" x14ac:dyDescent="0.2">
      <c r="A10" s="26"/>
      <c r="B10" s="27"/>
      <c r="C10" s="41"/>
      <c r="D10" s="42"/>
      <c r="E10" s="34"/>
      <c r="F10" s="26"/>
      <c r="G10" s="26"/>
      <c r="H10" s="32"/>
      <c r="I10" s="28"/>
    </row>
    <row r="11" spans="1:12" ht="14.25" customHeight="1" x14ac:dyDescent="0.2">
      <c r="A11" s="26"/>
      <c r="B11" s="27"/>
      <c r="C11" s="43" t="s">
        <v>54</v>
      </c>
      <c r="D11" s="44" t="s">
        <v>55</v>
      </c>
      <c r="E11" s="44" t="s">
        <v>56</v>
      </c>
      <c r="F11" s="44" t="s">
        <v>57</v>
      </c>
      <c r="G11" s="44" t="s">
        <v>58</v>
      </c>
      <c r="H11" s="45" t="s">
        <v>59</v>
      </c>
      <c r="I11" s="28"/>
    </row>
    <row r="12" spans="1:12" ht="14.25" customHeight="1" x14ac:dyDescent="0.2">
      <c r="A12" s="26"/>
      <c r="B12" s="27"/>
      <c r="C12" s="46">
        <v>1</v>
      </c>
      <c r="D12" s="47" t="s">
        <v>60</v>
      </c>
      <c r="E12" s="48">
        <v>1</v>
      </c>
      <c r="F12" s="49">
        <f>+'Servicios de Cabina MCS'!O61</f>
        <v>187848.26437198624</v>
      </c>
      <c r="G12" s="50">
        <f>+'Calculadora MCS Mayo'!$F12</f>
        <v>187848.26437198624</v>
      </c>
      <c r="H12" s="71">
        <f>+'Calculadora MCS Marzo'!$G12</f>
        <v>171366.77552101997</v>
      </c>
      <c r="I12" s="28"/>
      <c r="L12" s="72"/>
    </row>
    <row r="13" spans="1:12" ht="14.25" customHeight="1" x14ac:dyDescent="0.2">
      <c r="A13" s="26"/>
      <c r="B13" s="27"/>
      <c r="C13" s="46">
        <v>2</v>
      </c>
      <c r="D13" s="47" t="s">
        <v>61</v>
      </c>
      <c r="E13" s="52">
        <v>4</v>
      </c>
      <c r="F13" s="49">
        <v>1500</v>
      </c>
      <c r="G13" s="50">
        <f>'Calculadora MCS Mayo'!$E13*'Calculadora MCS Mayo'!$F13</f>
        <v>6000</v>
      </c>
      <c r="H13" s="71">
        <f>+G12-H12</f>
        <v>16481.488850966271</v>
      </c>
      <c r="I13" s="28"/>
    </row>
    <row r="14" spans="1:12" ht="14.25" customHeight="1" x14ac:dyDescent="0.2">
      <c r="A14" s="26"/>
      <c r="B14" s="27"/>
      <c r="C14" s="46">
        <v>3</v>
      </c>
      <c r="D14" s="47" t="s">
        <v>30</v>
      </c>
      <c r="E14" s="55">
        <v>1</v>
      </c>
      <c r="F14" s="49">
        <v>-19243</v>
      </c>
      <c r="G14" s="50">
        <f>'Calculadora MCS Mayo'!$E14*'Calculadora MCS Mayo'!$F14</f>
        <v>-19243</v>
      </c>
      <c r="H14" s="73">
        <f>+H13/H12</f>
        <v>9.617668769722891E-2</v>
      </c>
      <c r="I14" s="28"/>
    </row>
    <row r="15" spans="1:12" ht="14.25" customHeight="1" x14ac:dyDescent="0.2">
      <c r="A15" s="26"/>
      <c r="B15" s="27"/>
      <c r="C15" s="46">
        <v>4</v>
      </c>
      <c r="D15" s="47" t="s">
        <v>32</v>
      </c>
      <c r="E15" s="55">
        <v>1</v>
      </c>
      <c r="F15" s="49">
        <v>-2252</v>
      </c>
      <c r="G15" s="50">
        <f>'Calculadora MCS Mayo'!$E15*'Calculadora MCS Mayo'!$F15</f>
        <v>-2252</v>
      </c>
      <c r="H15" s="56"/>
      <c r="I15" s="28"/>
    </row>
    <row r="16" spans="1:12" ht="14.25" customHeight="1" x14ac:dyDescent="0.2">
      <c r="A16" s="26"/>
      <c r="B16" s="27"/>
      <c r="C16" s="46">
        <v>5</v>
      </c>
      <c r="D16" s="47" t="s">
        <v>64</v>
      </c>
      <c r="E16" s="55">
        <v>1</v>
      </c>
      <c r="F16" s="49">
        <v>-187.5</v>
      </c>
      <c r="G16" s="50">
        <f>'Calculadora MCS Mayo'!$E16*'Calculadora MCS Mayo'!$F16</f>
        <v>-187.5</v>
      </c>
      <c r="H16" s="56"/>
      <c r="I16" s="28"/>
    </row>
    <row r="17" spans="1:9" ht="14.25" customHeight="1" x14ac:dyDescent="0.2">
      <c r="A17" s="26"/>
      <c r="B17" s="27"/>
      <c r="C17" s="46">
        <v>6</v>
      </c>
      <c r="D17" s="47" t="s">
        <v>34</v>
      </c>
      <c r="E17" s="55">
        <v>1</v>
      </c>
      <c r="F17" s="49">
        <v>-861.79</v>
      </c>
      <c r="G17" s="50">
        <f>'Calculadora MCS Mayo'!$E17*'Calculadora MCS Mayo'!$F17</f>
        <v>-861.79</v>
      </c>
      <c r="H17" s="56"/>
      <c r="I17" s="28"/>
    </row>
    <row r="18" spans="1:9" ht="14.25" customHeight="1" x14ac:dyDescent="0.2">
      <c r="A18" s="26"/>
      <c r="B18" s="27"/>
      <c r="C18" s="46">
        <v>7</v>
      </c>
      <c r="D18" s="47" t="s">
        <v>73</v>
      </c>
      <c r="E18" s="55">
        <v>1</v>
      </c>
      <c r="F18" s="49">
        <v>-2995.63</v>
      </c>
      <c r="G18" s="50">
        <f>'Calculadora MCS Mayo'!$E18*'Calculadora MCS Mayo'!$F18</f>
        <v>-2995.63</v>
      </c>
      <c r="H18" s="56"/>
      <c r="I18" s="28"/>
    </row>
    <row r="19" spans="1:9" ht="14.25" customHeight="1" x14ac:dyDescent="0.2">
      <c r="A19" s="26"/>
      <c r="B19" s="27"/>
      <c r="C19" s="46">
        <v>8</v>
      </c>
      <c r="D19" s="47" t="s">
        <v>65</v>
      </c>
      <c r="E19" s="55">
        <v>1</v>
      </c>
      <c r="F19" s="49">
        <v>-3679.38</v>
      </c>
      <c r="G19" s="50">
        <f>'Calculadora MCS Mayo'!$E19*'Calculadora MCS Mayo'!$F19</f>
        <v>-3679.38</v>
      </c>
      <c r="H19" s="56"/>
      <c r="I19" s="28"/>
    </row>
    <row r="20" spans="1:9" ht="14.25" customHeight="1" x14ac:dyDescent="0.2">
      <c r="A20" s="26"/>
      <c r="B20" s="27"/>
      <c r="C20" s="46">
        <v>9</v>
      </c>
      <c r="D20" s="47" t="s">
        <v>37</v>
      </c>
      <c r="E20" s="55">
        <v>1</v>
      </c>
      <c r="F20" s="49">
        <v>0</v>
      </c>
      <c r="G20" s="50">
        <f>'Calculadora MCS Mayo'!$E20*'Calculadora MCS Mayo'!$F20</f>
        <v>0</v>
      </c>
      <c r="H20" s="56"/>
      <c r="I20" s="28"/>
    </row>
    <row r="21" spans="1:9" ht="14.25" customHeight="1" x14ac:dyDescent="0.2">
      <c r="A21" s="26"/>
      <c r="B21" s="27"/>
      <c r="C21" s="46">
        <v>10</v>
      </c>
      <c r="D21" s="47" t="s">
        <v>40</v>
      </c>
      <c r="E21" s="55">
        <v>1</v>
      </c>
      <c r="F21" s="49">
        <v>-4248.2653333333328</v>
      </c>
      <c r="G21" s="50">
        <f>'Calculadora MCS Mayo'!$E21*'Calculadora MCS Mayo'!$F21</f>
        <v>-4248.2653333333328</v>
      </c>
      <c r="H21" s="56"/>
      <c r="I21" s="28"/>
    </row>
    <row r="22" spans="1:9" ht="14.25" customHeight="1" x14ac:dyDescent="0.2">
      <c r="A22" s="26"/>
      <c r="B22" s="27"/>
      <c r="C22" s="46"/>
      <c r="D22" s="59"/>
      <c r="E22" s="49"/>
      <c r="F22" s="49"/>
      <c r="G22" s="50"/>
      <c r="H22" s="56"/>
      <c r="I22" s="28"/>
    </row>
    <row r="23" spans="1:9" ht="14.25" customHeight="1" x14ac:dyDescent="0.2">
      <c r="A23" s="26"/>
      <c r="B23" s="27"/>
      <c r="C23" s="58"/>
      <c r="D23" s="59"/>
      <c r="E23" s="59"/>
      <c r="F23" s="60" t="s">
        <v>57</v>
      </c>
      <c r="G23" s="50">
        <f>SUM(G12:G22)</f>
        <v>160380.69903865288</v>
      </c>
      <c r="H23" s="61"/>
      <c r="I23" s="28"/>
    </row>
    <row r="24" spans="1:9" ht="14.25" customHeight="1" x14ac:dyDescent="0.2">
      <c r="A24" s="26"/>
      <c r="B24" s="27"/>
      <c r="C24" s="298"/>
      <c r="D24" s="299"/>
      <c r="E24" s="62"/>
      <c r="F24" s="63"/>
      <c r="G24" s="64"/>
      <c r="H24" s="65"/>
      <c r="I24" s="28"/>
    </row>
    <row r="25" spans="1:9" ht="14.25" customHeight="1" x14ac:dyDescent="0.2">
      <c r="A25" s="26"/>
      <c r="B25" s="66"/>
      <c r="C25" s="290"/>
      <c r="D25" s="291"/>
      <c r="E25" s="67"/>
      <c r="F25" s="68" t="e">
        <f>'Calculadora MCS Mayo'!Saldo_pendiente</f>
        <v>#REF!</v>
      </c>
      <c r="G25" s="69"/>
      <c r="H25" s="69"/>
      <c r="I25" s="70"/>
    </row>
    <row r="26" spans="1:9" ht="14.25" customHeight="1" x14ac:dyDescent="0.2"/>
    <row r="27" spans="1:9" ht="14.25" customHeight="1" x14ac:dyDescent="0.2"/>
    <row r="28" spans="1:9" ht="14.25" customHeight="1" x14ac:dyDescent="0.2"/>
    <row r="29" spans="1:9" ht="14.25" customHeight="1" x14ac:dyDescent="0.2"/>
    <row r="30" spans="1:9" ht="14.25" customHeight="1" x14ac:dyDescent="0.2"/>
    <row r="31" spans="1:9" ht="14.25" customHeight="1" x14ac:dyDescent="0.2"/>
    <row r="32" spans="1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4">
    <mergeCell ref="C3:H3"/>
    <mergeCell ref="C4:G4"/>
    <mergeCell ref="C24:D24"/>
    <mergeCell ref="C25:D25"/>
  </mergeCells>
  <pageMargins left="0.7" right="0.7" top="0.75" bottom="0.75" header="0" footer="0"/>
  <pageSetup orientation="landscape"/>
  <drawing r:id="rId1"/>
  <legacyDrawing r:id="rId2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N1000"/>
  <sheetViews>
    <sheetView showGridLines="0" workbookViewId="0"/>
  </sheetViews>
  <sheetFormatPr baseColWidth="10" defaultColWidth="14.5" defaultRowHeight="15" customHeight="1" x14ac:dyDescent="0.2"/>
  <cols>
    <col min="1" max="1" width="10.6640625" customWidth="1"/>
    <col min="2" max="2" width="30" customWidth="1"/>
    <col min="3" max="3" width="11.6640625" customWidth="1"/>
    <col min="4" max="4" width="13.6640625" customWidth="1"/>
    <col min="5" max="5" width="12.5" customWidth="1"/>
    <col min="6" max="6" width="18.5" customWidth="1"/>
    <col min="7" max="7" width="14" customWidth="1"/>
    <col min="8" max="13" width="10.6640625" customWidth="1"/>
    <col min="14" max="14" width="13.33203125" customWidth="1"/>
    <col min="15" max="26" width="10.6640625" customWidth="1"/>
  </cols>
  <sheetData>
    <row r="1" spans="2:14" ht="14.25" customHeight="1" x14ac:dyDescent="0.2"/>
    <row r="2" spans="2:14" ht="14.25" customHeight="1" x14ac:dyDescent="0.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14" ht="14.25" customHeight="1" x14ac:dyDescent="0.2">
      <c r="B3" s="3" t="s">
        <v>8</v>
      </c>
      <c r="C3" s="4">
        <f>+'Calculadora MCS Abril'!G12</f>
        <v>192446.56216737497</v>
      </c>
      <c r="D3" s="4">
        <f>+'Calculadora INC Abril'!G12</f>
        <v>49728.671279592498</v>
      </c>
      <c r="E3" s="4">
        <f t="shared" ref="E3:E12" si="0">SUM(C3:D3)</f>
        <v>242175.23344696747</v>
      </c>
      <c r="F3" s="5">
        <f>+'Consolidado Marzo'!G3</f>
        <v>217551.98930699122</v>
      </c>
      <c r="G3" s="6">
        <f t="shared" ref="G3:G12" si="1">+E3</f>
        <v>242175.23344696747</v>
      </c>
    </row>
    <row r="4" spans="2:14" ht="14.25" customHeight="1" x14ac:dyDescent="0.2">
      <c r="B4" s="3" t="s">
        <v>12</v>
      </c>
      <c r="C4" s="4">
        <f>'[3]Calculadora MCS Enero-24'!C15</f>
        <v>0</v>
      </c>
      <c r="D4" s="4">
        <f>+'Calculadora INC Abril'!G13</f>
        <v>575</v>
      </c>
      <c r="E4" s="4">
        <f t="shared" si="0"/>
        <v>575</v>
      </c>
      <c r="F4" s="5">
        <f>+E3-F3</f>
        <v>24623.244139976247</v>
      </c>
      <c r="G4" s="6">
        <f t="shared" si="1"/>
        <v>575</v>
      </c>
    </row>
    <row r="5" spans="2:14" ht="14.25" customHeight="1" x14ac:dyDescent="0.2">
      <c r="B5" s="3" t="s">
        <v>13</v>
      </c>
      <c r="C5" s="4">
        <f>+'Calculadora MCS Abril'!G13</f>
        <v>6000</v>
      </c>
      <c r="D5" s="4">
        <f>+'Calculadora INC Abril'!G14</f>
        <v>4500</v>
      </c>
      <c r="E5" s="4">
        <f t="shared" si="0"/>
        <v>10500</v>
      </c>
      <c r="F5" s="7">
        <f>+F4/F3</f>
        <v>0.11318326354272025</v>
      </c>
      <c r="G5" s="6">
        <f t="shared" si="1"/>
        <v>10500</v>
      </c>
    </row>
    <row r="6" spans="2:14" ht="14.25" customHeight="1" x14ac:dyDescent="0.2">
      <c r="B6" s="3" t="s">
        <v>14</v>
      </c>
      <c r="C6" s="4" t="s">
        <v>210</v>
      </c>
      <c r="D6" s="4">
        <f>+'Calculadora INC Abril'!G19</f>
        <v>3539</v>
      </c>
      <c r="E6" s="4">
        <f t="shared" si="0"/>
        <v>3539</v>
      </c>
      <c r="G6" s="6">
        <f t="shared" si="1"/>
        <v>3539</v>
      </c>
    </row>
    <row r="7" spans="2:14" ht="14.25" customHeight="1" x14ac:dyDescent="0.2">
      <c r="B7" s="3" t="s">
        <v>16</v>
      </c>
      <c r="C7" s="4" t="s">
        <v>210</v>
      </c>
      <c r="D7" s="4">
        <f>+'Calculadora INC Abril'!G20</f>
        <v>500</v>
      </c>
      <c r="E7" s="4">
        <f t="shared" si="0"/>
        <v>500</v>
      </c>
      <c r="G7" s="6">
        <f t="shared" si="1"/>
        <v>500</v>
      </c>
    </row>
    <row r="8" spans="2:14" ht="14.25" customHeight="1" x14ac:dyDescent="0.2">
      <c r="B8" s="3" t="s">
        <v>18</v>
      </c>
      <c r="C8" s="4">
        <v>0</v>
      </c>
      <c r="D8" s="4">
        <v>23000</v>
      </c>
      <c r="E8" s="4">
        <f t="shared" si="0"/>
        <v>23000</v>
      </c>
      <c r="G8" s="6">
        <f t="shared" si="1"/>
        <v>23000</v>
      </c>
      <c r="I8" s="78"/>
      <c r="N8" s="4">
        <v>3384875</v>
      </c>
    </row>
    <row r="9" spans="2:14" ht="14.25" customHeight="1" x14ac:dyDescent="0.2">
      <c r="B9" s="3" t="s">
        <v>20</v>
      </c>
      <c r="C9" s="4"/>
      <c r="D9" s="4">
        <f>+'Calculadora INC Abril'!F16</f>
        <v>105</v>
      </c>
      <c r="E9" s="4">
        <f t="shared" si="0"/>
        <v>105</v>
      </c>
      <c r="G9" s="6">
        <f t="shared" si="1"/>
        <v>105</v>
      </c>
      <c r="N9" s="4" t="e">
        <f>N8/#REF!</f>
        <v>#REF!</v>
      </c>
    </row>
    <row r="10" spans="2:14" ht="14.25" customHeight="1" x14ac:dyDescent="0.2">
      <c r="B10" s="3" t="s">
        <v>22</v>
      </c>
      <c r="C10" s="4"/>
      <c r="D10" s="4">
        <f>+'Calculadora INC Marzo'!G17</f>
        <v>87.5</v>
      </c>
      <c r="E10" s="4">
        <f t="shared" si="0"/>
        <v>87.5</v>
      </c>
      <c r="G10" s="6">
        <f t="shared" si="1"/>
        <v>87.5</v>
      </c>
    </row>
    <row r="11" spans="2:14" ht="14.25" customHeight="1" x14ac:dyDescent="0.2">
      <c r="B11" s="3" t="s">
        <v>24</v>
      </c>
      <c r="C11" s="4"/>
      <c r="D11" s="4">
        <f>+'Calculadora INC Marzo'!G18</f>
        <v>350</v>
      </c>
      <c r="E11" s="4">
        <f t="shared" si="0"/>
        <v>350</v>
      </c>
      <c r="G11" s="6">
        <f t="shared" si="1"/>
        <v>350</v>
      </c>
    </row>
    <row r="12" spans="2:14" ht="14.25" customHeight="1" x14ac:dyDescent="0.2">
      <c r="B12" s="3" t="s">
        <v>25</v>
      </c>
      <c r="C12" s="4">
        <f>+'[3]Calculadora MCS Enero-24'!C19</f>
        <v>0</v>
      </c>
      <c r="D12" s="4">
        <v>0</v>
      </c>
      <c r="E12" s="4">
        <f t="shared" si="0"/>
        <v>0</v>
      </c>
      <c r="G12" s="6">
        <f t="shared" si="1"/>
        <v>0</v>
      </c>
    </row>
    <row r="13" spans="2:14" ht="14.25" customHeight="1" x14ac:dyDescent="0.2">
      <c r="C13" s="4"/>
      <c r="D13" s="4"/>
      <c r="E13" s="4"/>
      <c r="G13" s="12"/>
    </row>
    <row r="14" spans="2:14" ht="14.25" customHeight="1" x14ac:dyDescent="0.2">
      <c r="C14" s="9">
        <f t="shared" ref="C14:E14" si="2">SUM(C3:C13)</f>
        <v>198446.56216737497</v>
      </c>
      <c r="D14" s="9">
        <f t="shared" si="2"/>
        <v>82385.171279592498</v>
      </c>
      <c r="E14" s="9">
        <f t="shared" si="2"/>
        <v>280831.73344696744</v>
      </c>
      <c r="G14" s="10">
        <f>E14+F14</f>
        <v>280831.73344696744</v>
      </c>
    </row>
    <row r="15" spans="2:14" ht="14.25" customHeight="1" x14ac:dyDescent="0.2">
      <c r="B15" s="1" t="s">
        <v>28</v>
      </c>
      <c r="C15" s="11"/>
      <c r="D15" s="11"/>
      <c r="E15" s="11"/>
    </row>
    <row r="16" spans="2:14" ht="14.25" customHeight="1" x14ac:dyDescent="0.2">
      <c r="C16" s="4"/>
      <c r="D16" s="4"/>
      <c r="E16" s="4"/>
    </row>
    <row r="17" spans="2:8" ht="14.25" customHeight="1" x14ac:dyDescent="0.2">
      <c r="C17" s="4"/>
      <c r="D17" s="4"/>
      <c r="E17" s="4"/>
    </row>
    <row r="18" spans="2:8" ht="14.25" customHeight="1" x14ac:dyDescent="0.2">
      <c r="B18" s="1" t="s">
        <v>29</v>
      </c>
      <c r="C18" s="4"/>
      <c r="D18" s="4"/>
      <c r="E18" s="4"/>
    </row>
    <row r="19" spans="2:8" ht="14.25" customHeight="1" x14ac:dyDescent="0.2">
      <c r="B19" s="3" t="s">
        <v>30</v>
      </c>
      <c r="C19" s="4">
        <f>+'Calculadora MCS Abril'!F14</f>
        <v>-19243</v>
      </c>
      <c r="D19" s="4"/>
      <c r="E19" s="4">
        <f t="shared" ref="E19:E26" si="3">SUM(C19:D19)</f>
        <v>-19243</v>
      </c>
      <c r="F19" s="4" t="s">
        <v>31</v>
      </c>
      <c r="G19" s="12">
        <f t="shared" ref="G19:G26" si="4">E19</f>
        <v>-19243</v>
      </c>
    </row>
    <row r="20" spans="2:8" ht="14.25" customHeight="1" x14ac:dyDescent="0.2">
      <c r="B20" s="3" t="s">
        <v>32</v>
      </c>
      <c r="C20" s="4">
        <f>+'Calculadora MCS Abril'!F15</f>
        <v>-2252</v>
      </c>
      <c r="D20" s="4"/>
      <c r="E20" s="4">
        <f t="shared" si="3"/>
        <v>-2252</v>
      </c>
      <c r="F20" s="4" t="s">
        <v>11</v>
      </c>
      <c r="G20" s="12">
        <f t="shared" si="4"/>
        <v>-2252</v>
      </c>
    </row>
    <row r="21" spans="2:8" ht="14.25" customHeight="1" x14ac:dyDescent="0.2">
      <c r="B21" s="3" t="s">
        <v>74</v>
      </c>
      <c r="C21" s="4">
        <f>+'Calculadora MCS Abril'!F16</f>
        <v>-187.5</v>
      </c>
      <c r="D21" s="4"/>
      <c r="E21" s="4">
        <f t="shared" si="3"/>
        <v>-187.5</v>
      </c>
      <c r="F21" s="4" t="s">
        <v>11</v>
      </c>
      <c r="G21" s="12">
        <f t="shared" si="4"/>
        <v>-187.5</v>
      </c>
    </row>
    <row r="22" spans="2:8" ht="14.25" customHeight="1" x14ac:dyDescent="0.2">
      <c r="B22" s="3" t="s">
        <v>34</v>
      </c>
      <c r="C22" s="4">
        <f>+'Calculadora MCS Abril'!F17</f>
        <v>-861.79</v>
      </c>
      <c r="D22" s="4"/>
      <c r="E22" s="4">
        <f t="shared" si="3"/>
        <v>-861.79</v>
      </c>
      <c r="F22" s="4" t="s">
        <v>11</v>
      </c>
      <c r="G22" s="12">
        <f t="shared" si="4"/>
        <v>-861.79</v>
      </c>
    </row>
    <row r="23" spans="2:8" ht="14.25" customHeight="1" x14ac:dyDescent="0.2">
      <c r="B23" s="3" t="s">
        <v>35</v>
      </c>
      <c r="C23" s="4">
        <f>+'Calculadora MCS Abril'!F19</f>
        <v>-3679.38</v>
      </c>
      <c r="D23" s="4">
        <v>0</v>
      </c>
      <c r="E23" s="4">
        <f t="shared" si="3"/>
        <v>-3679.38</v>
      </c>
      <c r="F23" s="4" t="s">
        <v>31</v>
      </c>
      <c r="G23" s="12">
        <f t="shared" si="4"/>
        <v>-3679.38</v>
      </c>
    </row>
    <row r="24" spans="2:8" ht="14.25" customHeight="1" x14ac:dyDescent="0.2">
      <c r="B24" s="13" t="s">
        <v>77</v>
      </c>
      <c r="C24" s="4">
        <f>+'Calculadora MCS Abril'!F18</f>
        <v>-2995.63</v>
      </c>
      <c r="D24" s="4"/>
      <c r="E24" s="4">
        <f t="shared" si="3"/>
        <v>-2995.63</v>
      </c>
      <c r="F24" s="4" t="s">
        <v>31</v>
      </c>
      <c r="G24" s="12">
        <f t="shared" si="4"/>
        <v>-2995.63</v>
      </c>
    </row>
    <row r="25" spans="2:8" ht="14.25" customHeight="1" x14ac:dyDescent="0.2">
      <c r="B25" s="13" t="s">
        <v>37</v>
      </c>
      <c r="C25" s="4" t="e">
        <f>-#REF!</f>
        <v>#REF!</v>
      </c>
      <c r="D25" s="4"/>
      <c r="E25" s="4" t="e">
        <f t="shared" si="3"/>
        <v>#REF!</v>
      </c>
      <c r="F25" s="4" t="s">
        <v>11</v>
      </c>
      <c r="G25" s="12" t="e">
        <f t="shared" si="4"/>
        <v>#REF!</v>
      </c>
      <c r="H25" s="3" t="s">
        <v>78</v>
      </c>
    </row>
    <row r="26" spans="2:8" ht="14.25" customHeight="1" x14ac:dyDescent="0.2">
      <c r="B26" s="13" t="s">
        <v>40</v>
      </c>
      <c r="C26" s="4" t="e">
        <f>-#REF!</f>
        <v>#REF!</v>
      </c>
      <c r="D26" s="4"/>
      <c r="E26" s="4" t="e">
        <f t="shared" si="3"/>
        <v>#REF!</v>
      </c>
      <c r="F26" s="4" t="s">
        <v>11</v>
      </c>
      <c r="G26" s="12" t="e">
        <f t="shared" si="4"/>
        <v>#REF!</v>
      </c>
    </row>
    <row r="27" spans="2:8" ht="14.25" customHeight="1" x14ac:dyDescent="0.2">
      <c r="C27" s="9" t="e">
        <f t="shared" ref="C27:E27" si="5">SUM(C19:C26)</f>
        <v>#REF!</v>
      </c>
      <c r="D27" s="9">
        <f t="shared" si="5"/>
        <v>0</v>
      </c>
      <c r="E27" s="9" t="e">
        <f t="shared" si="5"/>
        <v>#REF!</v>
      </c>
      <c r="F27" s="4"/>
      <c r="G27" s="10" t="e">
        <f>SUM(G19:G26)</f>
        <v>#REF!</v>
      </c>
    </row>
    <row r="28" spans="2:8" ht="14.25" customHeight="1" x14ac:dyDescent="0.2">
      <c r="C28" s="4"/>
      <c r="D28" s="4"/>
      <c r="E28" s="4"/>
      <c r="F28" s="4"/>
      <c r="G28" s="4"/>
    </row>
    <row r="29" spans="2:8" ht="14.25" customHeight="1" x14ac:dyDescent="0.2">
      <c r="C29" s="4"/>
      <c r="D29" s="4"/>
      <c r="E29" s="4"/>
      <c r="F29" s="4"/>
      <c r="G29" s="4"/>
    </row>
    <row r="30" spans="2:8" ht="14.25" customHeight="1" x14ac:dyDescent="0.2">
      <c r="C30" s="4"/>
      <c r="D30" s="4"/>
      <c r="E30" s="4"/>
      <c r="F30" s="4"/>
      <c r="G30" s="4"/>
    </row>
    <row r="31" spans="2:8" ht="14.25" customHeight="1" x14ac:dyDescent="0.2">
      <c r="B31" s="15"/>
      <c r="C31" s="15"/>
      <c r="D31" s="16" t="s">
        <v>42</v>
      </c>
      <c r="E31" s="16" t="s">
        <v>43</v>
      </c>
      <c r="F31" s="16" t="s">
        <v>44</v>
      </c>
      <c r="G31" s="16"/>
    </row>
    <row r="32" spans="2:8" ht="14.25" customHeight="1" x14ac:dyDescent="0.2">
      <c r="B32" s="15" t="s">
        <v>45</v>
      </c>
      <c r="C32" s="17">
        <v>0.65500000000000003</v>
      </c>
      <c r="D32" s="18">
        <f t="shared" ref="D32:D34" si="6">+$E$14*C32</f>
        <v>183944.78540776367</v>
      </c>
      <c r="E32" s="18">
        <f>+G19+G23+G24</f>
        <v>-25918.010000000002</v>
      </c>
      <c r="F32" s="18">
        <f t="shared" ref="F32:F34" si="7">+D32+E32</f>
        <v>158026.77540776366</v>
      </c>
      <c r="G32" s="18"/>
    </row>
    <row r="33" spans="2:7" ht="14.25" customHeight="1" x14ac:dyDescent="0.2">
      <c r="B33" s="15" t="s">
        <v>46</v>
      </c>
      <c r="C33" s="17">
        <v>7.4999999999999997E-2</v>
      </c>
      <c r="D33" s="18">
        <f t="shared" si="6"/>
        <v>21062.380008522556</v>
      </c>
      <c r="E33" s="18"/>
      <c r="F33" s="18">
        <f t="shared" si="7"/>
        <v>21062.380008522556</v>
      </c>
      <c r="G33" s="18"/>
    </row>
    <row r="34" spans="2:7" ht="14.25" customHeight="1" x14ac:dyDescent="0.2">
      <c r="B34" s="15" t="s">
        <v>7</v>
      </c>
      <c r="C34" s="17">
        <v>0.27</v>
      </c>
      <c r="D34" s="18">
        <f t="shared" si="6"/>
        <v>75824.568030681214</v>
      </c>
      <c r="E34" s="18" t="e">
        <f>+G20+G21+G22+G25+G26</f>
        <v>#REF!</v>
      </c>
      <c r="F34" s="18" t="e">
        <f t="shared" si="7"/>
        <v>#REF!</v>
      </c>
      <c r="G34" s="18"/>
    </row>
    <row r="35" spans="2:7" ht="14.25" customHeight="1" x14ac:dyDescent="0.2">
      <c r="B35" s="15"/>
      <c r="C35" s="15"/>
      <c r="D35" s="15"/>
      <c r="E35" s="15"/>
      <c r="F35" s="15"/>
      <c r="G35" s="15"/>
    </row>
    <row r="36" spans="2:7" ht="14.25" customHeight="1" x14ac:dyDescent="0.2">
      <c r="B36" s="15"/>
      <c r="C36" s="19">
        <f t="shared" ref="C36:F36" si="8">C32+C33+C34</f>
        <v>1</v>
      </c>
      <c r="D36" s="20">
        <f t="shared" si="8"/>
        <v>280831.73344696744</v>
      </c>
      <c r="E36" s="20" t="e">
        <f t="shared" si="8"/>
        <v>#REF!</v>
      </c>
      <c r="F36" s="20" t="e">
        <f t="shared" si="8"/>
        <v>#REF!</v>
      </c>
      <c r="G36" s="20"/>
    </row>
    <row r="37" spans="2:7" ht="14.25" customHeight="1" x14ac:dyDescent="0.2">
      <c r="C37" s="4"/>
      <c r="D37" s="4"/>
      <c r="E37" s="4"/>
      <c r="F37" s="4"/>
      <c r="G37" s="4"/>
    </row>
    <row r="38" spans="2:7" ht="14.25" customHeight="1" x14ac:dyDescent="0.2">
      <c r="C38" s="4"/>
      <c r="D38" s="4"/>
      <c r="E38" s="4"/>
      <c r="F38" s="4"/>
      <c r="G38" s="4"/>
    </row>
    <row r="39" spans="2:7" ht="14.25" customHeight="1" x14ac:dyDescent="0.2">
      <c r="C39" s="4"/>
      <c r="D39" s="4"/>
      <c r="E39" s="4"/>
      <c r="F39" s="4"/>
      <c r="G39" s="4"/>
    </row>
    <row r="40" spans="2:7" ht="14.25" customHeight="1" x14ac:dyDescent="0.2"/>
    <row r="41" spans="2:7" ht="14.25" customHeight="1" x14ac:dyDescent="0.2"/>
    <row r="42" spans="2:7" ht="14.25" customHeight="1" x14ac:dyDescent="0.2"/>
    <row r="43" spans="2:7" ht="14.25" customHeight="1" x14ac:dyDescent="0.2"/>
    <row r="44" spans="2:7" ht="14.25" customHeight="1" x14ac:dyDescent="0.2"/>
    <row r="45" spans="2:7" ht="14.25" customHeight="1" x14ac:dyDescent="0.2"/>
    <row r="46" spans="2:7" ht="14.25" customHeight="1" x14ac:dyDescent="0.2"/>
    <row r="47" spans="2:7" ht="14.25" customHeight="1" x14ac:dyDescent="0.2"/>
    <row r="48" spans="2:7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21.5" customWidth="1"/>
    <col min="5" max="5" width="17.33203125" customWidth="1"/>
    <col min="6" max="6" width="13.33203125" customWidth="1"/>
    <col min="7" max="7" width="13.6640625" customWidth="1"/>
    <col min="8" max="8" width="16" customWidth="1"/>
    <col min="9" max="9" width="5.33203125" customWidth="1"/>
    <col min="10" max="26" width="10.6640625" customWidth="1"/>
  </cols>
  <sheetData>
    <row r="1" spans="1:9" ht="14.25" customHeight="1" x14ac:dyDescent="0.2"/>
    <row r="2" spans="1:9" ht="14.25" customHeight="1" x14ac:dyDescent="0.2">
      <c r="B2" s="23"/>
      <c r="C2" s="24"/>
      <c r="D2" s="24"/>
      <c r="E2" s="24"/>
      <c r="F2" s="24"/>
      <c r="G2" s="24"/>
      <c r="H2" s="24"/>
      <c r="I2" s="25"/>
    </row>
    <row r="3" spans="1:9" ht="14.25" customHeight="1" x14ac:dyDescent="0.2">
      <c r="A3" s="26"/>
      <c r="B3" s="27"/>
      <c r="C3" s="293" t="s">
        <v>52</v>
      </c>
      <c r="D3" s="294"/>
      <c r="E3" s="294"/>
      <c r="F3" s="294"/>
      <c r="G3" s="294"/>
      <c r="H3" s="296"/>
      <c r="I3" s="28"/>
    </row>
    <row r="4" spans="1:9" ht="14.25" customHeight="1" x14ac:dyDescent="0.2">
      <c r="A4" s="26"/>
      <c r="B4" s="27"/>
      <c r="C4" s="297"/>
      <c r="D4" s="286"/>
      <c r="E4" s="286"/>
      <c r="F4" s="286"/>
      <c r="G4" s="286"/>
      <c r="H4" s="30"/>
      <c r="I4" s="28"/>
    </row>
    <row r="5" spans="1:9" ht="14.25" customHeight="1" x14ac:dyDescent="0.2">
      <c r="A5" s="26"/>
      <c r="B5" s="27"/>
      <c r="C5" s="31"/>
      <c r="D5" s="26"/>
      <c r="E5" s="26"/>
      <c r="F5" s="26"/>
      <c r="G5" s="26"/>
      <c r="H5" s="32"/>
      <c r="I5" s="28"/>
    </row>
    <row r="6" spans="1:9" ht="14.25" customHeight="1" x14ac:dyDescent="0.2">
      <c r="A6" s="26"/>
      <c r="B6" s="27"/>
      <c r="C6" s="33"/>
      <c r="D6" s="26"/>
      <c r="E6" s="34"/>
      <c r="F6" s="35" t="s">
        <v>53</v>
      </c>
      <c r="G6" s="36">
        <f ca="1">TODAY()</f>
        <v>45974</v>
      </c>
      <c r="H6" s="37"/>
      <c r="I6" s="28"/>
    </row>
    <row r="7" spans="1:9" ht="14.25" customHeight="1" x14ac:dyDescent="0.2">
      <c r="A7" s="26"/>
      <c r="B7" s="27"/>
      <c r="C7" s="33"/>
      <c r="D7" s="26"/>
      <c r="E7" s="34"/>
      <c r="F7" s="35"/>
      <c r="G7" s="26"/>
      <c r="H7" s="32"/>
      <c r="I7" s="28"/>
    </row>
    <row r="8" spans="1:9" ht="14.25" customHeight="1" x14ac:dyDescent="0.2">
      <c r="A8" s="26"/>
      <c r="B8" s="27"/>
      <c r="C8" s="38"/>
      <c r="D8" s="39"/>
      <c r="E8" s="34"/>
      <c r="F8" s="35"/>
      <c r="G8" s="26"/>
      <c r="H8" s="32"/>
      <c r="I8" s="28"/>
    </row>
    <row r="9" spans="1:9" ht="14.25" customHeight="1" x14ac:dyDescent="0.2">
      <c r="A9" s="26"/>
      <c r="B9" s="27"/>
      <c r="C9" s="40"/>
      <c r="D9" s="39"/>
      <c r="E9" s="34"/>
      <c r="F9" s="35"/>
      <c r="G9" s="26"/>
      <c r="H9" s="32"/>
      <c r="I9" s="28"/>
    </row>
    <row r="10" spans="1:9" ht="14.25" customHeight="1" x14ac:dyDescent="0.2">
      <c r="A10" s="26"/>
      <c r="B10" s="27"/>
      <c r="C10" s="41"/>
      <c r="D10" s="42"/>
      <c r="E10" s="34"/>
      <c r="F10" s="26"/>
      <c r="G10" s="26"/>
      <c r="H10" s="32"/>
      <c r="I10" s="28"/>
    </row>
    <row r="11" spans="1:9" ht="14.25" customHeight="1" x14ac:dyDescent="0.2">
      <c r="A11" s="26"/>
      <c r="B11" s="27"/>
      <c r="C11" s="43" t="s">
        <v>54</v>
      </c>
      <c r="D11" s="44" t="s">
        <v>55</v>
      </c>
      <c r="E11" s="44" t="s">
        <v>56</v>
      </c>
      <c r="F11" s="44" t="s">
        <v>57</v>
      </c>
      <c r="G11" s="44" t="s">
        <v>58</v>
      </c>
      <c r="H11" s="45" t="s">
        <v>59</v>
      </c>
      <c r="I11" s="28"/>
    </row>
    <row r="12" spans="1:9" ht="14.25" customHeight="1" x14ac:dyDescent="0.2">
      <c r="A12" s="26"/>
      <c r="B12" s="27"/>
      <c r="C12" s="46">
        <v>1</v>
      </c>
      <c r="D12" s="47" t="s">
        <v>60</v>
      </c>
      <c r="E12" s="48">
        <v>1</v>
      </c>
      <c r="F12" s="49">
        <f>+'Servicios de Cabina INC'!N61</f>
        <v>49728.671279592498</v>
      </c>
      <c r="G12" s="50">
        <f>'Calculadora INC Abril'!$E12*'Calculadora INC Abril'!$F12</f>
        <v>49728.671279592498</v>
      </c>
      <c r="H12" s="51">
        <f>+'Servicios de Cabina INC'!M61</f>
        <v>46185.213785971246</v>
      </c>
      <c r="I12" s="28"/>
    </row>
    <row r="13" spans="1:9" ht="14.25" customHeight="1" x14ac:dyDescent="0.2">
      <c r="A13" s="26"/>
      <c r="B13" s="27"/>
      <c r="C13" s="46">
        <v>2</v>
      </c>
      <c r="D13" s="47" t="s">
        <v>12</v>
      </c>
      <c r="E13" s="52">
        <v>46</v>
      </c>
      <c r="F13" s="49">
        <v>12.5</v>
      </c>
      <c r="G13" s="50">
        <f>'Calculadora INC Abril'!$E13*'Calculadora INC Abril'!$F13</f>
        <v>575</v>
      </c>
      <c r="H13" s="53">
        <f>+G12-H12</f>
        <v>3543.4574936212521</v>
      </c>
      <c r="I13" s="28"/>
    </row>
    <row r="14" spans="1:9" ht="14.25" customHeight="1" x14ac:dyDescent="0.2">
      <c r="A14" s="26"/>
      <c r="B14" s="27"/>
      <c r="C14" s="46">
        <v>3</v>
      </c>
      <c r="D14" s="47" t="s">
        <v>61</v>
      </c>
      <c r="E14" s="52">
        <v>3</v>
      </c>
      <c r="F14" s="49">
        <v>1500</v>
      </c>
      <c r="G14" s="50">
        <f>'Calculadora INC Abril'!$E14*'Calculadora INC Abril'!$F14</f>
        <v>4500</v>
      </c>
      <c r="H14" s="54">
        <f>+H13/H12</f>
        <v>7.6722769110523781E-2</v>
      </c>
      <c r="I14" s="28"/>
    </row>
    <row r="15" spans="1:9" ht="14.25" customHeight="1" x14ac:dyDescent="0.2">
      <c r="A15" s="26"/>
      <c r="B15" s="27"/>
      <c r="C15" s="46">
        <v>4</v>
      </c>
      <c r="D15" s="47" t="s">
        <v>62</v>
      </c>
      <c r="E15" s="55">
        <v>1</v>
      </c>
      <c r="F15" s="49">
        <v>0</v>
      </c>
      <c r="G15" s="50">
        <f>'Calculadora INC Abril'!$E15*'Calculadora INC Abril'!$F15</f>
        <v>0</v>
      </c>
      <c r="H15" s="56"/>
      <c r="I15" s="28"/>
    </row>
    <row r="16" spans="1:9" ht="14.25" customHeight="1" x14ac:dyDescent="0.2">
      <c r="A16" s="26"/>
      <c r="B16" s="27"/>
      <c r="C16" s="46">
        <v>5</v>
      </c>
      <c r="D16" s="47" t="s">
        <v>20</v>
      </c>
      <c r="E16" s="55">
        <v>1</v>
      </c>
      <c r="F16" s="49">
        <v>105</v>
      </c>
      <c r="G16" s="50">
        <f>'Calculadora INC Abril'!$E16*'Calculadora INC Abril'!$F16</f>
        <v>105</v>
      </c>
      <c r="H16" s="56"/>
      <c r="I16" s="28"/>
    </row>
    <row r="17" spans="1:9" ht="14.25" customHeight="1" x14ac:dyDescent="0.2">
      <c r="A17" s="26"/>
      <c r="B17" s="27"/>
      <c r="C17" s="46">
        <v>6</v>
      </c>
      <c r="D17" s="47" t="s">
        <v>22</v>
      </c>
      <c r="E17" s="55">
        <v>1</v>
      </c>
      <c r="F17" s="49">
        <v>87.5</v>
      </c>
      <c r="G17" s="50">
        <f>'Calculadora INC Abril'!$E17*'Calculadora INC Abril'!$F17</f>
        <v>87.5</v>
      </c>
      <c r="H17" s="56"/>
      <c r="I17" s="28"/>
    </row>
    <row r="18" spans="1:9" ht="14.25" customHeight="1" x14ac:dyDescent="0.2">
      <c r="A18" s="26"/>
      <c r="B18" s="27"/>
      <c r="C18" s="46">
        <v>7</v>
      </c>
      <c r="D18" s="47" t="s">
        <v>24</v>
      </c>
      <c r="E18" s="55">
        <v>1</v>
      </c>
      <c r="F18" s="49">
        <v>350</v>
      </c>
      <c r="G18" s="50">
        <f>'Calculadora INC Abril'!$E18*'Calculadora INC Abril'!$F18</f>
        <v>350</v>
      </c>
      <c r="H18" s="56"/>
      <c r="I18" s="28"/>
    </row>
    <row r="19" spans="1:9" ht="14.25" customHeight="1" x14ac:dyDescent="0.2">
      <c r="A19" s="26"/>
      <c r="B19" s="27"/>
      <c r="C19" s="46">
        <v>8</v>
      </c>
      <c r="D19" s="47" t="s">
        <v>14</v>
      </c>
      <c r="E19" s="55">
        <v>1</v>
      </c>
      <c r="F19" s="49">
        <v>3539</v>
      </c>
      <c r="G19" s="50">
        <f>'Calculadora INC Abril'!$E19*'Calculadora INC Abril'!$F19</f>
        <v>3539</v>
      </c>
      <c r="H19" s="56"/>
      <c r="I19" s="28"/>
    </row>
    <row r="20" spans="1:9" ht="14.25" customHeight="1" x14ac:dyDescent="0.2">
      <c r="A20" s="26"/>
      <c r="B20" s="27"/>
      <c r="C20" s="46">
        <v>9</v>
      </c>
      <c r="D20" s="47" t="s">
        <v>16</v>
      </c>
      <c r="E20" s="55">
        <v>1</v>
      </c>
      <c r="F20" s="49">
        <v>500</v>
      </c>
      <c r="G20" s="50">
        <f>'Calculadora INC Abril'!$E20*'Calculadora INC Abril'!$F20</f>
        <v>500</v>
      </c>
      <c r="H20" s="56"/>
      <c r="I20" s="28"/>
    </row>
    <row r="21" spans="1:9" ht="14.25" customHeight="1" x14ac:dyDescent="0.2">
      <c r="A21" s="26"/>
      <c r="B21" s="27"/>
      <c r="C21" s="46">
        <v>10</v>
      </c>
      <c r="D21" s="47" t="s">
        <v>18</v>
      </c>
      <c r="E21" s="55">
        <v>1</v>
      </c>
      <c r="F21" s="57">
        <v>22000</v>
      </c>
      <c r="G21" s="50">
        <f>'Calculadora INC Abril'!$E21*'Calculadora INC Abril'!$F21</f>
        <v>22000</v>
      </c>
      <c r="H21" s="56"/>
      <c r="I21" s="28"/>
    </row>
    <row r="22" spans="1:9" ht="14.25" customHeight="1" x14ac:dyDescent="0.2">
      <c r="A22" s="26"/>
      <c r="B22" s="27"/>
      <c r="C22" s="46">
        <v>11</v>
      </c>
      <c r="D22" s="47" t="s">
        <v>63</v>
      </c>
      <c r="E22" s="55">
        <v>1</v>
      </c>
      <c r="F22" s="57" t="e">
        <f>+#REF!</f>
        <v>#REF!</v>
      </c>
      <c r="G22" s="50" t="e">
        <f>'Calculadora INC Abril'!$E22*'Calculadora INC Abril'!$F22</f>
        <v>#REF!</v>
      </c>
      <c r="H22" s="56"/>
      <c r="I22" s="28"/>
    </row>
    <row r="23" spans="1:9" ht="14.25" customHeight="1" x14ac:dyDescent="0.2">
      <c r="A23" s="26"/>
      <c r="B23" s="27"/>
      <c r="C23" s="58"/>
      <c r="D23" s="59"/>
      <c r="E23" s="59"/>
      <c r="F23" s="60" t="s">
        <v>57</v>
      </c>
      <c r="G23" s="50" t="e">
        <f>SUM(G12:G22)</f>
        <v>#REF!</v>
      </c>
      <c r="H23" s="61"/>
      <c r="I23" s="28"/>
    </row>
    <row r="24" spans="1:9" ht="14.25" customHeight="1" x14ac:dyDescent="0.2">
      <c r="A24" s="26"/>
      <c r="B24" s="27"/>
      <c r="C24" s="298"/>
      <c r="D24" s="299"/>
      <c r="E24" s="62"/>
      <c r="F24" s="63"/>
      <c r="G24" s="64"/>
      <c r="H24" s="65"/>
      <c r="I24" s="28"/>
    </row>
    <row r="25" spans="1:9" ht="14.25" customHeight="1" x14ac:dyDescent="0.2">
      <c r="A25" s="26"/>
      <c r="B25" s="66"/>
      <c r="C25" s="290"/>
      <c r="D25" s="291"/>
      <c r="E25" s="67"/>
      <c r="F25" s="68" t="e">
        <f>'Calculadora INC Abril'!Saldo_pendiente</f>
        <v>#REF!</v>
      </c>
      <c r="G25" s="69"/>
      <c r="H25" s="69"/>
      <c r="I25" s="70"/>
    </row>
    <row r="26" spans="1:9" ht="14.25" customHeight="1" x14ac:dyDescent="0.2"/>
    <row r="27" spans="1:9" ht="14.25" customHeight="1" x14ac:dyDescent="0.2"/>
    <row r="28" spans="1:9" ht="14.25" customHeight="1" x14ac:dyDescent="0.2"/>
    <row r="29" spans="1:9" ht="14.25" customHeight="1" x14ac:dyDescent="0.2"/>
    <row r="30" spans="1:9" ht="14.25" customHeight="1" x14ac:dyDescent="0.2"/>
    <row r="31" spans="1:9" ht="14.25" customHeight="1" x14ac:dyDescent="0.2"/>
    <row r="32" spans="1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4">
    <mergeCell ref="C3:H3"/>
    <mergeCell ref="C4:G4"/>
    <mergeCell ref="C24:D24"/>
    <mergeCell ref="C25:D25"/>
  </mergeCells>
  <pageMargins left="0.7" right="0.7" top="0.75" bottom="0.75" header="0" footer="0"/>
  <pageSetup orientation="landscape"/>
  <drawing r:id="rId1"/>
  <legacyDrawing r:id="rId2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0.6640625" customWidth="1"/>
    <col min="5" max="5" width="17.33203125" customWidth="1"/>
    <col min="6" max="6" width="13.33203125" customWidth="1"/>
    <col min="7" max="7" width="14.6640625" customWidth="1"/>
    <col min="8" max="8" width="16" customWidth="1"/>
    <col min="9" max="9" width="5.33203125" customWidth="1"/>
    <col min="10" max="26" width="10.6640625" customWidth="1"/>
  </cols>
  <sheetData>
    <row r="1" spans="1:12" ht="14.25" customHeight="1" x14ac:dyDescent="0.2"/>
    <row r="2" spans="1:12" ht="14.25" customHeight="1" x14ac:dyDescent="0.2">
      <c r="B2" s="23"/>
      <c r="C2" s="24"/>
      <c r="D2" s="24"/>
      <c r="E2" s="24"/>
      <c r="F2" s="24"/>
      <c r="G2" s="24"/>
      <c r="H2" s="24"/>
      <c r="I2" s="25"/>
    </row>
    <row r="3" spans="1:12" ht="14.25" customHeight="1" x14ac:dyDescent="0.2">
      <c r="A3" s="26"/>
      <c r="B3" s="27"/>
      <c r="C3" s="293" t="s">
        <v>52</v>
      </c>
      <c r="D3" s="294"/>
      <c r="E3" s="294"/>
      <c r="F3" s="294"/>
      <c r="G3" s="294"/>
      <c r="H3" s="296"/>
      <c r="I3" s="28"/>
    </row>
    <row r="4" spans="1:12" ht="14.25" customHeight="1" x14ac:dyDescent="0.2">
      <c r="A4" s="26"/>
      <c r="B4" s="27"/>
      <c r="C4" s="297"/>
      <c r="D4" s="286"/>
      <c r="E4" s="286"/>
      <c r="F4" s="286"/>
      <c r="G4" s="286"/>
      <c r="H4" s="30"/>
      <c r="I4" s="28"/>
    </row>
    <row r="5" spans="1:12" ht="14.25" customHeight="1" x14ac:dyDescent="0.2">
      <c r="A5" s="26"/>
      <c r="B5" s="27"/>
      <c r="C5" s="31"/>
      <c r="D5" s="26"/>
      <c r="E5" s="26"/>
      <c r="F5" s="26"/>
      <c r="G5" s="26"/>
      <c r="H5" s="32"/>
      <c r="I5" s="28"/>
    </row>
    <row r="6" spans="1:12" ht="14.25" customHeight="1" x14ac:dyDescent="0.2">
      <c r="A6" s="26"/>
      <c r="B6" s="27"/>
      <c r="C6" s="33"/>
      <c r="D6" s="26"/>
      <c r="E6" s="34"/>
      <c r="F6" s="35" t="s">
        <v>53</v>
      </c>
      <c r="G6" s="36">
        <f ca="1">TODAY()</f>
        <v>45974</v>
      </c>
      <c r="H6" s="37"/>
      <c r="I6" s="28"/>
    </row>
    <row r="7" spans="1:12" ht="14.25" customHeight="1" x14ac:dyDescent="0.2">
      <c r="A7" s="26"/>
      <c r="B7" s="27"/>
      <c r="C7" s="33"/>
      <c r="D7" s="26"/>
      <c r="E7" s="34"/>
      <c r="F7" s="35"/>
      <c r="G7" s="26"/>
      <c r="H7" s="32"/>
      <c r="I7" s="28"/>
    </row>
    <row r="8" spans="1:12" ht="14.25" customHeight="1" x14ac:dyDescent="0.2">
      <c r="A8" s="26"/>
      <c r="B8" s="27"/>
      <c r="C8" s="38"/>
      <c r="D8" s="39"/>
      <c r="E8" s="34"/>
      <c r="F8" s="35"/>
      <c r="G8" s="26"/>
      <c r="H8" s="32"/>
      <c r="I8" s="28"/>
    </row>
    <row r="9" spans="1:12" ht="14.25" customHeight="1" x14ac:dyDescent="0.2">
      <c r="A9" s="26"/>
      <c r="B9" s="27"/>
      <c r="C9" s="40"/>
      <c r="D9" s="39"/>
      <c r="E9" s="34"/>
      <c r="F9" s="35"/>
      <c r="G9" s="26"/>
      <c r="H9" s="32"/>
      <c r="I9" s="28"/>
    </row>
    <row r="10" spans="1:12" ht="14.25" customHeight="1" x14ac:dyDescent="0.2">
      <c r="A10" s="26"/>
      <c r="B10" s="27"/>
      <c r="C10" s="41"/>
      <c r="D10" s="42"/>
      <c r="E10" s="34"/>
      <c r="F10" s="26"/>
      <c r="G10" s="26"/>
      <c r="H10" s="32"/>
      <c r="I10" s="28"/>
    </row>
    <row r="11" spans="1:12" ht="14.25" customHeight="1" x14ac:dyDescent="0.2">
      <c r="A11" s="26"/>
      <c r="B11" s="27"/>
      <c r="C11" s="43" t="s">
        <v>54</v>
      </c>
      <c r="D11" s="44" t="s">
        <v>55</v>
      </c>
      <c r="E11" s="44" t="s">
        <v>56</v>
      </c>
      <c r="F11" s="44" t="s">
        <v>57</v>
      </c>
      <c r="G11" s="44" t="s">
        <v>58</v>
      </c>
      <c r="H11" s="45" t="s">
        <v>59</v>
      </c>
      <c r="I11" s="28"/>
    </row>
    <row r="12" spans="1:12" ht="14.25" customHeight="1" x14ac:dyDescent="0.2">
      <c r="A12" s="26"/>
      <c r="B12" s="27"/>
      <c r="C12" s="46">
        <v>1</v>
      </c>
      <c r="D12" s="47" t="s">
        <v>60</v>
      </c>
      <c r="E12" s="48">
        <v>1</v>
      </c>
      <c r="F12" s="49">
        <f>+'Servicios de Cabina MCS'!N61</f>
        <v>192446.56216737497</v>
      </c>
      <c r="G12" s="50">
        <f>+'Calculadora MCS Abril'!$F12</f>
        <v>192446.56216737497</v>
      </c>
      <c r="H12" s="71">
        <f>+'Calculadora MCS Marzo'!$G12</f>
        <v>171366.77552101997</v>
      </c>
      <c r="I12" s="28"/>
      <c r="L12" s="72"/>
    </row>
    <row r="13" spans="1:12" ht="14.25" customHeight="1" x14ac:dyDescent="0.2">
      <c r="A13" s="26"/>
      <c r="B13" s="27"/>
      <c r="C13" s="46">
        <v>2</v>
      </c>
      <c r="D13" s="47" t="s">
        <v>61</v>
      </c>
      <c r="E13" s="52">
        <v>4</v>
      </c>
      <c r="F13" s="49">
        <v>1500</v>
      </c>
      <c r="G13" s="50">
        <f>'Calculadora MCS Abril'!$E13*'Calculadora MCS Abril'!$F13</f>
        <v>6000</v>
      </c>
      <c r="H13" s="71">
        <f>+G12-H12</f>
        <v>21079.786646355002</v>
      </c>
      <c r="I13" s="28"/>
    </row>
    <row r="14" spans="1:12" ht="14.25" customHeight="1" x14ac:dyDescent="0.2">
      <c r="A14" s="26"/>
      <c r="B14" s="27"/>
      <c r="C14" s="46">
        <v>3</v>
      </c>
      <c r="D14" s="47" t="s">
        <v>30</v>
      </c>
      <c r="E14" s="55">
        <v>1</v>
      </c>
      <c r="F14" s="49">
        <v>-19243</v>
      </c>
      <c r="G14" s="50">
        <f>'Calculadora MCS Abril'!$E14*'Calculadora MCS Abril'!$F14</f>
        <v>-19243</v>
      </c>
      <c r="H14" s="73">
        <f>+H13/H12</f>
        <v>0.12300976418716206</v>
      </c>
      <c r="I14" s="28"/>
    </row>
    <row r="15" spans="1:12" ht="14.25" customHeight="1" x14ac:dyDescent="0.2">
      <c r="A15" s="26"/>
      <c r="B15" s="27"/>
      <c r="C15" s="46">
        <v>4</v>
      </c>
      <c r="D15" s="47" t="s">
        <v>32</v>
      </c>
      <c r="E15" s="55">
        <v>1</v>
      </c>
      <c r="F15" s="49">
        <v>-2252</v>
      </c>
      <c r="G15" s="50">
        <f>'Calculadora MCS Abril'!$E15*'Calculadora MCS Abril'!$F15</f>
        <v>-2252</v>
      </c>
      <c r="H15" s="56"/>
      <c r="I15" s="28"/>
    </row>
    <row r="16" spans="1:12" ht="14.25" customHeight="1" x14ac:dyDescent="0.2">
      <c r="A16" s="26"/>
      <c r="B16" s="27"/>
      <c r="C16" s="46">
        <v>5</v>
      </c>
      <c r="D16" s="47" t="s">
        <v>74</v>
      </c>
      <c r="E16" s="55">
        <v>1</v>
      </c>
      <c r="F16" s="49">
        <v>-187.5</v>
      </c>
      <c r="G16" s="50">
        <f>'Calculadora MCS Abril'!$E16*'Calculadora MCS Abril'!$F16</f>
        <v>-187.5</v>
      </c>
      <c r="H16" s="56"/>
      <c r="I16" s="28"/>
    </row>
    <row r="17" spans="1:9" ht="14.25" customHeight="1" x14ac:dyDescent="0.2">
      <c r="A17" s="26"/>
      <c r="B17" s="27"/>
      <c r="C17" s="46">
        <v>6</v>
      </c>
      <c r="D17" s="47" t="s">
        <v>34</v>
      </c>
      <c r="E17" s="55">
        <v>1</v>
      </c>
      <c r="F17" s="49">
        <v>-861.79</v>
      </c>
      <c r="G17" s="50">
        <f>'Calculadora MCS Abril'!$E17*'Calculadora MCS Abril'!$F17</f>
        <v>-861.79</v>
      </c>
      <c r="H17" s="56"/>
      <c r="I17" s="28"/>
    </row>
    <row r="18" spans="1:9" ht="14.25" customHeight="1" x14ac:dyDescent="0.2">
      <c r="A18" s="26"/>
      <c r="B18" s="27"/>
      <c r="C18" s="46">
        <v>7</v>
      </c>
      <c r="D18" s="47" t="s">
        <v>77</v>
      </c>
      <c r="E18" s="55">
        <v>1</v>
      </c>
      <c r="F18" s="49">
        <v>-2995.63</v>
      </c>
      <c r="G18" s="50">
        <f>'Calculadora MCS Abril'!$E18*'Calculadora MCS Abril'!$F18</f>
        <v>-2995.63</v>
      </c>
      <c r="H18" s="56"/>
      <c r="I18" s="28"/>
    </row>
    <row r="19" spans="1:9" ht="14.25" customHeight="1" x14ac:dyDescent="0.2">
      <c r="A19" s="26"/>
      <c r="B19" s="27"/>
      <c r="C19" s="46">
        <v>8</v>
      </c>
      <c r="D19" s="47" t="s">
        <v>65</v>
      </c>
      <c r="E19" s="55">
        <v>1</v>
      </c>
      <c r="F19" s="49">
        <v>-3679.38</v>
      </c>
      <c r="G19" s="50">
        <f>'Calculadora MCS Abril'!$E19*'Calculadora MCS Abril'!$F19</f>
        <v>-3679.38</v>
      </c>
      <c r="H19" s="56"/>
      <c r="I19" s="28"/>
    </row>
    <row r="20" spans="1:9" ht="14.25" customHeight="1" x14ac:dyDescent="0.2">
      <c r="A20" s="26"/>
      <c r="B20" s="27"/>
      <c r="C20" s="46"/>
      <c r="D20" s="59"/>
      <c r="E20" s="49"/>
      <c r="F20" s="49"/>
      <c r="G20" s="50"/>
      <c r="H20" s="56"/>
      <c r="I20" s="28"/>
    </row>
    <row r="21" spans="1:9" ht="14.25" customHeight="1" x14ac:dyDescent="0.2">
      <c r="A21" s="26"/>
      <c r="B21" s="27"/>
      <c r="C21" s="58"/>
      <c r="D21" s="59"/>
      <c r="E21" s="59"/>
      <c r="F21" s="60" t="s">
        <v>57</v>
      </c>
      <c r="G21" s="50">
        <f>SUM(G12:G20)</f>
        <v>169227.26216737495</v>
      </c>
      <c r="H21" s="61"/>
      <c r="I21" s="28"/>
    </row>
    <row r="22" spans="1:9" ht="14.25" customHeight="1" x14ac:dyDescent="0.2">
      <c r="A22" s="26"/>
      <c r="B22" s="27"/>
      <c r="C22" s="298"/>
      <c r="D22" s="299"/>
      <c r="E22" s="62"/>
      <c r="F22" s="63"/>
      <c r="G22" s="64"/>
      <c r="H22" s="65"/>
      <c r="I22" s="28"/>
    </row>
    <row r="23" spans="1:9" ht="14.25" customHeight="1" x14ac:dyDescent="0.2">
      <c r="A23" s="26"/>
      <c r="B23" s="66"/>
      <c r="C23" s="290"/>
      <c r="D23" s="291"/>
      <c r="E23" s="67"/>
      <c r="F23" s="68" t="e">
        <f>'Calculadora MCS Abril'!Saldo_pendiente</f>
        <v>#REF!</v>
      </c>
      <c r="G23" s="69"/>
      <c r="H23" s="69"/>
      <c r="I23" s="70"/>
    </row>
    <row r="24" spans="1:9" ht="14.25" customHeight="1" x14ac:dyDescent="0.2"/>
    <row r="25" spans="1:9" ht="14.25" customHeight="1" x14ac:dyDescent="0.2"/>
    <row r="26" spans="1:9" ht="14.25" customHeight="1" x14ac:dyDescent="0.2"/>
    <row r="27" spans="1:9" ht="14.25" customHeight="1" x14ac:dyDescent="0.2"/>
    <row r="28" spans="1:9" ht="14.25" customHeight="1" x14ac:dyDescent="0.2"/>
    <row r="29" spans="1:9" ht="14.25" customHeight="1" x14ac:dyDescent="0.2"/>
    <row r="30" spans="1:9" ht="14.25" customHeight="1" x14ac:dyDescent="0.2"/>
    <row r="31" spans="1:9" ht="14.25" customHeight="1" x14ac:dyDescent="0.2"/>
    <row r="32" spans="1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4">
    <mergeCell ref="C3:H3"/>
    <mergeCell ref="C4:G4"/>
    <mergeCell ref="C22:D22"/>
    <mergeCell ref="C23:D23"/>
  </mergeCells>
  <pageMargins left="0.7" right="0.7" top="0.75" bottom="0.75" header="0" footer="0"/>
  <pageSetup orientation="landscape"/>
  <drawing r:id="rId1"/>
  <legacyDrawing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N1000"/>
  <sheetViews>
    <sheetView showGridLines="0" workbookViewId="0"/>
  </sheetViews>
  <sheetFormatPr baseColWidth="10" defaultColWidth="14.5" defaultRowHeight="15" customHeight="1" x14ac:dyDescent="0.2"/>
  <cols>
    <col min="1" max="1" width="10.6640625" customWidth="1"/>
    <col min="2" max="2" width="30" customWidth="1"/>
    <col min="3" max="3" width="11.6640625" customWidth="1"/>
    <col min="4" max="4" width="13.6640625" customWidth="1"/>
    <col min="5" max="5" width="12.5" customWidth="1"/>
    <col min="6" max="6" width="18.5" customWidth="1"/>
    <col min="7" max="7" width="14" customWidth="1"/>
    <col min="8" max="13" width="10.6640625" customWidth="1"/>
    <col min="14" max="14" width="13.33203125" customWidth="1"/>
    <col min="15" max="26" width="10.6640625" customWidth="1"/>
  </cols>
  <sheetData>
    <row r="1" spans="2:14" ht="14.25" customHeight="1" x14ac:dyDescent="0.2"/>
    <row r="2" spans="2:14" ht="14.25" customHeight="1" x14ac:dyDescent="0.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14" ht="14.25" customHeight="1" x14ac:dyDescent="0.2">
      <c r="B3" s="3" t="s">
        <v>8</v>
      </c>
      <c r="C3" s="4">
        <f>+'Calculadora MCS Marzo'!G12</f>
        <v>171366.77552101997</v>
      </c>
      <c r="D3" s="4">
        <f>+'Calculadora INC Marzo'!G12</f>
        <v>46185.213785971246</v>
      </c>
      <c r="E3" s="4">
        <f t="shared" ref="E3:E12" si="0">SUM(C3:D3)</f>
        <v>217551.98930699122</v>
      </c>
      <c r="F3" s="5">
        <f>+'Calculadora INC Febrero'!H12+'Calculadora MCS Febrero'!H12</f>
        <v>0</v>
      </c>
      <c r="G3" s="6">
        <f t="shared" ref="G3:G12" si="1">+E3</f>
        <v>217551.98930699122</v>
      </c>
    </row>
    <row r="4" spans="2:14" ht="14.25" customHeight="1" x14ac:dyDescent="0.2">
      <c r="B4" s="3" t="s">
        <v>12</v>
      </c>
      <c r="C4" s="4">
        <f>'[3]Calculadora MCS Enero-24'!C15</f>
        <v>0</v>
      </c>
      <c r="D4" s="4">
        <f>+'Calculadora INC Marzo'!G13</f>
        <v>575</v>
      </c>
      <c r="E4" s="4">
        <f t="shared" si="0"/>
        <v>575</v>
      </c>
      <c r="F4" s="5">
        <f>+E3-F3</f>
        <v>217551.98930699122</v>
      </c>
      <c r="G4" s="6">
        <f t="shared" si="1"/>
        <v>575</v>
      </c>
    </row>
    <row r="5" spans="2:14" ht="14.25" customHeight="1" x14ac:dyDescent="0.2">
      <c r="B5" s="3" t="s">
        <v>13</v>
      </c>
      <c r="C5" s="4">
        <f>+'Calculadora MCS Marzo'!G13</f>
        <v>6000</v>
      </c>
      <c r="D5" s="4">
        <f>+'Calculadora INC Marzo'!G14</f>
        <v>4500</v>
      </c>
      <c r="E5" s="4">
        <f t="shared" si="0"/>
        <v>10500</v>
      </c>
      <c r="F5" s="7" t="e">
        <f>+F4/F3</f>
        <v>#DIV/0!</v>
      </c>
      <c r="G5" s="6">
        <f t="shared" si="1"/>
        <v>10500</v>
      </c>
    </row>
    <row r="6" spans="2:14" ht="14.25" customHeight="1" x14ac:dyDescent="0.2">
      <c r="B6" s="3" t="s">
        <v>14</v>
      </c>
      <c r="C6" s="4" t="s">
        <v>210</v>
      </c>
      <c r="D6" s="4">
        <f>+'Calculadora INC Marzo'!G19</f>
        <v>3539</v>
      </c>
      <c r="E6" s="4">
        <f t="shared" si="0"/>
        <v>3539</v>
      </c>
      <c r="G6" s="6">
        <f t="shared" si="1"/>
        <v>3539</v>
      </c>
    </row>
    <row r="7" spans="2:14" ht="14.25" customHeight="1" x14ac:dyDescent="0.2">
      <c r="B7" s="3" t="s">
        <v>16</v>
      </c>
      <c r="C7" s="4" t="s">
        <v>210</v>
      </c>
      <c r="D7" s="4">
        <f>+'Calculadora INC Marzo'!G20</f>
        <v>500</v>
      </c>
      <c r="E7" s="4">
        <f t="shared" si="0"/>
        <v>500</v>
      </c>
      <c r="G7" s="6">
        <f t="shared" si="1"/>
        <v>500</v>
      </c>
    </row>
    <row r="8" spans="2:14" ht="14.25" customHeight="1" x14ac:dyDescent="0.2">
      <c r="B8" s="3" t="s">
        <v>18</v>
      </c>
      <c r="C8" s="4">
        <v>0</v>
      </c>
      <c r="D8" s="4">
        <f>+'Calculadora INC Marzo'!G21+1000</f>
        <v>23000</v>
      </c>
      <c r="E8" s="4">
        <f t="shared" si="0"/>
        <v>23000</v>
      </c>
      <c r="G8" s="6">
        <f t="shared" si="1"/>
        <v>23000</v>
      </c>
      <c r="I8" s="78" t="s">
        <v>79</v>
      </c>
      <c r="N8" s="4">
        <v>3384875</v>
      </c>
    </row>
    <row r="9" spans="2:14" ht="14.25" customHeight="1" x14ac:dyDescent="0.2">
      <c r="B9" s="3" t="s">
        <v>20</v>
      </c>
      <c r="C9" s="4"/>
      <c r="D9" s="4">
        <f>+'Calculadora INC Marzo'!G16</f>
        <v>105</v>
      </c>
      <c r="E9" s="4">
        <f t="shared" si="0"/>
        <v>105</v>
      </c>
      <c r="G9" s="6">
        <f t="shared" si="1"/>
        <v>105</v>
      </c>
      <c r="N9" s="4" t="e">
        <f>N8/#REF!</f>
        <v>#REF!</v>
      </c>
    </row>
    <row r="10" spans="2:14" ht="14.25" customHeight="1" x14ac:dyDescent="0.2">
      <c r="B10" s="3" t="s">
        <v>22</v>
      </c>
      <c r="C10" s="4"/>
      <c r="D10" s="4">
        <f>+'Calculadora INC Marzo'!G17</f>
        <v>87.5</v>
      </c>
      <c r="E10" s="4">
        <f t="shared" si="0"/>
        <v>87.5</v>
      </c>
      <c r="G10" s="6">
        <f t="shared" si="1"/>
        <v>87.5</v>
      </c>
    </row>
    <row r="11" spans="2:14" ht="14.25" customHeight="1" x14ac:dyDescent="0.2">
      <c r="B11" s="3" t="s">
        <v>24</v>
      </c>
      <c r="C11" s="4"/>
      <c r="D11" s="4">
        <f>+'Calculadora INC Marzo'!G18</f>
        <v>350</v>
      </c>
      <c r="E11" s="4">
        <f t="shared" si="0"/>
        <v>350</v>
      </c>
      <c r="G11" s="6">
        <f t="shared" si="1"/>
        <v>350</v>
      </c>
    </row>
    <row r="12" spans="2:14" ht="14.25" customHeight="1" x14ac:dyDescent="0.2">
      <c r="B12" s="3" t="s">
        <v>25</v>
      </c>
      <c r="C12" s="4">
        <f>+'[3]Calculadora MCS Enero-24'!C19</f>
        <v>0</v>
      </c>
      <c r="D12" s="4" t="e">
        <f>+'Calculadora INC Marzo'!G22</f>
        <v>#REF!</v>
      </c>
      <c r="E12" s="4" t="e">
        <f t="shared" si="0"/>
        <v>#REF!</v>
      </c>
      <c r="G12" s="6" t="e">
        <f t="shared" si="1"/>
        <v>#REF!</v>
      </c>
    </row>
    <row r="13" spans="2:14" ht="14.25" customHeight="1" x14ac:dyDescent="0.2">
      <c r="C13" s="4"/>
      <c r="D13" s="4"/>
      <c r="E13" s="4"/>
      <c r="G13" s="12"/>
    </row>
    <row r="14" spans="2:14" ht="14.25" customHeight="1" x14ac:dyDescent="0.2">
      <c r="C14" s="9">
        <f t="shared" ref="C14:E14" si="2">SUM(C3:C13)</f>
        <v>177366.77552101997</v>
      </c>
      <c r="D14" s="9" t="e">
        <f t="shared" si="2"/>
        <v>#REF!</v>
      </c>
      <c r="E14" s="9" t="e">
        <f t="shared" si="2"/>
        <v>#REF!</v>
      </c>
      <c r="G14" s="10" t="e">
        <f>E14+F14</f>
        <v>#REF!</v>
      </c>
    </row>
    <row r="15" spans="2:14" ht="14.25" customHeight="1" x14ac:dyDescent="0.2">
      <c r="B15" s="1" t="s">
        <v>28</v>
      </c>
      <c r="C15" s="11"/>
      <c r="D15" s="11"/>
      <c r="E15" s="11"/>
    </row>
    <row r="16" spans="2:14" ht="14.25" customHeight="1" x14ac:dyDescent="0.2">
      <c r="C16" s="4"/>
      <c r="D16" s="4"/>
      <c r="E16" s="4"/>
    </row>
    <row r="17" spans="2:7" ht="14.25" customHeight="1" x14ac:dyDescent="0.2">
      <c r="C17" s="4"/>
      <c r="D17" s="4"/>
      <c r="E17" s="4"/>
    </row>
    <row r="18" spans="2:7" ht="14.25" customHeight="1" x14ac:dyDescent="0.2">
      <c r="B18" s="1" t="s">
        <v>29</v>
      </c>
      <c r="C18" s="4"/>
      <c r="D18" s="4"/>
      <c r="E18" s="4"/>
    </row>
    <row r="19" spans="2:7" ht="14.25" customHeight="1" x14ac:dyDescent="0.2">
      <c r="B19" s="3" t="s">
        <v>30</v>
      </c>
      <c r="C19" s="4">
        <f>+'Calculadora MCS Marzo'!G14</f>
        <v>-19243</v>
      </c>
      <c r="D19" s="4"/>
      <c r="E19" s="4">
        <f t="shared" ref="E19:E24" si="3">SUM(C19:D19)</f>
        <v>-19243</v>
      </c>
      <c r="F19" s="4" t="s">
        <v>31</v>
      </c>
      <c r="G19" s="12">
        <f t="shared" ref="G19:G24" si="4">E19</f>
        <v>-19243</v>
      </c>
    </row>
    <row r="20" spans="2:7" ht="14.25" customHeight="1" x14ac:dyDescent="0.2">
      <c r="B20" s="3" t="s">
        <v>32</v>
      </c>
      <c r="C20" s="4">
        <f>+'Calculadora MCS Marzo'!G15</f>
        <v>-2252</v>
      </c>
      <c r="D20" s="4"/>
      <c r="E20" s="4">
        <f t="shared" si="3"/>
        <v>-2252</v>
      </c>
      <c r="F20" s="4" t="s">
        <v>11</v>
      </c>
      <c r="G20" s="12">
        <f t="shared" si="4"/>
        <v>-2252</v>
      </c>
    </row>
    <row r="21" spans="2:7" ht="14.25" customHeight="1" x14ac:dyDescent="0.2">
      <c r="B21" s="3" t="s">
        <v>74</v>
      </c>
      <c r="C21" s="4">
        <f>+'Calculadora MCS Marzo'!G16</f>
        <v>-187.5</v>
      </c>
      <c r="D21" s="4"/>
      <c r="E21" s="4">
        <f t="shared" si="3"/>
        <v>-187.5</v>
      </c>
      <c r="F21" s="4" t="s">
        <v>11</v>
      </c>
      <c r="G21" s="12">
        <f t="shared" si="4"/>
        <v>-187.5</v>
      </c>
    </row>
    <row r="22" spans="2:7" ht="14.25" customHeight="1" x14ac:dyDescent="0.2">
      <c r="B22" s="3" t="s">
        <v>34</v>
      </c>
      <c r="C22" s="4">
        <f>+'Calculadora MCS Marzo'!G17</f>
        <v>-861.79</v>
      </c>
      <c r="D22" s="4"/>
      <c r="E22" s="4">
        <f t="shared" si="3"/>
        <v>-861.79</v>
      </c>
      <c r="F22" s="4" t="s">
        <v>11</v>
      </c>
      <c r="G22" s="12">
        <f t="shared" si="4"/>
        <v>-861.79</v>
      </c>
    </row>
    <row r="23" spans="2:7" ht="14.25" customHeight="1" x14ac:dyDescent="0.2">
      <c r="B23" s="3" t="s">
        <v>35</v>
      </c>
      <c r="C23" s="4">
        <f>+'Calculadora MCS Marzo'!G19</f>
        <v>-3679.38</v>
      </c>
      <c r="D23" s="4">
        <v>0</v>
      </c>
      <c r="E23" s="4">
        <f t="shared" si="3"/>
        <v>-3679.38</v>
      </c>
      <c r="F23" s="4" t="s">
        <v>31</v>
      </c>
      <c r="G23" s="12">
        <f t="shared" si="4"/>
        <v>-3679.38</v>
      </c>
    </row>
    <row r="24" spans="2:7" ht="14.25" customHeight="1" x14ac:dyDescent="0.2">
      <c r="B24" s="13" t="s">
        <v>80</v>
      </c>
      <c r="C24" s="4">
        <f>+'Calculadora MCS Marzo'!G18</f>
        <v>-2995.63</v>
      </c>
      <c r="D24" s="4"/>
      <c r="E24" s="4">
        <f t="shared" si="3"/>
        <v>-2995.63</v>
      </c>
      <c r="F24" s="4" t="s">
        <v>31</v>
      </c>
      <c r="G24" s="12">
        <f t="shared" si="4"/>
        <v>-2995.63</v>
      </c>
    </row>
    <row r="25" spans="2:7" ht="14.25" customHeight="1" x14ac:dyDescent="0.2">
      <c r="C25" s="9">
        <f t="shared" ref="C25:E25" si="5">SUM(C19:C24)</f>
        <v>-29219.300000000003</v>
      </c>
      <c r="D25" s="9">
        <f t="shared" si="5"/>
        <v>0</v>
      </c>
      <c r="E25" s="9">
        <f t="shared" si="5"/>
        <v>-29219.300000000003</v>
      </c>
      <c r="F25" s="4"/>
      <c r="G25" s="10">
        <f>SUM(G19:G24)</f>
        <v>-29219.300000000003</v>
      </c>
    </row>
    <row r="26" spans="2:7" ht="14.25" customHeight="1" x14ac:dyDescent="0.2">
      <c r="C26" s="4"/>
      <c r="D26" s="4"/>
      <c r="E26" s="4"/>
      <c r="F26" s="4"/>
      <c r="G26" s="4"/>
    </row>
    <row r="27" spans="2:7" ht="14.25" customHeight="1" x14ac:dyDescent="0.2">
      <c r="C27" s="4"/>
      <c r="D27" s="4"/>
      <c r="E27" s="4"/>
      <c r="F27" s="4"/>
      <c r="G27" s="4"/>
    </row>
    <row r="28" spans="2:7" ht="14.25" customHeight="1" x14ac:dyDescent="0.2">
      <c r="C28" s="4"/>
      <c r="D28" s="4"/>
      <c r="E28" s="4"/>
      <c r="F28" s="4"/>
      <c r="G28" s="4"/>
    </row>
    <row r="29" spans="2:7" ht="14.25" customHeight="1" x14ac:dyDescent="0.2">
      <c r="B29" s="15"/>
      <c r="C29" s="15"/>
      <c r="D29" s="16" t="s">
        <v>42</v>
      </c>
      <c r="E29" s="16" t="s">
        <v>43</v>
      </c>
      <c r="F29" s="16" t="s">
        <v>44</v>
      </c>
      <c r="G29" s="16"/>
    </row>
    <row r="30" spans="2:7" ht="14.25" customHeight="1" x14ac:dyDescent="0.2">
      <c r="B30" s="15" t="s">
        <v>45</v>
      </c>
      <c r="C30" s="17">
        <v>0.65500000000000003</v>
      </c>
      <c r="D30" s="18" t="e">
        <f t="shared" ref="D30:D32" si="6">+$E$14*C30</f>
        <v>#REF!</v>
      </c>
      <c r="E30" s="18">
        <f>+G19+G23+G24</f>
        <v>-25918.010000000002</v>
      </c>
      <c r="F30" s="18" t="e">
        <f t="shared" ref="F30:F32" si="7">+D30+E30</f>
        <v>#REF!</v>
      </c>
      <c r="G30" s="18"/>
    </row>
    <row r="31" spans="2:7" ht="14.25" customHeight="1" x14ac:dyDescent="0.2">
      <c r="B31" s="15" t="s">
        <v>46</v>
      </c>
      <c r="C31" s="17">
        <v>7.4999999999999997E-2</v>
      </c>
      <c r="D31" s="18" t="e">
        <f t="shared" si="6"/>
        <v>#REF!</v>
      </c>
      <c r="E31" s="18"/>
      <c r="F31" s="18" t="e">
        <f t="shared" si="7"/>
        <v>#REF!</v>
      </c>
      <c r="G31" s="18"/>
    </row>
    <row r="32" spans="2:7" ht="14.25" customHeight="1" x14ac:dyDescent="0.2">
      <c r="B32" s="15" t="s">
        <v>7</v>
      </c>
      <c r="C32" s="17">
        <v>0.27</v>
      </c>
      <c r="D32" s="18" t="e">
        <f t="shared" si="6"/>
        <v>#REF!</v>
      </c>
      <c r="E32" s="18">
        <f>+G20+G21+G22</f>
        <v>-3301.29</v>
      </c>
      <c r="F32" s="18" t="e">
        <f t="shared" si="7"/>
        <v>#REF!</v>
      </c>
      <c r="G32" s="18"/>
    </row>
    <row r="33" spans="2:7" ht="14.25" customHeight="1" x14ac:dyDescent="0.2">
      <c r="B33" s="15"/>
      <c r="C33" s="15"/>
      <c r="D33" s="15"/>
      <c r="E33" s="15"/>
      <c r="F33" s="15"/>
      <c r="G33" s="15"/>
    </row>
    <row r="34" spans="2:7" ht="14.25" customHeight="1" x14ac:dyDescent="0.2">
      <c r="B34" s="15"/>
      <c r="C34" s="19">
        <f t="shared" ref="C34:F34" si="8">C30+C31+C32</f>
        <v>1</v>
      </c>
      <c r="D34" s="20" t="e">
        <f t="shared" si="8"/>
        <v>#REF!</v>
      </c>
      <c r="E34" s="20">
        <f t="shared" si="8"/>
        <v>-29219.300000000003</v>
      </c>
      <c r="F34" s="20" t="e">
        <f t="shared" si="8"/>
        <v>#REF!</v>
      </c>
      <c r="G34" s="20"/>
    </row>
    <row r="35" spans="2:7" ht="14.25" customHeight="1" x14ac:dyDescent="0.2">
      <c r="C35" s="4"/>
      <c r="D35" s="4"/>
      <c r="E35" s="4"/>
      <c r="F35" s="4"/>
      <c r="G35" s="4"/>
    </row>
    <row r="36" spans="2:7" ht="14.25" customHeight="1" x14ac:dyDescent="0.2">
      <c r="C36" s="4"/>
      <c r="D36" s="4"/>
      <c r="E36" s="4"/>
      <c r="F36" s="4"/>
      <c r="G36" s="4"/>
    </row>
    <row r="37" spans="2:7" ht="14.25" customHeight="1" x14ac:dyDescent="0.2">
      <c r="C37" s="4"/>
      <c r="D37" s="4"/>
      <c r="E37" s="4"/>
      <c r="F37" s="4"/>
      <c r="G37" s="4"/>
    </row>
    <row r="38" spans="2:7" ht="14.25" customHeight="1" x14ac:dyDescent="0.2"/>
    <row r="39" spans="2:7" ht="14.25" customHeight="1" x14ac:dyDescent="0.2"/>
    <row r="40" spans="2:7" ht="14.25" customHeight="1" x14ac:dyDescent="0.2"/>
    <row r="41" spans="2:7" ht="14.25" customHeight="1" x14ac:dyDescent="0.2"/>
    <row r="42" spans="2:7" ht="14.25" customHeight="1" x14ac:dyDescent="0.2"/>
    <row r="43" spans="2:7" ht="14.25" customHeight="1" x14ac:dyDescent="0.2"/>
    <row r="44" spans="2:7" ht="14.25" customHeight="1" x14ac:dyDescent="0.2"/>
    <row r="45" spans="2:7" ht="14.25" customHeight="1" x14ac:dyDescent="0.2"/>
    <row r="46" spans="2:7" ht="14.25" customHeight="1" x14ac:dyDescent="0.2"/>
    <row r="47" spans="2:7" ht="14.25" customHeight="1" x14ac:dyDescent="0.2"/>
    <row r="48" spans="2:7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21.5" customWidth="1"/>
    <col min="5" max="5" width="17.33203125" customWidth="1"/>
    <col min="6" max="6" width="13.33203125" customWidth="1"/>
    <col min="7" max="7" width="13.6640625" customWidth="1"/>
    <col min="8" max="8" width="16" customWidth="1"/>
    <col min="9" max="9" width="5.33203125" customWidth="1"/>
    <col min="10" max="26" width="10.6640625" customWidth="1"/>
  </cols>
  <sheetData>
    <row r="1" spans="1:9" ht="14.25" customHeight="1" x14ac:dyDescent="0.2"/>
    <row r="2" spans="1:9" ht="14.25" customHeight="1" x14ac:dyDescent="0.2">
      <c r="B2" s="23"/>
      <c r="C2" s="24"/>
      <c r="D2" s="24"/>
      <c r="E2" s="24"/>
      <c r="F2" s="24"/>
      <c r="G2" s="24"/>
      <c r="H2" s="24"/>
      <c r="I2" s="25"/>
    </row>
    <row r="3" spans="1:9" ht="14.25" customHeight="1" x14ac:dyDescent="0.2">
      <c r="A3" s="26"/>
      <c r="B3" s="27"/>
      <c r="C3" s="293" t="s">
        <v>52</v>
      </c>
      <c r="D3" s="294"/>
      <c r="E3" s="294"/>
      <c r="F3" s="294"/>
      <c r="G3" s="294"/>
      <c r="H3" s="296"/>
      <c r="I3" s="28"/>
    </row>
    <row r="4" spans="1:9" ht="14.25" customHeight="1" x14ac:dyDescent="0.2">
      <c r="A4" s="26"/>
      <c r="B4" s="27"/>
      <c r="C4" s="297"/>
      <c r="D4" s="286"/>
      <c r="E4" s="286"/>
      <c r="F4" s="286"/>
      <c r="G4" s="286"/>
      <c r="H4" s="30"/>
      <c r="I4" s="28"/>
    </row>
    <row r="5" spans="1:9" ht="14.25" customHeight="1" x14ac:dyDescent="0.2">
      <c r="A5" s="26"/>
      <c r="B5" s="27"/>
      <c r="C5" s="31"/>
      <c r="D5" s="26"/>
      <c r="E5" s="26"/>
      <c r="F5" s="26"/>
      <c r="G5" s="26"/>
      <c r="H5" s="32"/>
      <c r="I5" s="28"/>
    </row>
    <row r="6" spans="1:9" ht="14.25" customHeight="1" x14ac:dyDescent="0.2">
      <c r="A6" s="26"/>
      <c r="B6" s="27"/>
      <c r="C6" s="33"/>
      <c r="D6" s="26"/>
      <c r="E6" s="34"/>
      <c r="F6" s="35" t="s">
        <v>53</v>
      </c>
      <c r="G6" s="36">
        <f ca="1">TODAY()</f>
        <v>45974</v>
      </c>
      <c r="H6" s="37"/>
      <c r="I6" s="28"/>
    </row>
    <row r="7" spans="1:9" ht="14.25" customHeight="1" x14ac:dyDescent="0.2">
      <c r="A7" s="26"/>
      <c r="B7" s="27"/>
      <c r="C7" s="33"/>
      <c r="D7" s="26"/>
      <c r="E7" s="34"/>
      <c r="F7" s="35"/>
      <c r="G7" s="26"/>
      <c r="H7" s="32"/>
      <c r="I7" s="28"/>
    </row>
    <row r="8" spans="1:9" ht="14.25" customHeight="1" x14ac:dyDescent="0.2">
      <c r="A8" s="26"/>
      <c r="B8" s="27"/>
      <c r="C8" s="38"/>
      <c r="D8" s="39"/>
      <c r="E8" s="34"/>
      <c r="F8" s="35"/>
      <c r="G8" s="26"/>
      <c r="H8" s="32"/>
      <c r="I8" s="28"/>
    </row>
    <row r="9" spans="1:9" ht="14.25" customHeight="1" x14ac:dyDescent="0.2">
      <c r="A9" s="26"/>
      <c r="B9" s="27"/>
      <c r="C9" s="40"/>
      <c r="D9" s="39"/>
      <c r="E9" s="34"/>
      <c r="F9" s="35"/>
      <c r="G9" s="26"/>
      <c r="H9" s="32"/>
      <c r="I9" s="28"/>
    </row>
    <row r="10" spans="1:9" ht="14.25" customHeight="1" x14ac:dyDescent="0.2">
      <c r="A10" s="26"/>
      <c r="B10" s="27"/>
      <c r="C10" s="41"/>
      <c r="D10" s="42"/>
      <c r="E10" s="34"/>
      <c r="F10" s="26"/>
      <c r="G10" s="26"/>
      <c r="H10" s="32"/>
      <c r="I10" s="28"/>
    </row>
    <row r="11" spans="1:9" ht="14.25" customHeight="1" x14ac:dyDescent="0.2">
      <c r="A11" s="26"/>
      <c r="B11" s="27"/>
      <c r="C11" s="43" t="s">
        <v>54</v>
      </c>
      <c r="D11" s="44" t="s">
        <v>55</v>
      </c>
      <c r="E11" s="44" t="s">
        <v>56</v>
      </c>
      <c r="F11" s="44" t="s">
        <v>57</v>
      </c>
      <c r="G11" s="44" t="s">
        <v>58</v>
      </c>
      <c r="H11" s="45" t="s">
        <v>59</v>
      </c>
      <c r="I11" s="28"/>
    </row>
    <row r="12" spans="1:9" ht="14.25" customHeight="1" x14ac:dyDescent="0.2">
      <c r="A12" s="26"/>
      <c r="B12" s="27"/>
      <c r="C12" s="46">
        <v>1</v>
      </c>
      <c r="D12" s="47" t="s">
        <v>60</v>
      </c>
      <c r="E12" s="48">
        <v>1</v>
      </c>
      <c r="F12" s="49">
        <f>+'Servicios de Cabina INC'!M61</f>
        <v>46185.213785971246</v>
      </c>
      <c r="G12" s="50">
        <f>'Calculadora INC Marzo'!$E12*'Calculadora INC Marzo'!$F12</f>
        <v>46185.213785971246</v>
      </c>
      <c r="H12" s="71">
        <f>+'Calculadora INC Febrero'!$G12</f>
        <v>48812.702486671245</v>
      </c>
      <c r="I12" s="28"/>
    </row>
    <row r="13" spans="1:9" ht="14.25" customHeight="1" x14ac:dyDescent="0.2">
      <c r="A13" s="26"/>
      <c r="B13" s="27"/>
      <c r="C13" s="46">
        <v>2</v>
      </c>
      <c r="D13" s="47" t="s">
        <v>12</v>
      </c>
      <c r="E13" s="52">
        <v>46</v>
      </c>
      <c r="F13" s="49">
        <v>12.5</v>
      </c>
      <c r="G13" s="50">
        <f>'Calculadora INC Marzo'!$E13*'Calculadora INC Marzo'!$F13</f>
        <v>575</v>
      </c>
      <c r="H13" s="53">
        <f>+G12-H12</f>
        <v>-2627.4887006999998</v>
      </c>
      <c r="I13" s="28"/>
    </row>
    <row r="14" spans="1:9" ht="14.25" customHeight="1" x14ac:dyDescent="0.2">
      <c r="A14" s="26"/>
      <c r="B14" s="27"/>
      <c r="C14" s="46">
        <v>3</v>
      </c>
      <c r="D14" s="47" t="s">
        <v>61</v>
      </c>
      <c r="E14" s="52">
        <v>3</v>
      </c>
      <c r="F14" s="49">
        <v>1500</v>
      </c>
      <c r="G14" s="50">
        <f>'Calculadora INC Marzo'!$E14*'Calculadora INC Marzo'!$F14</f>
        <v>4500</v>
      </c>
      <c r="H14" s="54">
        <f>+H13/H12</f>
        <v>-5.3827970320173515E-2</v>
      </c>
      <c r="I14" s="28"/>
    </row>
    <row r="15" spans="1:9" ht="14.25" customHeight="1" x14ac:dyDescent="0.2">
      <c r="A15" s="26"/>
      <c r="B15" s="27"/>
      <c r="C15" s="46">
        <v>4</v>
      </c>
      <c r="D15" s="47" t="s">
        <v>62</v>
      </c>
      <c r="E15" s="55">
        <v>1</v>
      </c>
      <c r="F15" s="49">
        <v>0</v>
      </c>
      <c r="G15" s="50">
        <f>'Calculadora INC Marzo'!$E15*'Calculadora INC Marzo'!$F15</f>
        <v>0</v>
      </c>
      <c r="H15" s="56"/>
      <c r="I15" s="28"/>
    </row>
    <row r="16" spans="1:9" ht="14.25" customHeight="1" x14ac:dyDescent="0.2">
      <c r="A16" s="26"/>
      <c r="B16" s="27"/>
      <c r="C16" s="46">
        <v>5</v>
      </c>
      <c r="D16" s="47" t="s">
        <v>20</v>
      </c>
      <c r="E16" s="55">
        <v>1</v>
      </c>
      <c r="F16" s="49">
        <v>105</v>
      </c>
      <c r="G16" s="50">
        <f>'Calculadora INC Marzo'!$E16*'Calculadora INC Marzo'!$F16</f>
        <v>105</v>
      </c>
      <c r="H16" s="56"/>
      <c r="I16" s="28"/>
    </row>
    <row r="17" spans="1:9" ht="14.25" customHeight="1" x14ac:dyDescent="0.2">
      <c r="A17" s="26"/>
      <c r="B17" s="27"/>
      <c r="C17" s="46">
        <v>6</v>
      </c>
      <c r="D17" s="47" t="s">
        <v>22</v>
      </c>
      <c r="E17" s="55">
        <v>1</v>
      </c>
      <c r="F17" s="49">
        <v>87.5</v>
      </c>
      <c r="G17" s="50">
        <f>'Calculadora INC Marzo'!$E17*'Calculadora INC Marzo'!$F17</f>
        <v>87.5</v>
      </c>
      <c r="H17" s="56"/>
      <c r="I17" s="28"/>
    </row>
    <row r="18" spans="1:9" ht="14.25" customHeight="1" x14ac:dyDescent="0.2">
      <c r="A18" s="26"/>
      <c r="B18" s="27"/>
      <c r="C18" s="46">
        <v>7</v>
      </c>
      <c r="D18" s="47" t="s">
        <v>24</v>
      </c>
      <c r="E18" s="55">
        <v>1</v>
      </c>
      <c r="F18" s="49">
        <v>350</v>
      </c>
      <c r="G18" s="50">
        <f>'Calculadora INC Marzo'!$E18*'Calculadora INC Marzo'!$F18</f>
        <v>350</v>
      </c>
      <c r="H18" s="56"/>
      <c r="I18" s="28"/>
    </row>
    <row r="19" spans="1:9" ht="14.25" customHeight="1" x14ac:dyDescent="0.2">
      <c r="A19" s="26"/>
      <c r="B19" s="27"/>
      <c r="C19" s="46">
        <v>8</v>
      </c>
      <c r="D19" s="47" t="s">
        <v>14</v>
      </c>
      <c r="E19" s="55">
        <v>1</v>
      </c>
      <c r="F19" s="49">
        <v>3539</v>
      </c>
      <c r="G19" s="50">
        <f>'Calculadora INC Marzo'!$E19*'Calculadora INC Marzo'!$F19</f>
        <v>3539</v>
      </c>
      <c r="H19" s="56"/>
      <c r="I19" s="28"/>
    </row>
    <row r="20" spans="1:9" ht="14.25" customHeight="1" x14ac:dyDescent="0.2">
      <c r="A20" s="26"/>
      <c r="B20" s="27"/>
      <c r="C20" s="46">
        <v>9</v>
      </c>
      <c r="D20" s="47" t="s">
        <v>16</v>
      </c>
      <c r="E20" s="55">
        <v>1</v>
      </c>
      <c r="F20" s="49">
        <v>500</v>
      </c>
      <c r="G20" s="50">
        <f>'Calculadora INC Marzo'!$E20*'Calculadora INC Marzo'!$F20</f>
        <v>500</v>
      </c>
      <c r="H20" s="56"/>
      <c r="I20" s="28"/>
    </row>
    <row r="21" spans="1:9" ht="14.25" customHeight="1" x14ac:dyDescent="0.2">
      <c r="A21" s="26"/>
      <c r="B21" s="27"/>
      <c r="C21" s="46">
        <v>10</v>
      </c>
      <c r="D21" s="47" t="s">
        <v>18</v>
      </c>
      <c r="E21" s="55">
        <v>1</v>
      </c>
      <c r="F21" s="49">
        <v>22000</v>
      </c>
      <c r="G21" s="50">
        <f>'Calculadora INC Marzo'!$E21*'Calculadora INC Marzo'!$F21</f>
        <v>22000</v>
      </c>
      <c r="H21" s="56"/>
      <c r="I21" s="28"/>
    </row>
    <row r="22" spans="1:9" ht="14.25" customHeight="1" x14ac:dyDescent="0.2">
      <c r="A22" s="26"/>
      <c r="B22" s="27"/>
      <c r="C22" s="46">
        <v>11</v>
      </c>
      <c r="D22" s="47" t="s">
        <v>63</v>
      </c>
      <c r="E22" s="55">
        <v>1</v>
      </c>
      <c r="F22" s="49" t="e">
        <f>+#REF!</f>
        <v>#REF!</v>
      </c>
      <c r="G22" s="50" t="e">
        <f>'Calculadora INC Marzo'!$E22*'Calculadora INC Marzo'!$F22</f>
        <v>#REF!</v>
      </c>
      <c r="H22" s="56"/>
      <c r="I22" s="28"/>
    </row>
    <row r="23" spans="1:9" ht="14.25" customHeight="1" x14ac:dyDescent="0.2">
      <c r="A23" s="26"/>
      <c r="B23" s="27"/>
      <c r="C23" s="58"/>
      <c r="D23" s="59"/>
      <c r="E23" s="59"/>
      <c r="F23" s="60" t="s">
        <v>57</v>
      </c>
      <c r="G23" s="50" t="e">
        <f>SUM(G12:G22)</f>
        <v>#REF!</v>
      </c>
      <c r="H23" s="61"/>
      <c r="I23" s="28"/>
    </row>
    <row r="24" spans="1:9" ht="14.25" customHeight="1" x14ac:dyDescent="0.2">
      <c r="A24" s="26"/>
      <c r="B24" s="27"/>
      <c r="C24" s="298"/>
      <c r="D24" s="299"/>
      <c r="E24" s="62"/>
      <c r="F24" s="63"/>
      <c r="G24" s="64"/>
      <c r="H24" s="65"/>
      <c r="I24" s="28"/>
    </row>
    <row r="25" spans="1:9" ht="14.25" customHeight="1" x14ac:dyDescent="0.2">
      <c r="A25" s="26"/>
      <c r="B25" s="66"/>
      <c r="C25" s="290"/>
      <c r="D25" s="291"/>
      <c r="E25" s="67"/>
      <c r="F25" s="68" t="e">
        <f>'Calculadora INC Marzo'!Saldo_pendiente</f>
        <v>#REF!</v>
      </c>
      <c r="G25" s="69"/>
      <c r="H25" s="69"/>
      <c r="I25" s="70"/>
    </row>
    <row r="26" spans="1:9" ht="14.25" customHeight="1" x14ac:dyDescent="0.2"/>
    <row r="27" spans="1:9" ht="14.25" customHeight="1" x14ac:dyDescent="0.2"/>
    <row r="28" spans="1:9" ht="14.25" customHeight="1" x14ac:dyDescent="0.2"/>
    <row r="29" spans="1:9" ht="14.25" customHeight="1" x14ac:dyDescent="0.2"/>
    <row r="30" spans="1:9" ht="14.25" customHeight="1" x14ac:dyDescent="0.2"/>
    <row r="31" spans="1:9" ht="14.25" customHeight="1" x14ac:dyDescent="0.2"/>
    <row r="32" spans="1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4">
    <mergeCell ref="C3:H3"/>
    <mergeCell ref="C4:G4"/>
    <mergeCell ref="C24:D24"/>
    <mergeCell ref="C25:D25"/>
  </mergeCells>
  <pageMargins left="0.7" right="0.7" top="0.75" bottom="0.75" header="0" footer="0"/>
  <pageSetup orientation="landscape"/>
  <drawing r:id="rId1"/>
  <legacyDrawing r:id="rId2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0.6640625" customWidth="1"/>
    <col min="5" max="5" width="17.33203125" customWidth="1"/>
    <col min="6" max="6" width="13.33203125" customWidth="1"/>
    <col min="7" max="7" width="14.6640625" customWidth="1"/>
    <col min="8" max="8" width="16" customWidth="1"/>
    <col min="9" max="9" width="5.33203125" customWidth="1"/>
    <col min="10" max="26" width="10.6640625" customWidth="1"/>
  </cols>
  <sheetData>
    <row r="1" spans="1:12" ht="14.25" customHeight="1" x14ac:dyDescent="0.2"/>
    <row r="2" spans="1:12" ht="14.25" customHeight="1" x14ac:dyDescent="0.2">
      <c r="B2" s="23"/>
      <c r="C2" s="24"/>
      <c r="D2" s="24"/>
      <c r="E2" s="24"/>
      <c r="F2" s="24"/>
      <c r="G2" s="24"/>
      <c r="H2" s="24"/>
      <c r="I2" s="25"/>
    </row>
    <row r="3" spans="1:12" ht="14.25" customHeight="1" x14ac:dyDescent="0.2">
      <c r="A3" s="26"/>
      <c r="B3" s="27"/>
      <c r="C3" s="293" t="s">
        <v>52</v>
      </c>
      <c r="D3" s="294"/>
      <c r="E3" s="294"/>
      <c r="F3" s="294"/>
      <c r="G3" s="294"/>
      <c r="H3" s="296"/>
      <c r="I3" s="28"/>
    </row>
    <row r="4" spans="1:12" ht="14.25" customHeight="1" x14ac:dyDescent="0.2">
      <c r="A4" s="26"/>
      <c r="B4" s="27"/>
      <c r="C4" s="297"/>
      <c r="D4" s="286"/>
      <c r="E4" s="286"/>
      <c r="F4" s="286"/>
      <c r="G4" s="286"/>
      <c r="H4" s="30"/>
      <c r="I4" s="28"/>
    </row>
    <row r="5" spans="1:12" ht="14.25" customHeight="1" x14ac:dyDescent="0.2">
      <c r="A5" s="26"/>
      <c r="B5" s="27"/>
      <c r="C5" s="31"/>
      <c r="D5" s="26"/>
      <c r="E5" s="26"/>
      <c r="F5" s="26"/>
      <c r="G5" s="26"/>
      <c r="H5" s="32"/>
      <c r="I5" s="28"/>
    </row>
    <row r="6" spans="1:12" ht="14.25" customHeight="1" x14ac:dyDescent="0.2">
      <c r="A6" s="26"/>
      <c r="B6" s="27"/>
      <c r="C6" s="33"/>
      <c r="D6" s="26"/>
      <c r="E6" s="34"/>
      <c r="F6" s="35" t="s">
        <v>53</v>
      </c>
      <c r="G6" s="36">
        <f ca="1">TODAY()</f>
        <v>45974</v>
      </c>
      <c r="H6" s="37"/>
      <c r="I6" s="28"/>
    </row>
    <row r="7" spans="1:12" ht="14.25" customHeight="1" x14ac:dyDescent="0.2">
      <c r="A7" s="26"/>
      <c r="B7" s="27"/>
      <c r="C7" s="33"/>
      <c r="D7" s="26"/>
      <c r="E7" s="34"/>
      <c r="F7" s="35"/>
      <c r="G7" s="26"/>
      <c r="H7" s="32"/>
      <c r="I7" s="28"/>
    </row>
    <row r="8" spans="1:12" ht="14.25" customHeight="1" x14ac:dyDescent="0.2">
      <c r="A8" s="26"/>
      <c r="B8" s="27"/>
      <c r="C8" s="38"/>
      <c r="D8" s="39"/>
      <c r="E8" s="34"/>
      <c r="F8" s="35"/>
      <c r="G8" s="26"/>
      <c r="H8" s="32"/>
      <c r="I8" s="28"/>
    </row>
    <row r="9" spans="1:12" ht="14.25" customHeight="1" x14ac:dyDescent="0.2">
      <c r="A9" s="26"/>
      <c r="B9" s="27"/>
      <c r="C9" s="40"/>
      <c r="D9" s="39"/>
      <c r="E9" s="34"/>
      <c r="F9" s="35"/>
      <c r="G9" s="26"/>
      <c r="H9" s="32"/>
      <c r="I9" s="28"/>
    </row>
    <row r="10" spans="1:12" ht="14.25" customHeight="1" x14ac:dyDescent="0.2">
      <c r="A10" s="26"/>
      <c r="B10" s="27"/>
      <c r="C10" s="41"/>
      <c r="D10" s="42"/>
      <c r="E10" s="34"/>
      <c r="F10" s="26"/>
      <c r="G10" s="26"/>
      <c r="H10" s="32"/>
      <c r="I10" s="28"/>
    </row>
    <row r="11" spans="1:12" ht="14.25" customHeight="1" x14ac:dyDescent="0.2">
      <c r="A11" s="26"/>
      <c r="B11" s="27"/>
      <c r="C11" s="43" t="s">
        <v>54</v>
      </c>
      <c r="D11" s="44" t="s">
        <v>55</v>
      </c>
      <c r="E11" s="44" t="s">
        <v>56</v>
      </c>
      <c r="F11" s="44" t="s">
        <v>57</v>
      </c>
      <c r="G11" s="44" t="s">
        <v>58</v>
      </c>
      <c r="H11" s="45" t="s">
        <v>59</v>
      </c>
      <c r="I11" s="28"/>
    </row>
    <row r="12" spans="1:12" ht="14.25" customHeight="1" x14ac:dyDescent="0.2">
      <c r="A12" s="26"/>
      <c r="B12" s="27"/>
      <c r="C12" s="46">
        <v>1</v>
      </c>
      <c r="D12" s="47" t="s">
        <v>60</v>
      </c>
      <c r="E12" s="48">
        <v>1</v>
      </c>
      <c r="F12" s="49">
        <f>+'Servicios de Cabina MCS'!M61</f>
        <v>171366.77552101997</v>
      </c>
      <c r="G12" s="50">
        <f>+'Calculadora MCS Marzo'!$F12</f>
        <v>171366.77552101997</v>
      </c>
      <c r="H12" s="51">
        <f>+'Servicios de Cabina MCS'!L61</f>
        <v>181169.06977788871</v>
      </c>
      <c r="I12" s="28"/>
      <c r="L12" s="72"/>
    </row>
    <row r="13" spans="1:12" ht="14.25" customHeight="1" x14ac:dyDescent="0.2">
      <c r="A13" s="26"/>
      <c r="B13" s="27"/>
      <c r="C13" s="46">
        <v>2</v>
      </c>
      <c r="D13" s="47" t="s">
        <v>61</v>
      </c>
      <c r="E13" s="52">
        <v>4</v>
      </c>
      <c r="F13" s="49">
        <v>1500</v>
      </c>
      <c r="G13" s="50">
        <f>'Calculadora MCS Marzo'!$E13*'Calculadora MCS Marzo'!$F13</f>
        <v>6000</v>
      </c>
      <c r="H13" s="71">
        <f>+G12-H12</f>
        <v>-9802.2942568687431</v>
      </c>
      <c r="I13" s="28"/>
    </row>
    <row r="14" spans="1:12" ht="14.25" customHeight="1" x14ac:dyDescent="0.2">
      <c r="A14" s="26"/>
      <c r="B14" s="27"/>
      <c r="C14" s="46">
        <v>3</v>
      </c>
      <c r="D14" s="47" t="s">
        <v>30</v>
      </c>
      <c r="E14" s="55">
        <v>1</v>
      </c>
      <c r="F14" s="49">
        <v>-19243</v>
      </c>
      <c r="G14" s="50">
        <f>'Calculadora MCS Marzo'!$E14*'Calculadora MCS Marzo'!$F14</f>
        <v>-19243</v>
      </c>
      <c r="H14" s="73">
        <f>+H13/H12</f>
        <v>-5.4105782344007439E-2</v>
      </c>
      <c r="I14" s="28"/>
    </row>
    <row r="15" spans="1:12" ht="14.25" customHeight="1" x14ac:dyDescent="0.2">
      <c r="A15" s="26"/>
      <c r="B15" s="27"/>
      <c r="C15" s="46">
        <v>4</v>
      </c>
      <c r="D15" s="47" t="s">
        <v>32</v>
      </c>
      <c r="E15" s="55">
        <v>1</v>
      </c>
      <c r="F15" s="49">
        <v>-2252</v>
      </c>
      <c r="G15" s="50">
        <f>'Calculadora MCS Marzo'!$E15*'Calculadora MCS Marzo'!$F15</f>
        <v>-2252</v>
      </c>
      <c r="H15" s="56"/>
      <c r="I15" s="28"/>
    </row>
    <row r="16" spans="1:12" ht="14.25" customHeight="1" x14ac:dyDescent="0.2">
      <c r="A16" s="26"/>
      <c r="B16" s="27"/>
      <c r="C16" s="46">
        <v>5</v>
      </c>
      <c r="D16" s="47" t="s">
        <v>74</v>
      </c>
      <c r="E16" s="55">
        <v>1</v>
      </c>
      <c r="F16" s="49">
        <v>-187.5</v>
      </c>
      <c r="G16" s="50">
        <f>'Calculadora MCS Marzo'!$E16*'Calculadora MCS Marzo'!$F16</f>
        <v>-187.5</v>
      </c>
      <c r="H16" s="56"/>
      <c r="I16" s="28"/>
    </row>
    <row r="17" spans="1:9" ht="14.25" customHeight="1" x14ac:dyDescent="0.2">
      <c r="A17" s="26"/>
      <c r="B17" s="27"/>
      <c r="C17" s="46">
        <v>6</v>
      </c>
      <c r="D17" s="47" t="s">
        <v>34</v>
      </c>
      <c r="E17" s="55">
        <v>1</v>
      </c>
      <c r="F17" s="49">
        <v>-861.79</v>
      </c>
      <c r="G17" s="50">
        <f>'Calculadora MCS Marzo'!$E17*'Calculadora MCS Marzo'!$F17</f>
        <v>-861.79</v>
      </c>
      <c r="H17" s="56"/>
      <c r="I17" s="28"/>
    </row>
    <row r="18" spans="1:9" ht="14.25" customHeight="1" x14ac:dyDescent="0.2">
      <c r="A18" s="26"/>
      <c r="B18" s="27"/>
      <c r="C18" s="46">
        <v>7</v>
      </c>
      <c r="D18" s="47" t="s">
        <v>80</v>
      </c>
      <c r="E18" s="55">
        <v>1</v>
      </c>
      <c r="F18" s="49">
        <v>-2995.63</v>
      </c>
      <c r="G18" s="50">
        <f>'Calculadora MCS Marzo'!$E18*'Calculadora MCS Marzo'!$F18</f>
        <v>-2995.63</v>
      </c>
      <c r="H18" s="56"/>
      <c r="I18" s="28"/>
    </row>
    <row r="19" spans="1:9" ht="14.25" customHeight="1" x14ac:dyDescent="0.2">
      <c r="A19" s="26"/>
      <c r="B19" s="27"/>
      <c r="C19" s="46">
        <v>8</v>
      </c>
      <c r="D19" s="47" t="s">
        <v>65</v>
      </c>
      <c r="E19" s="55">
        <v>1</v>
      </c>
      <c r="F19" s="49">
        <v>-3679.38</v>
      </c>
      <c r="G19" s="50">
        <f>'Calculadora MCS Marzo'!$E19*'Calculadora MCS Marzo'!$F19</f>
        <v>-3679.38</v>
      </c>
      <c r="H19" s="56"/>
      <c r="I19" s="28"/>
    </row>
    <row r="20" spans="1:9" ht="14.25" customHeight="1" x14ac:dyDescent="0.2">
      <c r="A20" s="26"/>
      <c r="B20" s="27"/>
      <c r="C20" s="46"/>
      <c r="D20" s="59"/>
      <c r="E20" s="49"/>
      <c r="F20" s="49"/>
      <c r="G20" s="50"/>
      <c r="H20" s="56"/>
      <c r="I20" s="28"/>
    </row>
    <row r="21" spans="1:9" ht="14.25" customHeight="1" x14ac:dyDescent="0.2">
      <c r="A21" s="26"/>
      <c r="B21" s="27"/>
      <c r="C21" s="58"/>
      <c r="D21" s="59"/>
      <c r="E21" s="59"/>
      <c r="F21" s="60" t="s">
        <v>57</v>
      </c>
      <c r="G21" s="50">
        <f>SUM(G12:G20)</f>
        <v>148147.47552101995</v>
      </c>
      <c r="H21" s="61"/>
      <c r="I21" s="28"/>
    </row>
    <row r="22" spans="1:9" ht="14.25" customHeight="1" x14ac:dyDescent="0.2">
      <c r="A22" s="26"/>
      <c r="B22" s="27"/>
      <c r="C22" s="298"/>
      <c r="D22" s="299"/>
      <c r="E22" s="62"/>
      <c r="F22" s="63"/>
      <c r="G22" s="64"/>
      <c r="H22" s="65"/>
      <c r="I22" s="28"/>
    </row>
    <row r="23" spans="1:9" ht="14.25" customHeight="1" x14ac:dyDescent="0.2">
      <c r="A23" s="26"/>
      <c r="B23" s="66"/>
      <c r="C23" s="290"/>
      <c r="D23" s="291"/>
      <c r="E23" s="67"/>
      <c r="F23" s="68" t="e">
        <f>'Calculadora MCS Marzo'!Saldo_pendiente</f>
        <v>#REF!</v>
      </c>
      <c r="G23" s="69"/>
      <c r="H23" s="69"/>
      <c r="I23" s="70"/>
    </row>
    <row r="24" spans="1:9" ht="14.25" customHeight="1" x14ac:dyDescent="0.2"/>
    <row r="25" spans="1:9" ht="14.25" customHeight="1" x14ac:dyDescent="0.2"/>
    <row r="26" spans="1:9" ht="14.25" customHeight="1" x14ac:dyDescent="0.2"/>
    <row r="27" spans="1:9" ht="14.25" customHeight="1" x14ac:dyDescent="0.2"/>
    <row r="28" spans="1:9" ht="14.25" customHeight="1" x14ac:dyDescent="0.2"/>
    <row r="29" spans="1:9" ht="14.25" customHeight="1" x14ac:dyDescent="0.2"/>
    <row r="30" spans="1:9" ht="14.25" customHeight="1" x14ac:dyDescent="0.2"/>
    <row r="31" spans="1:9" ht="14.25" customHeight="1" x14ac:dyDescent="0.2"/>
    <row r="32" spans="1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4">
    <mergeCell ref="C3:H3"/>
    <mergeCell ref="C4:G4"/>
    <mergeCell ref="C22:D22"/>
    <mergeCell ref="C23:D23"/>
  </mergeCells>
  <pageMargins left="0.7" right="0.7" top="0.75" bottom="0.75" header="0" footer="0"/>
  <pageSetup orientation="landscape"/>
  <drawing r:id="rId1"/>
  <legacyDrawing r:id="rId2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G1000"/>
  <sheetViews>
    <sheetView showGridLines="0" workbookViewId="0"/>
  </sheetViews>
  <sheetFormatPr baseColWidth="10" defaultColWidth="14.5" defaultRowHeight="15" customHeight="1" x14ac:dyDescent="0.2"/>
  <cols>
    <col min="1" max="1" width="10.6640625" customWidth="1"/>
    <col min="2" max="2" width="30" customWidth="1"/>
    <col min="3" max="3" width="11.6640625" customWidth="1"/>
    <col min="4" max="4" width="13.6640625" customWidth="1"/>
    <col min="5" max="5" width="12.5" customWidth="1"/>
    <col min="6" max="6" width="18.5" customWidth="1"/>
    <col min="7" max="7" width="14" customWidth="1"/>
    <col min="8" max="26" width="10.6640625" customWidth="1"/>
  </cols>
  <sheetData>
    <row r="1" spans="2:7" ht="14.25" customHeight="1" x14ac:dyDescent="0.2"/>
    <row r="2" spans="2:7" ht="14.25" customHeight="1" x14ac:dyDescent="0.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 ht="14.25" customHeight="1" x14ac:dyDescent="0.2">
      <c r="B3" s="3" t="s">
        <v>8</v>
      </c>
      <c r="C3" s="4">
        <f>+'Calculadora MCS Febrero'!G12</f>
        <v>181169.06977788871</v>
      </c>
      <c r="D3" s="4">
        <f>+'Calculadora INC Febrero'!G12</f>
        <v>48812.702486671245</v>
      </c>
      <c r="E3" s="4">
        <f t="shared" ref="E3:E12" si="0">SUM(C3:D3)</f>
        <v>229981.77226455996</v>
      </c>
      <c r="F3" s="5">
        <f>+'Calculadora INC Febrero'!H12+'Calculadora MCS Febrero'!H12</f>
        <v>0</v>
      </c>
      <c r="G3" s="6">
        <f t="shared" ref="G3:G12" si="1">+E3</f>
        <v>229981.77226455996</v>
      </c>
    </row>
    <row r="4" spans="2:7" ht="14.25" customHeight="1" x14ac:dyDescent="0.2">
      <c r="B4" s="3" t="s">
        <v>12</v>
      </c>
      <c r="C4" s="4">
        <f>'[3]Calculadora MCS Enero-24'!C15</f>
        <v>0</v>
      </c>
      <c r="D4" s="4">
        <f>+'Calculadora INC Febrero'!G13</f>
        <v>562.5</v>
      </c>
      <c r="E4" s="4">
        <f t="shared" si="0"/>
        <v>562.5</v>
      </c>
      <c r="F4" s="5">
        <f>+E3-F3</f>
        <v>229981.77226455996</v>
      </c>
      <c r="G4" s="6">
        <f t="shared" si="1"/>
        <v>562.5</v>
      </c>
    </row>
    <row r="5" spans="2:7" ht="14.25" customHeight="1" x14ac:dyDescent="0.2">
      <c r="B5" s="3" t="s">
        <v>13</v>
      </c>
      <c r="C5" s="4">
        <f>+'Calculadora MCS Febrero'!G13</f>
        <v>6000</v>
      </c>
      <c r="D5" s="4">
        <f>'[3]Calculadora INC Enero-24'!C16</f>
        <v>0</v>
      </c>
      <c r="E5" s="4">
        <f t="shared" si="0"/>
        <v>6000</v>
      </c>
      <c r="F5" s="7" t="e">
        <f>+F4/F3</f>
        <v>#DIV/0!</v>
      </c>
      <c r="G5" s="6">
        <f t="shared" si="1"/>
        <v>6000</v>
      </c>
    </row>
    <row r="6" spans="2:7" ht="14.25" customHeight="1" x14ac:dyDescent="0.2">
      <c r="B6" s="3" t="s">
        <v>14</v>
      </c>
      <c r="C6" s="4" t="s">
        <v>210</v>
      </c>
      <c r="D6" s="4">
        <f>+'Calculadora INC Febrero'!G19</f>
        <v>3539</v>
      </c>
      <c r="E6" s="4">
        <f t="shared" si="0"/>
        <v>3539</v>
      </c>
      <c r="G6" s="6">
        <f t="shared" si="1"/>
        <v>3539</v>
      </c>
    </row>
    <row r="7" spans="2:7" ht="14.25" customHeight="1" x14ac:dyDescent="0.2">
      <c r="B7" s="3" t="s">
        <v>16</v>
      </c>
      <c r="C7" s="4" t="s">
        <v>210</v>
      </c>
      <c r="D7" s="4">
        <f>+'Calculadora INC Febrero'!F20</f>
        <v>500</v>
      </c>
      <c r="E7" s="4">
        <f t="shared" si="0"/>
        <v>500</v>
      </c>
      <c r="G7" s="6">
        <f t="shared" si="1"/>
        <v>500</v>
      </c>
    </row>
    <row r="8" spans="2:7" ht="14.25" customHeight="1" x14ac:dyDescent="0.2">
      <c r="B8" s="3" t="s">
        <v>18</v>
      </c>
      <c r="C8" s="4">
        <v>0</v>
      </c>
      <c r="D8" s="4">
        <f>+'Calculadora INC Febrero'!F21</f>
        <v>21000</v>
      </c>
      <c r="E8" s="4">
        <f t="shared" si="0"/>
        <v>21000</v>
      </c>
      <c r="G8" s="6">
        <f t="shared" si="1"/>
        <v>21000</v>
      </c>
    </row>
    <row r="9" spans="2:7" ht="14.25" customHeight="1" x14ac:dyDescent="0.2">
      <c r="B9" s="3" t="s">
        <v>20</v>
      </c>
      <c r="C9" s="4"/>
      <c r="D9" s="4">
        <f>+'Calculadora INC Febrero'!G16</f>
        <v>105</v>
      </c>
      <c r="E9" s="4">
        <f t="shared" si="0"/>
        <v>105</v>
      </c>
      <c r="G9" s="6">
        <f t="shared" si="1"/>
        <v>105</v>
      </c>
    </row>
    <row r="10" spans="2:7" ht="14.25" customHeight="1" x14ac:dyDescent="0.2">
      <c r="B10" s="3" t="s">
        <v>22</v>
      </c>
      <c r="C10" s="4"/>
      <c r="D10" s="4">
        <f>+'Calculadora INC Febrero'!G17</f>
        <v>87.5</v>
      </c>
      <c r="E10" s="4">
        <f t="shared" si="0"/>
        <v>87.5</v>
      </c>
      <c r="G10" s="6">
        <f t="shared" si="1"/>
        <v>87.5</v>
      </c>
    </row>
    <row r="11" spans="2:7" ht="14.25" customHeight="1" x14ac:dyDescent="0.2">
      <c r="B11" s="3" t="s">
        <v>24</v>
      </c>
      <c r="C11" s="4"/>
      <c r="D11" s="4">
        <f>+'Calculadora INC Febrero'!G18</f>
        <v>350</v>
      </c>
      <c r="E11" s="4">
        <f t="shared" si="0"/>
        <v>350</v>
      </c>
      <c r="G11" s="6">
        <f t="shared" si="1"/>
        <v>350</v>
      </c>
    </row>
    <row r="12" spans="2:7" ht="14.25" customHeight="1" x14ac:dyDescent="0.2">
      <c r="B12" s="3" t="s">
        <v>25</v>
      </c>
      <c r="C12" s="4">
        <f>+'[3]Calculadora MCS Enero-24'!C19</f>
        <v>0</v>
      </c>
      <c r="D12" s="4" t="e">
        <f>+'Calculadora INC Febrero'!G22</f>
        <v>#REF!</v>
      </c>
      <c r="E12" s="4" t="e">
        <f t="shared" si="0"/>
        <v>#REF!</v>
      </c>
      <c r="G12" s="6" t="e">
        <f t="shared" si="1"/>
        <v>#REF!</v>
      </c>
    </row>
    <row r="13" spans="2:7" ht="14.25" customHeight="1" x14ac:dyDescent="0.2">
      <c r="C13" s="4"/>
      <c r="D13" s="4"/>
      <c r="E13" s="4"/>
      <c r="G13" s="12"/>
    </row>
    <row r="14" spans="2:7" ht="14.25" customHeight="1" x14ac:dyDescent="0.2">
      <c r="C14" s="9">
        <f t="shared" ref="C14:E14" si="2">SUM(C3:C13)</f>
        <v>187169.06977788871</v>
      </c>
      <c r="D14" s="9" t="e">
        <f t="shared" si="2"/>
        <v>#REF!</v>
      </c>
      <c r="E14" s="9" t="e">
        <f t="shared" si="2"/>
        <v>#REF!</v>
      </c>
      <c r="G14" s="10" t="e">
        <f>E14+F14</f>
        <v>#REF!</v>
      </c>
    </row>
    <row r="15" spans="2:7" ht="14.25" customHeight="1" x14ac:dyDescent="0.2">
      <c r="B15" s="1" t="s">
        <v>28</v>
      </c>
      <c r="C15" s="11"/>
      <c r="D15" s="11"/>
      <c r="E15" s="11"/>
    </row>
    <row r="16" spans="2:7" ht="14.25" customHeight="1" x14ac:dyDescent="0.2">
      <c r="C16" s="4"/>
      <c r="D16" s="4"/>
      <c r="E16" s="4"/>
    </row>
    <row r="17" spans="2:7" ht="14.25" customHeight="1" x14ac:dyDescent="0.2">
      <c r="C17" s="4"/>
      <c r="D17" s="4"/>
      <c r="E17" s="4"/>
    </row>
    <row r="18" spans="2:7" ht="14.25" customHeight="1" x14ac:dyDescent="0.2">
      <c r="B18" s="1" t="s">
        <v>29</v>
      </c>
      <c r="C18" s="4"/>
      <c r="D18" s="4"/>
      <c r="E18" s="4"/>
    </row>
    <row r="19" spans="2:7" ht="14.25" customHeight="1" x14ac:dyDescent="0.2">
      <c r="B19" s="3" t="s">
        <v>30</v>
      </c>
      <c r="C19" s="4">
        <f>+'Calculadora MCS Febrero'!G14</f>
        <v>-18965</v>
      </c>
      <c r="D19" s="4"/>
      <c r="E19" s="4">
        <f t="shared" ref="E19:E24" si="3">SUM(C19:D19)</f>
        <v>-18965</v>
      </c>
      <c r="F19" s="4" t="s">
        <v>31</v>
      </c>
      <c r="G19" s="12">
        <f t="shared" ref="G19:G24" si="4">E19</f>
        <v>-18965</v>
      </c>
    </row>
    <row r="20" spans="2:7" ht="14.25" customHeight="1" x14ac:dyDescent="0.2">
      <c r="B20" s="3" t="s">
        <v>32</v>
      </c>
      <c r="C20" s="4">
        <f>+'Calculadora MCS Febrero'!G15</f>
        <v>-2252</v>
      </c>
      <c r="D20" s="4"/>
      <c r="E20" s="4">
        <f t="shared" si="3"/>
        <v>-2252</v>
      </c>
      <c r="F20" s="4" t="s">
        <v>11</v>
      </c>
      <c r="G20" s="12">
        <f t="shared" si="4"/>
        <v>-2252</v>
      </c>
    </row>
    <row r="21" spans="2:7" ht="14.25" customHeight="1" x14ac:dyDescent="0.2">
      <c r="B21" s="3" t="s">
        <v>74</v>
      </c>
      <c r="C21" s="4">
        <f>+'Calculadora MCS Febrero'!G16</f>
        <v>-187.5</v>
      </c>
      <c r="D21" s="4"/>
      <c r="E21" s="4">
        <f t="shared" si="3"/>
        <v>-187.5</v>
      </c>
      <c r="F21" s="4" t="s">
        <v>11</v>
      </c>
      <c r="G21" s="12">
        <f t="shared" si="4"/>
        <v>-187.5</v>
      </c>
    </row>
    <row r="22" spans="2:7" ht="14.25" customHeight="1" x14ac:dyDescent="0.2">
      <c r="B22" s="3" t="s">
        <v>34</v>
      </c>
      <c r="C22" s="4">
        <f>+'Calculadora MCS Febrero'!G17</f>
        <v>-861.79</v>
      </c>
      <c r="D22" s="4"/>
      <c r="E22" s="4">
        <f t="shared" si="3"/>
        <v>-861.79</v>
      </c>
      <c r="F22" s="4" t="s">
        <v>11</v>
      </c>
      <c r="G22" s="12">
        <f t="shared" si="4"/>
        <v>-861.79</v>
      </c>
    </row>
    <row r="23" spans="2:7" ht="14.25" customHeight="1" x14ac:dyDescent="0.2">
      <c r="B23" s="79" t="s">
        <v>35</v>
      </c>
      <c r="C23" s="4">
        <f>+'Calculadora MCS Febrero'!G19</f>
        <v>-3679.38</v>
      </c>
      <c r="D23" s="4">
        <v>0</v>
      </c>
      <c r="E23" s="4">
        <f t="shared" si="3"/>
        <v>-3679.38</v>
      </c>
      <c r="F23" s="4" t="s">
        <v>31</v>
      </c>
      <c r="G23" s="12">
        <f t="shared" si="4"/>
        <v>-3679.38</v>
      </c>
    </row>
    <row r="24" spans="2:7" ht="14.25" customHeight="1" x14ac:dyDescent="0.2">
      <c r="B24" s="13" t="s">
        <v>81</v>
      </c>
      <c r="C24" s="4">
        <f>+'Calculadora MCS Febrero'!G18</f>
        <v>-2995.63</v>
      </c>
      <c r="D24" s="4"/>
      <c r="E24" s="4">
        <f t="shared" si="3"/>
        <v>-2995.63</v>
      </c>
      <c r="F24" s="4" t="s">
        <v>31</v>
      </c>
      <c r="G24" s="12">
        <f t="shared" si="4"/>
        <v>-2995.63</v>
      </c>
    </row>
    <row r="25" spans="2:7" ht="14.25" customHeight="1" x14ac:dyDescent="0.2">
      <c r="C25" s="9">
        <f t="shared" ref="C25:E25" si="5">SUM(C19:C24)</f>
        <v>-28941.300000000003</v>
      </c>
      <c r="D25" s="9">
        <f t="shared" si="5"/>
        <v>0</v>
      </c>
      <c r="E25" s="9">
        <f t="shared" si="5"/>
        <v>-28941.300000000003</v>
      </c>
      <c r="F25" s="4"/>
      <c r="G25" s="10">
        <f>SUM(G19:G24)</f>
        <v>-28941.300000000003</v>
      </c>
    </row>
    <row r="26" spans="2:7" ht="14.25" customHeight="1" x14ac:dyDescent="0.2">
      <c r="C26" s="4"/>
      <c r="D26" s="4"/>
      <c r="E26" s="4"/>
      <c r="F26" s="4"/>
      <c r="G26" s="4"/>
    </row>
    <row r="27" spans="2:7" ht="14.25" customHeight="1" x14ac:dyDescent="0.2">
      <c r="C27" s="4"/>
      <c r="D27" s="4"/>
      <c r="E27" s="4"/>
      <c r="F27" s="4"/>
      <c r="G27" s="4"/>
    </row>
    <row r="28" spans="2:7" ht="14.25" customHeight="1" x14ac:dyDescent="0.2">
      <c r="C28" s="4"/>
      <c r="D28" s="4"/>
      <c r="E28" s="4"/>
      <c r="F28" s="4"/>
      <c r="G28" s="4"/>
    </row>
    <row r="29" spans="2:7" ht="14.25" customHeight="1" x14ac:dyDescent="0.2">
      <c r="B29" s="15"/>
      <c r="C29" s="15"/>
      <c r="D29" s="16" t="s">
        <v>42</v>
      </c>
      <c r="E29" s="16" t="s">
        <v>43</v>
      </c>
      <c r="F29" s="16" t="s">
        <v>44</v>
      </c>
      <c r="G29" s="16"/>
    </row>
    <row r="30" spans="2:7" ht="14.25" customHeight="1" x14ac:dyDescent="0.2">
      <c r="B30" s="15" t="s">
        <v>45</v>
      </c>
      <c r="C30" s="17">
        <v>0.65500000000000003</v>
      </c>
      <c r="D30" s="18" t="e">
        <f t="shared" ref="D30:D32" si="6">+$E$14*C30</f>
        <v>#REF!</v>
      </c>
      <c r="E30" s="18">
        <f>+G19+G23+G24</f>
        <v>-25640.010000000002</v>
      </c>
      <c r="F30" s="18" t="e">
        <f t="shared" ref="F30:F32" si="7">+D30+E30</f>
        <v>#REF!</v>
      </c>
      <c r="G30" s="18"/>
    </row>
    <row r="31" spans="2:7" ht="14.25" customHeight="1" x14ac:dyDescent="0.2">
      <c r="B31" s="15" t="s">
        <v>46</v>
      </c>
      <c r="C31" s="17">
        <v>7.4999999999999997E-2</v>
      </c>
      <c r="D31" s="18" t="e">
        <f t="shared" si="6"/>
        <v>#REF!</v>
      </c>
      <c r="E31" s="18"/>
      <c r="F31" s="18" t="e">
        <f t="shared" si="7"/>
        <v>#REF!</v>
      </c>
      <c r="G31" s="18"/>
    </row>
    <row r="32" spans="2:7" ht="14.25" customHeight="1" x14ac:dyDescent="0.2">
      <c r="B32" s="15" t="s">
        <v>7</v>
      </c>
      <c r="C32" s="17">
        <v>0.27</v>
      </c>
      <c r="D32" s="18" t="e">
        <f t="shared" si="6"/>
        <v>#REF!</v>
      </c>
      <c r="E32" s="18">
        <f>+G20+G21+G22</f>
        <v>-3301.29</v>
      </c>
      <c r="F32" s="18" t="e">
        <f t="shared" si="7"/>
        <v>#REF!</v>
      </c>
      <c r="G32" s="18"/>
    </row>
    <row r="33" spans="2:7" ht="14.25" customHeight="1" x14ac:dyDescent="0.2">
      <c r="B33" s="15"/>
      <c r="C33" s="15"/>
      <c r="D33" s="15"/>
      <c r="E33" s="15"/>
      <c r="F33" s="15"/>
      <c r="G33" s="15"/>
    </row>
    <row r="34" spans="2:7" ht="14.25" customHeight="1" x14ac:dyDescent="0.2">
      <c r="B34" s="15"/>
      <c r="C34" s="19">
        <f t="shared" ref="C34:F34" si="8">C30+C31+C32</f>
        <v>1</v>
      </c>
      <c r="D34" s="20" t="e">
        <f t="shared" si="8"/>
        <v>#REF!</v>
      </c>
      <c r="E34" s="20">
        <f t="shared" si="8"/>
        <v>-28941.300000000003</v>
      </c>
      <c r="F34" s="20" t="e">
        <f t="shared" si="8"/>
        <v>#REF!</v>
      </c>
      <c r="G34" s="20"/>
    </row>
    <row r="35" spans="2:7" ht="14.25" customHeight="1" x14ac:dyDescent="0.2">
      <c r="C35" s="4"/>
      <c r="D35" s="4"/>
      <c r="E35" s="4"/>
      <c r="F35" s="4"/>
      <c r="G35" s="4"/>
    </row>
    <row r="36" spans="2:7" ht="14.25" customHeight="1" x14ac:dyDescent="0.2">
      <c r="C36" s="4"/>
      <c r="D36" s="4"/>
      <c r="E36" s="4"/>
      <c r="F36" s="4"/>
      <c r="G36" s="4"/>
    </row>
    <row r="37" spans="2:7" ht="14.25" customHeight="1" x14ac:dyDescent="0.2">
      <c r="C37" s="4"/>
      <c r="D37" s="4"/>
      <c r="E37" s="4"/>
      <c r="F37" s="4"/>
      <c r="G37" s="4"/>
    </row>
    <row r="38" spans="2:7" ht="14.25" customHeight="1" x14ac:dyDescent="0.2"/>
    <row r="39" spans="2:7" ht="14.25" customHeight="1" x14ac:dyDescent="0.2"/>
    <row r="40" spans="2:7" ht="14.25" customHeight="1" x14ac:dyDescent="0.2"/>
    <row r="41" spans="2:7" ht="14.25" customHeight="1" x14ac:dyDescent="0.2"/>
    <row r="42" spans="2:7" ht="14.25" customHeight="1" x14ac:dyDescent="0.2"/>
    <row r="43" spans="2:7" ht="14.25" customHeight="1" x14ac:dyDescent="0.2"/>
    <row r="44" spans="2:7" ht="14.25" customHeight="1" x14ac:dyDescent="0.2"/>
    <row r="45" spans="2:7" ht="14.25" customHeight="1" x14ac:dyDescent="0.2"/>
    <row r="46" spans="2:7" ht="14.25" customHeight="1" x14ac:dyDescent="0.2"/>
    <row r="47" spans="2:7" ht="14.25" customHeight="1" x14ac:dyDescent="0.2"/>
    <row r="48" spans="2:7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21.5" customWidth="1"/>
    <col min="5" max="5" width="17.33203125" customWidth="1"/>
    <col min="6" max="7" width="13.33203125" customWidth="1"/>
    <col min="8" max="8" width="16" customWidth="1"/>
    <col min="9" max="9" width="5.33203125" customWidth="1"/>
    <col min="10" max="26" width="10.6640625" customWidth="1"/>
  </cols>
  <sheetData>
    <row r="1" spans="1:9" ht="14.25" customHeight="1" x14ac:dyDescent="0.2"/>
    <row r="2" spans="1:9" ht="14.25" customHeight="1" x14ac:dyDescent="0.2">
      <c r="B2" s="23"/>
      <c r="C2" s="24"/>
      <c r="D2" s="24"/>
      <c r="E2" s="24"/>
      <c r="F2" s="24"/>
      <c r="G2" s="24"/>
      <c r="H2" s="24"/>
      <c r="I2" s="25"/>
    </row>
    <row r="3" spans="1:9" ht="14.25" customHeight="1" x14ac:dyDescent="0.2">
      <c r="A3" s="26"/>
      <c r="B3" s="27"/>
      <c r="C3" s="293" t="s">
        <v>52</v>
      </c>
      <c r="D3" s="294"/>
      <c r="E3" s="294"/>
      <c r="F3" s="294"/>
      <c r="G3" s="294"/>
      <c r="H3" s="296"/>
      <c r="I3" s="28"/>
    </row>
    <row r="4" spans="1:9" ht="14.25" customHeight="1" x14ac:dyDescent="0.2">
      <c r="A4" s="26"/>
      <c r="B4" s="27"/>
      <c r="C4" s="297"/>
      <c r="D4" s="286"/>
      <c r="E4" s="286"/>
      <c r="F4" s="286"/>
      <c r="G4" s="286"/>
      <c r="H4" s="30"/>
      <c r="I4" s="28"/>
    </row>
    <row r="5" spans="1:9" ht="14.25" customHeight="1" x14ac:dyDescent="0.2">
      <c r="A5" s="26"/>
      <c r="B5" s="27"/>
      <c r="C5" s="31"/>
      <c r="D5" s="26"/>
      <c r="E5" s="26"/>
      <c r="F5" s="26"/>
      <c r="G5" s="26"/>
      <c r="H5" s="32"/>
      <c r="I5" s="28"/>
    </row>
    <row r="6" spans="1:9" ht="14.25" customHeight="1" x14ac:dyDescent="0.2">
      <c r="A6" s="26"/>
      <c r="B6" s="27"/>
      <c r="C6" s="33"/>
      <c r="D6" s="26"/>
      <c r="E6" s="34"/>
      <c r="F6" s="35" t="s">
        <v>53</v>
      </c>
      <c r="G6" s="36">
        <f ca="1">TODAY()</f>
        <v>45974</v>
      </c>
      <c r="H6" s="37"/>
      <c r="I6" s="28"/>
    </row>
    <row r="7" spans="1:9" ht="14.25" customHeight="1" x14ac:dyDescent="0.2">
      <c r="A7" s="26"/>
      <c r="B7" s="27"/>
      <c r="C7" s="33"/>
      <c r="D7" s="26"/>
      <c r="E7" s="34"/>
      <c r="F7" s="35"/>
      <c r="G7" s="26"/>
      <c r="H7" s="32"/>
      <c r="I7" s="28"/>
    </row>
    <row r="8" spans="1:9" ht="14.25" customHeight="1" x14ac:dyDescent="0.2">
      <c r="A8" s="26"/>
      <c r="B8" s="27"/>
      <c r="C8" s="38"/>
      <c r="D8" s="39"/>
      <c r="E8" s="34"/>
      <c r="F8" s="35"/>
      <c r="G8" s="26"/>
      <c r="H8" s="32"/>
      <c r="I8" s="28"/>
    </row>
    <row r="9" spans="1:9" ht="14.25" customHeight="1" x14ac:dyDescent="0.2">
      <c r="A9" s="26"/>
      <c r="B9" s="27"/>
      <c r="C9" s="40"/>
      <c r="D9" s="39"/>
      <c r="E9" s="34"/>
      <c r="F9" s="35"/>
      <c r="G9" s="26"/>
      <c r="H9" s="32"/>
      <c r="I9" s="28"/>
    </row>
    <row r="10" spans="1:9" ht="14.25" customHeight="1" x14ac:dyDescent="0.2">
      <c r="A10" s="26"/>
      <c r="B10" s="27"/>
      <c r="C10" s="41"/>
      <c r="D10" s="42"/>
      <c r="E10" s="34"/>
      <c r="F10" s="26"/>
      <c r="G10" s="26"/>
      <c r="H10" s="32"/>
      <c r="I10" s="28"/>
    </row>
    <row r="11" spans="1:9" ht="14.25" customHeight="1" x14ac:dyDescent="0.2">
      <c r="A11" s="26"/>
      <c r="B11" s="27"/>
      <c r="C11" s="43" t="s">
        <v>54</v>
      </c>
      <c r="D11" s="44" t="s">
        <v>55</v>
      </c>
      <c r="E11" s="44" t="s">
        <v>56</v>
      </c>
      <c r="F11" s="44" t="s">
        <v>57</v>
      </c>
      <c r="G11" s="44" t="s">
        <v>58</v>
      </c>
      <c r="H11" s="45" t="s">
        <v>59</v>
      </c>
      <c r="I11" s="28"/>
    </row>
    <row r="12" spans="1:9" ht="14.25" customHeight="1" x14ac:dyDescent="0.2">
      <c r="A12" s="26"/>
      <c r="B12" s="27"/>
      <c r="C12" s="46">
        <v>1</v>
      </c>
      <c r="D12" s="47" t="s">
        <v>60</v>
      </c>
      <c r="E12" s="48">
        <v>1</v>
      </c>
      <c r="F12" s="49">
        <f>+'Servicios de Cabina INC'!L61</f>
        <v>48812.702486671245</v>
      </c>
      <c r="G12" s="50">
        <f>'Calculadora INC Febrero'!$E12*'Calculadora INC Febrero'!$F12</f>
        <v>48812.702486671245</v>
      </c>
      <c r="H12" s="71">
        <f>+'[3]Calculadora INC Enero-24'!$C$11</f>
        <v>0</v>
      </c>
      <c r="I12" s="28"/>
    </row>
    <row r="13" spans="1:9" ht="14.25" customHeight="1" x14ac:dyDescent="0.2">
      <c r="A13" s="26"/>
      <c r="B13" s="27"/>
      <c r="C13" s="46">
        <v>2</v>
      </c>
      <c r="D13" s="47" t="s">
        <v>12</v>
      </c>
      <c r="E13" s="52">
        <v>45</v>
      </c>
      <c r="F13" s="49">
        <v>12.5</v>
      </c>
      <c r="G13" s="50">
        <f>'Calculadora INC Febrero'!$E13*'Calculadora INC Febrero'!$F13</f>
        <v>562.5</v>
      </c>
      <c r="H13" s="53">
        <f>+G12-H12</f>
        <v>48812.702486671245</v>
      </c>
      <c r="I13" s="28"/>
    </row>
    <row r="14" spans="1:9" ht="14.25" customHeight="1" x14ac:dyDescent="0.2">
      <c r="A14" s="26"/>
      <c r="B14" s="27"/>
      <c r="C14" s="46">
        <v>3</v>
      </c>
      <c r="D14" s="47" t="s">
        <v>61</v>
      </c>
      <c r="E14" s="52">
        <v>3</v>
      </c>
      <c r="F14" s="49">
        <v>1500</v>
      </c>
      <c r="G14" s="50">
        <f>'Calculadora INC Febrero'!$E14*'Calculadora INC Febrero'!$F14</f>
        <v>4500</v>
      </c>
      <c r="H14" s="73" t="e">
        <f>+H13/H12</f>
        <v>#DIV/0!</v>
      </c>
      <c r="I14" s="28"/>
    </row>
    <row r="15" spans="1:9" ht="14.25" customHeight="1" x14ac:dyDescent="0.2">
      <c r="A15" s="26"/>
      <c r="B15" s="27"/>
      <c r="C15" s="46">
        <v>4</v>
      </c>
      <c r="D15" s="47" t="s">
        <v>62</v>
      </c>
      <c r="E15" s="55">
        <v>1</v>
      </c>
      <c r="F15" s="49">
        <v>0</v>
      </c>
      <c r="G15" s="50">
        <f>'Calculadora INC Febrero'!$E15*'Calculadora INC Febrero'!$F15</f>
        <v>0</v>
      </c>
      <c r="H15" s="56"/>
      <c r="I15" s="28"/>
    </row>
    <row r="16" spans="1:9" ht="14.25" customHeight="1" x14ac:dyDescent="0.2">
      <c r="A16" s="26"/>
      <c r="B16" s="27"/>
      <c r="C16" s="46">
        <v>5</v>
      </c>
      <c r="D16" s="47" t="s">
        <v>20</v>
      </c>
      <c r="E16" s="55">
        <v>1</v>
      </c>
      <c r="F16" s="49">
        <v>105</v>
      </c>
      <c r="G16" s="50">
        <f>'Calculadora INC Febrero'!$E16*'Calculadora INC Febrero'!$F16</f>
        <v>105</v>
      </c>
      <c r="H16" s="56"/>
      <c r="I16" s="28"/>
    </row>
    <row r="17" spans="1:9" ht="14.25" customHeight="1" x14ac:dyDescent="0.2">
      <c r="A17" s="26"/>
      <c r="B17" s="27"/>
      <c r="C17" s="46">
        <v>6</v>
      </c>
      <c r="D17" s="47" t="s">
        <v>22</v>
      </c>
      <c r="E17" s="55">
        <v>1</v>
      </c>
      <c r="F17" s="49">
        <v>87.5</v>
      </c>
      <c r="G17" s="50">
        <f>'Calculadora INC Febrero'!$E17*'Calculadora INC Febrero'!$F17</f>
        <v>87.5</v>
      </c>
      <c r="H17" s="56"/>
      <c r="I17" s="28"/>
    </row>
    <row r="18" spans="1:9" ht="14.25" customHeight="1" x14ac:dyDescent="0.2">
      <c r="A18" s="26"/>
      <c r="B18" s="27"/>
      <c r="C18" s="46">
        <v>7</v>
      </c>
      <c r="D18" s="47" t="s">
        <v>24</v>
      </c>
      <c r="E18" s="55">
        <v>1</v>
      </c>
      <c r="F18" s="49">
        <v>350</v>
      </c>
      <c r="G18" s="50">
        <f>'Calculadora INC Febrero'!$E18*'Calculadora INC Febrero'!$F18</f>
        <v>350</v>
      </c>
      <c r="H18" s="56"/>
      <c r="I18" s="28"/>
    </row>
    <row r="19" spans="1:9" ht="14.25" customHeight="1" x14ac:dyDescent="0.2">
      <c r="A19" s="26"/>
      <c r="B19" s="27"/>
      <c r="C19" s="46">
        <v>8</v>
      </c>
      <c r="D19" s="47" t="s">
        <v>14</v>
      </c>
      <c r="E19" s="55">
        <v>1</v>
      </c>
      <c r="F19" s="49">
        <v>3539</v>
      </c>
      <c r="G19" s="50">
        <f>'Calculadora INC Febrero'!$E19*'Calculadora INC Febrero'!$F19</f>
        <v>3539</v>
      </c>
      <c r="H19" s="56"/>
      <c r="I19" s="28"/>
    </row>
    <row r="20" spans="1:9" ht="14.25" customHeight="1" x14ac:dyDescent="0.2">
      <c r="A20" s="26"/>
      <c r="B20" s="27"/>
      <c r="C20" s="46">
        <v>9</v>
      </c>
      <c r="D20" s="47" t="s">
        <v>16</v>
      </c>
      <c r="E20" s="55">
        <v>1</v>
      </c>
      <c r="F20" s="49">
        <v>500</v>
      </c>
      <c r="G20" s="50">
        <f>'Calculadora INC Febrero'!$E20*'Calculadora INC Febrero'!$F20</f>
        <v>500</v>
      </c>
      <c r="H20" s="56"/>
      <c r="I20" s="28"/>
    </row>
    <row r="21" spans="1:9" ht="14.25" customHeight="1" x14ac:dyDescent="0.2">
      <c r="A21" s="26"/>
      <c r="B21" s="27"/>
      <c r="C21" s="46">
        <v>10</v>
      </c>
      <c r="D21" s="47" t="s">
        <v>18</v>
      </c>
      <c r="E21" s="55">
        <v>1</v>
      </c>
      <c r="F21" s="49">
        <v>21000</v>
      </c>
      <c r="G21" s="50">
        <f>'Calculadora INC Febrero'!$E21*'Calculadora INC Febrero'!$F21</f>
        <v>21000</v>
      </c>
      <c r="H21" s="56"/>
      <c r="I21" s="28"/>
    </row>
    <row r="22" spans="1:9" ht="14.25" customHeight="1" x14ac:dyDescent="0.2">
      <c r="A22" s="26"/>
      <c r="B22" s="27"/>
      <c r="C22" s="46">
        <v>11</v>
      </c>
      <c r="D22" s="47" t="s">
        <v>63</v>
      </c>
      <c r="E22" s="55">
        <v>1</v>
      </c>
      <c r="F22" s="49" t="e">
        <f>+#REF!+1000</f>
        <v>#REF!</v>
      </c>
      <c r="G22" s="50" t="e">
        <f>'Calculadora INC Febrero'!$E22*'Calculadora INC Febrero'!$F22</f>
        <v>#REF!</v>
      </c>
      <c r="H22" s="56"/>
      <c r="I22" s="28"/>
    </row>
    <row r="23" spans="1:9" ht="14.25" customHeight="1" x14ac:dyDescent="0.2">
      <c r="A23" s="26"/>
      <c r="B23" s="27"/>
      <c r="C23" s="58"/>
      <c r="D23" s="59"/>
      <c r="E23" s="59"/>
      <c r="F23" s="60" t="s">
        <v>57</v>
      </c>
      <c r="G23" s="50" t="e">
        <f>SUM(G12:G22)</f>
        <v>#REF!</v>
      </c>
      <c r="H23" s="61"/>
      <c r="I23" s="28"/>
    </row>
    <row r="24" spans="1:9" ht="14.25" customHeight="1" x14ac:dyDescent="0.2">
      <c r="A24" s="26"/>
      <c r="B24" s="27"/>
      <c r="C24" s="298"/>
      <c r="D24" s="299"/>
      <c r="E24" s="62"/>
      <c r="F24" s="63"/>
      <c r="G24" s="64"/>
      <c r="H24" s="65"/>
      <c r="I24" s="28"/>
    </row>
    <row r="25" spans="1:9" ht="14.25" customHeight="1" x14ac:dyDescent="0.2">
      <c r="A25" s="26"/>
      <c r="B25" s="66"/>
      <c r="C25" s="290"/>
      <c r="D25" s="291"/>
      <c r="E25" s="67"/>
      <c r="F25" s="68" t="e">
        <f>Saldo_pendiente</f>
        <v>#REF!</v>
      </c>
      <c r="G25" s="69"/>
      <c r="H25" s="69"/>
      <c r="I25" s="70"/>
    </row>
    <row r="26" spans="1:9" ht="14.25" customHeight="1" x14ac:dyDescent="0.2"/>
    <row r="27" spans="1:9" ht="14.25" customHeight="1" x14ac:dyDescent="0.2"/>
    <row r="28" spans="1:9" ht="14.25" customHeight="1" x14ac:dyDescent="0.2"/>
    <row r="29" spans="1:9" ht="14.25" customHeight="1" x14ac:dyDescent="0.2"/>
    <row r="30" spans="1:9" ht="14.25" customHeight="1" x14ac:dyDescent="0.2"/>
    <row r="31" spans="1:9" ht="14.25" customHeight="1" x14ac:dyDescent="0.2"/>
    <row r="32" spans="1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4">
    <mergeCell ref="C3:H3"/>
    <mergeCell ref="C4:G4"/>
    <mergeCell ref="C24:D24"/>
    <mergeCell ref="C25:D25"/>
  </mergeCells>
  <pageMargins left="0.7" right="0.7" top="0.75" bottom="0.75" header="0" footer="0"/>
  <pageSetup orientation="landscape"/>
  <drawing r:id="rId1"/>
  <legacyDrawing r:id="rId2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4.6640625" customWidth="1"/>
    <col min="3" max="3" width="9.5" customWidth="1"/>
    <col min="4" max="4" width="30.6640625" customWidth="1"/>
    <col min="5" max="5" width="17.33203125" customWidth="1"/>
    <col min="6" max="6" width="13.33203125" customWidth="1"/>
    <col min="7" max="7" width="14.33203125" customWidth="1"/>
    <col min="8" max="8" width="16" customWidth="1"/>
    <col min="9" max="9" width="5.33203125" customWidth="1"/>
    <col min="10" max="26" width="10.6640625" customWidth="1"/>
  </cols>
  <sheetData>
    <row r="1" spans="1:9" ht="14.25" customHeight="1" x14ac:dyDescent="0.2"/>
    <row r="2" spans="1:9" ht="14.25" customHeight="1" x14ac:dyDescent="0.2">
      <c r="B2" s="23"/>
      <c r="C2" s="24"/>
      <c r="D2" s="24"/>
      <c r="E2" s="24"/>
      <c r="F2" s="24"/>
      <c r="G2" s="24"/>
      <c r="H2" s="24"/>
      <c r="I2" s="25"/>
    </row>
    <row r="3" spans="1:9" ht="14.25" customHeight="1" x14ac:dyDescent="0.2">
      <c r="A3" s="26"/>
      <c r="B3" s="27"/>
      <c r="C3" s="293" t="s">
        <v>52</v>
      </c>
      <c r="D3" s="294"/>
      <c r="E3" s="294"/>
      <c r="F3" s="294"/>
      <c r="G3" s="294"/>
      <c r="H3" s="296"/>
      <c r="I3" s="28"/>
    </row>
    <row r="4" spans="1:9" ht="14.25" customHeight="1" x14ac:dyDescent="0.2">
      <c r="A4" s="26"/>
      <c r="B4" s="27"/>
      <c r="C4" s="297"/>
      <c r="D4" s="286"/>
      <c r="E4" s="286"/>
      <c r="F4" s="286"/>
      <c r="G4" s="286"/>
      <c r="H4" s="30"/>
      <c r="I4" s="28"/>
    </row>
    <row r="5" spans="1:9" ht="14.25" customHeight="1" x14ac:dyDescent="0.2">
      <c r="A5" s="26"/>
      <c r="B5" s="27"/>
      <c r="C5" s="31"/>
      <c r="D5" s="26"/>
      <c r="E5" s="26"/>
      <c r="F5" s="26"/>
      <c r="G5" s="26"/>
      <c r="H5" s="32"/>
      <c r="I5" s="28"/>
    </row>
    <row r="6" spans="1:9" ht="14.25" customHeight="1" x14ac:dyDescent="0.2">
      <c r="A6" s="26"/>
      <c r="B6" s="27"/>
      <c r="C6" s="33"/>
      <c r="D6" s="26"/>
      <c r="E6" s="34"/>
      <c r="F6" s="35" t="s">
        <v>53</v>
      </c>
      <c r="G6" s="36">
        <f ca="1">TODAY()</f>
        <v>45974</v>
      </c>
      <c r="H6" s="37"/>
      <c r="I6" s="28"/>
    </row>
    <row r="7" spans="1:9" ht="14.25" customHeight="1" x14ac:dyDescent="0.2">
      <c r="A7" s="26"/>
      <c r="B7" s="27"/>
      <c r="C7" s="33"/>
      <c r="D7" s="26"/>
      <c r="E7" s="34"/>
      <c r="F7" s="35"/>
      <c r="G7" s="26"/>
      <c r="H7" s="32"/>
      <c r="I7" s="28"/>
    </row>
    <row r="8" spans="1:9" ht="14.25" customHeight="1" x14ac:dyDescent="0.2">
      <c r="A8" s="26"/>
      <c r="B8" s="27"/>
      <c r="C8" s="38"/>
      <c r="D8" s="39"/>
      <c r="E8" s="34"/>
      <c r="F8" s="35"/>
      <c r="G8" s="26"/>
      <c r="H8" s="32"/>
      <c r="I8" s="28"/>
    </row>
    <row r="9" spans="1:9" ht="14.25" customHeight="1" x14ac:dyDescent="0.2">
      <c r="A9" s="26"/>
      <c r="B9" s="27"/>
      <c r="C9" s="40"/>
      <c r="D9" s="39"/>
      <c r="E9" s="34"/>
      <c r="F9" s="35"/>
      <c r="G9" s="26"/>
      <c r="H9" s="32"/>
      <c r="I9" s="28"/>
    </row>
    <row r="10" spans="1:9" ht="14.25" customHeight="1" x14ac:dyDescent="0.2">
      <c r="A10" s="26"/>
      <c r="B10" s="27"/>
      <c r="C10" s="41"/>
      <c r="D10" s="42"/>
      <c r="E10" s="34"/>
      <c r="F10" s="26"/>
      <c r="G10" s="26"/>
      <c r="H10" s="32"/>
      <c r="I10" s="28"/>
    </row>
    <row r="11" spans="1:9" ht="14.25" customHeight="1" x14ac:dyDescent="0.2">
      <c r="A11" s="26"/>
      <c r="B11" s="27"/>
      <c r="C11" s="43" t="s">
        <v>54</v>
      </c>
      <c r="D11" s="44" t="s">
        <v>55</v>
      </c>
      <c r="E11" s="44" t="s">
        <v>56</v>
      </c>
      <c r="F11" s="44" t="s">
        <v>57</v>
      </c>
      <c r="G11" s="44" t="s">
        <v>58</v>
      </c>
      <c r="H11" s="45" t="s">
        <v>59</v>
      </c>
      <c r="I11" s="28"/>
    </row>
    <row r="12" spans="1:9" ht="14.25" customHeight="1" x14ac:dyDescent="0.2">
      <c r="A12" s="26"/>
      <c r="B12" s="27"/>
      <c r="C12" s="46">
        <v>1</v>
      </c>
      <c r="D12" s="47" t="s">
        <v>60</v>
      </c>
      <c r="E12" s="48">
        <v>1</v>
      </c>
      <c r="F12" s="49">
        <f>+'Servicios de Cabina MCS'!L61</f>
        <v>181169.06977788871</v>
      </c>
      <c r="G12" s="50">
        <f>+'Calculadora MCS Febrero'!$E12*'Calculadora MCS Febrero'!$F12</f>
        <v>181169.06977788871</v>
      </c>
      <c r="H12" s="71">
        <f>+'[3]Calculadora MCS Enero-24'!$C$11</f>
        <v>0</v>
      </c>
      <c r="I12" s="28"/>
    </row>
    <row r="13" spans="1:9" ht="14.25" customHeight="1" x14ac:dyDescent="0.2">
      <c r="A13" s="26"/>
      <c r="B13" s="27"/>
      <c r="C13" s="46">
        <v>2</v>
      </c>
      <c r="D13" s="47" t="s">
        <v>61</v>
      </c>
      <c r="E13" s="52">
        <v>4</v>
      </c>
      <c r="F13" s="49">
        <v>1500</v>
      </c>
      <c r="G13" s="50">
        <f>'Calculadora MCS Febrero'!$E13*'Calculadora MCS Febrero'!$F13</f>
        <v>6000</v>
      </c>
      <c r="H13" s="71">
        <f>+G12-H12</f>
        <v>181169.06977788871</v>
      </c>
      <c r="I13" s="28"/>
    </row>
    <row r="14" spans="1:9" ht="14.25" customHeight="1" x14ac:dyDescent="0.2">
      <c r="A14" s="26"/>
      <c r="B14" s="27"/>
      <c r="C14" s="46">
        <v>3</v>
      </c>
      <c r="D14" s="47" t="s">
        <v>30</v>
      </c>
      <c r="E14" s="55">
        <v>1</v>
      </c>
      <c r="F14" s="49">
        <v>-18965</v>
      </c>
      <c r="G14" s="50">
        <f>'Calculadora MCS Febrero'!$E14*'Calculadora MCS Febrero'!$F14</f>
        <v>-18965</v>
      </c>
      <c r="H14" s="73" t="e">
        <f>+H13/H12</f>
        <v>#DIV/0!</v>
      </c>
      <c r="I14" s="28"/>
    </row>
    <row r="15" spans="1:9" ht="14.25" customHeight="1" x14ac:dyDescent="0.2">
      <c r="A15" s="26"/>
      <c r="B15" s="27"/>
      <c r="C15" s="46">
        <v>4</v>
      </c>
      <c r="D15" s="47" t="s">
        <v>32</v>
      </c>
      <c r="E15" s="55">
        <v>1</v>
      </c>
      <c r="F15" s="49">
        <v>-2252</v>
      </c>
      <c r="G15" s="50">
        <f>'Calculadora MCS Febrero'!$E15*'Calculadora MCS Febrero'!$F15</f>
        <v>-2252</v>
      </c>
      <c r="H15" s="56"/>
      <c r="I15" s="28"/>
    </row>
    <row r="16" spans="1:9" ht="14.25" customHeight="1" x14ac:dyDescent="0.2">
      <c r="A16" s="26"/>
      <c r="B16" s="27"/>
      <c r="C16" s="46">
        <v>5</v>
      </c>
      <c r="D16" s="47" t="s">
        <v>74</v>
      </c>
      <c r="E16" s="55">
        <v>1</v>
      </c>
      <c r="F16" s="49">
        <v>-187.5</v>
      </c>
      <c r="G16" s="50">
        <f>'Calculadora MCS Febrero'!$E16*'Calculadora MCS Febrero'!$F16</f>
        <v>-187.5</v>
      </c>
      <c r="H16" s="56"/>
      <c r="I16" s="28"/>
    </row>
    <row r="17" spans="1:9" ht="14.25" customHeight="1" x14ac:dyDescent="0.2">
      <c r="A17" s="26"/>
      <c r="B17" s="27"/>
      <c r="C17" s="46">
        <v>6</v>
      </c>
      <c r="D17" s="47" t="s">
        <v>34</v>
      </c>
      <c r="E17" s="55">
        <v>1</v>
      </c>
      <c r="F17" s="49">
        <v>-861.79</v>
      </c>
      <c r="G17" s="50">
        <f>'Calculadora MCS Febrero'!$E17*'Calculadora MCS Febrero'!$F17</f>
        <v>-861.79</v>
      </c>
      <c r="H17" s="56"/>
      <c r="I17" s="28"/>
    </row>
    <row r="18" spans="1:9" ht="14.25" customHeight="1" x14ac:dyDescent="0.2">
      <c r="A18" s="26"/>
      <c r="B18" s="27"/>
      <c r="C18" s="46">
        <v>7</v>
      </c>
      <c r="D18" s="47" t="s">
        <v>82</v>
      </c>
      <c r="E18" s="55">
        <v>1</v>
      </c>
      <c r="F18" s="49">
        <v>-2995.63</v>
      </c>
      <c r="G18" s="50">
        <f>'Calculadora MCS Febrero'!$E18*'Calculadora MCS Febrero'!$F18</f>
        <v>-2995.63</v>
      </c>
      <c r="H18" s="56"/>
      <c r="I18" s="28"/>
    </row>
    <row r="19" spans="1:9" ht="14.25" customHeight="1" x14ac:dyDescent="0.2">
      <c r="A19" s="26"/>
      <c r="B19" s="27"/>
      <c r="C19" s="46">
        <v>8</v>
      </c>
      <c r="D19" s="47" t="s">
        <v>65</v>
      </c>
      <c r="E19" s="55">
        <v>1</v>
      </c>
      <c r="F19" s="57">
        <v>-3679.38</v>
      </c>
      <c r="G19" s="50">
        <f>'Calculadora MCS Febrero'!$E19*'Calculadora MCS Febrero'!$F19</f>
        <v>-3679.38</v>
      </c>
      <c r="H19" s="56"/>
      <c r="I19" s="28"/>
    </row>
    <row r="20" spans="1:9" ht="14.25" customHeight="1" x14ac:dyDescent="0.2">
      <c r="A20" s="26"/>
      <c r="B20" s="27"/>
      <c r="C20" s="46"/>
      <c r="D20" s="59"/>
      <c r="E20" s="49"/>
      <c r="F20" s="49"/>
      <c r="G20" s="50"/>
      <c r="H20" s="56"/>
      <c r="I20" s="28"/>
    </row>
    <row r="21" spans="1:9" ht="14.25" customHeight="1" x14ac:dyDescent="0.2">
      <c r="A21" s="26"/>
      <c r="B21" s="27"/>
      <c r="C21" s="58"/>
      <c r="D21" s="59"/>
      <c r="E21" s="59"/>
      <c r="F21" s="60" t="s">
        <v>57</v>
      </c>
      <c r="G21" s="50">
        <f>SUM(G12:G20)</f>
        <v>158227.76977788869</v>
      </c>
      <c r="H21" s="61"/>
      <c r="I21" s="28"/>
    </row>
    <row r="22" spans="1:9" ht="14.25" customHeight="1" x14ac:dyDescent="0.2">
      <c r="A22" s="26"/>
      <c r="B22" s="27"/>
      <c r="C22" s="298"/>
      <c r="D22" s="299"/>
      <c r="E22" s="62"/>
      <c r="F22" s="63"/>
      <c r="G22" s="64"/>
      <c r="H22" s="65"/>
      <c r="I22" s="28"/>
    </row>
    <row r="23" spans="1:9" ht="14.25" customHeight="1" x14ac:dyDescent="0.2">
      <c r="A23" s="26"/>
      <c r="B23" s="66"/>
      <c r="C23" s="290"/>
      <c r="D23" s="291"/>
      <c r="E23" s="67"/>
      <c r="F23" s="68" t="e">
        <f>'Calculadora MCS Febrero'!Saldo_pendiente</f>
        <v>#REF!</v>
      </c>
      <c r="G23" s="69"/>
      <c r="H23" s="69"/>
      <c r="I23" s="70"/>
    </row>
    <row r="24" spans="1:9" ht="14.25" customHeight="1" x14ac:dyDescent="0.2"/>
    <row r="25" spans="1:9" ht="14.25" customHeight="1" x14ac:dyDescent="0.2"/>
    <row r="26" spans="1:9" ht="14.25" customHeight="1" x14ac:dyDescent="0.2"/>
    <row r="27" spans="1:9" ht="14.25" customHeight="1" x14ac:dyDescent="0.2"/>
    <row r="28" spans="1:9" ht="14.25" customHeight="1" x14ac:dyDescent="0.2"/>
    <row r="29" spans="1:9" ht="14.25" customHeight="1" x14ac:dyDescent="0.2"/>
    <row r="30" spans="1:9" ht="14.25" customHeight="1" x14ac:dyDescent="0.2"/>
    <row r="31" spans="1:9" ht="14.25" customHeight="1" x14ac:dyDescent="0.2"/>
    <row r="32" spans="1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4">
    <mergeCell ref="C3:H3"/>
    <mergeCell ref="C4:G4"/>
    <mergeCell ref="C22:D22"/>
    <mergeCell ref="C23:D23"/>
  </mergeCells>
  <pageMargins left="0.7" right="0.7" top="0.75" bottom="0.75" header="0" footer="0"/>
  <pageSetup orientation="landscape"/>
  <drawing r:id="rId1"/>
  <legacyDrawing r:id="rId2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B3:AG998"/>
  <sheetViews>
    <sheetView showGridLines="0" topLeftCell="D33" zoomScale="103" workbookViewId="0">
      <selection activeCell="U64" sqref="U64"/>
    </sheetView>
  </sheetViews>
  <sheetFormatPr baseColWidth="10" defaultColWidth="14.5" defaultRowHeight="15" customHeight="1" outlineLevelCol="1" x14ac:dyDescent="0.2"/>
  <cols>
    <col min="1" max="1" width="5.33203125" customWidth="1"/>
    <col min="2" max="2" width="11.5" customWidth="1"/>
    <col min="3" max="3" width="10.5" customWidth="1"/>
    <col min="4" max="4" width="31.5" customWidth="1"/>
    <col min="5" max="5" width="5.5" customWidth="1"/>
    <col min="6" max="11" width="12.33203125" hidden="1" customWidth="1" outlineLevel="1"/>
    <col min="12" max="12" width="12.33203125" customWidth="1" collapsed="1"/>
    <col min="13" max="19" width="12.33203125" customWidth="1"/>
    <col min="20" max="21" width="13.1640625" bestFit="1" customWidth="1"/>
    <col min="22" max="23" width="12.33203125" customWidth="1"/>
    <col min="24" max="24" width="12.5" customWidth="1"/>
    <col min="25" max="33" width="11.5" customWidth="1"/>
  </cols>
  <sheetData>
    <row r="3" spans="2:33" ht="12" customHeight="1" x14ac:dyDescent="0.2">
      <c r="B3" s="80"/>
      <c r="C3" s="80"/>
      <c r="D3" s="80"/>
      <c r="E3" s="308" t="s">
        <v>83</v>
      </c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10"/>
      <c r="X3" s="80"/>
      <c r="Y3" s="80"/>
      <c r="Z3" s="80"/>
      <c r="AA3" s="80"/>
      <c r="AB3" s="80"/>
      <c r="AC3" s="80"/>
      <c r="AD3" s="80"/>
      <c r="AE3" s="80"/>
      <c r="AF3" s="80"/>
      <c r="AG3" s="80"/>
    </row>
    <row r="4" spans="2:33" ht="12" customHeight="1" x14ac:dyDescent="0.2">
      <c r="B4" s="80"/>
      <c r="C4" s="80"/>
      <c r="D4" s="81"/>
      <c r="E4" s="311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3"/>
      <c r="X4" s="268">
        <v>9.5000000000000001E-2</v>
      </c>
      <c r="Y4" s="80"/>
      <c r="Z4" s="80"/>
      <c r="AA4" s="80"/>
      <c r="AB4" s="80"/>
      <c r="AC4" s="80"/>
      <c r="AD4" s="80"/>
      <c r="AE4" s="80"/>
      <c r="AF4" s="80"/>
      <c r="AG4" s="80"/>
    </row>
    <row r="5" spans="2:33" ht="12" customHeight="1" x14ac:dyDescent="0.2">
      <c r="B5" s="80"/>
      <c r="C5" s="80"/>
      <c r="D5" s="81"/>
      <c r="E5" s="314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315"/>
      <c r="S5" s="315"/>
      <c r="T5" s="315"/>
      <c r="U5" s="315"/>
      <c r="V5" s="315"/>
      <c r="W5" s="316"/>
      <c r="X5" s="80">
        <v>1.095</v>
      </c>
      <c r="Y5" s="80"/>
      <c r="Z5" s="80"/>
      <c r="AA5" s="80"/>
      <c r="AB5" s="80"/>
      <c r="AC5" s="80"/>
      <c r="AD5" s="80"/>
      <c r="AE5" s="80"/>
      <c r="AF5" s="80"/>
      <c r="AG5" s="80"/>
    </row>
    <row r="6" spans="2:33" ht="12" customHeight="1" x14ac:dyDescent="0.2">
      <c r="B6" s="80"/>
      <c r="C6" s="80"/>
      <c r="D6" s="81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</row>
    <row r="7" spans="2:33" ht="11.25" customHeight="1" x14ac:dyDescent="0.2">
      <c r="B7" s="82"/>
      <c r="C7" s="83" t="s">
        <v>249</v>
      </c>
      <c r="D7" s="84"/>
      <c r="E7" s="82"/>
      <c r="F7" s="85">
        <v>45138</v>
      </c>
      <c r="G7" s="85">
        <v>45169</v>
      </c>
      <c r="H7" s="85">
        <v>45199</v>
      </c>
      <c r="I7" s="85">
        <v>45230</v>
      </c>
      <c r="J7" s="85">
        <v>45260</v>
      </c>
      <c r="K7" s="85">
        <v>45291</v>
      </c>
      <c r="L7" s="85">
        <v>45688</v>
      </c>
      <c r="M7" s="85">
        <v>45716</v>
      </c>
      <c r="N7" s="85">
        <v>45747</v>
      </c>
      <c r="O7" s="85">
        <v>45777</v>
      </c>
      <c r="P7" s="85">
        <v>45808</v>
      </c>
      <c r="Q7" s="85">
        <v>45838</v>
      </c>
      <c r="R7" s="85">
        <v>45869</v>
      </c>
      <c r="S7" s="85">
        <v>45900</v>
      </c>
      <c r="T7" s="85">
        <v>45930</v>
      </c>
      <c r="U7" s="85">
        <v>45961</v>
      </c>
      <c r="V7" s="85">
        <v>45991</v>
      </c>
      <c r="W7" s="85">
        <v>46022</v>
      </c>
      <c r="X7" s="86"/>
      <c r="Y7" s="80"/>
      <c r="Z7" s="80"/>
      <c r="AA7" s="80"/>
      <c r="AB7" s="80"/>
      <c r="AC7" s="80"/>
      <c r="AD7" s="80"/>
      <c r="AE7" s="80"/>
      <c r="AF7" s="80"/>
      <c r="AG7" s="80"/>
    </row>
    <row r="8" spans="2:33" ht="11.25" customHeight="1" x14ac:dyDescent="0.2">
      <c r="B8" s="300" t="s">
        <v>84</v>
      </c>
      <c r="C8" s="301"/>
      <c r="D8" s="87" t="s">
        <v>85</v>
      </c>
      <c r="E8" s="88"/>
      <c r="F8" s="89">
        <v>0</v>
      </c>
      <c r="G8" s="89">
        <v>0</v>
      </c>
      <c r="H8" s="89">
        <v>0</v>
      </c>
      <c r="I8" s="89">
        <v>0</v>
      </c>
      <c r="J8" s="89">
        <v>0</v>
      </c>
      <c r="K8" s="89">
        <v>0</v>
      </c>
      <c r="L8" s="89">
        <f>+'Indicadores INC'!P17</f>
        <v>4031</v>
      </c>
      <c r="M8" s="89">
        <f>+'Indicadores INC'!Q17</f>
        <v>3691</v>
      </c>
      <c r="N8" s="89">
        <f>+'Indicadores INC'!R17</f>
        <v>4164</v>
      </c>
      <c r="O8" s="89">
        <f>+'Indicadores INC'!S17</f>
        <v>4046</v>
      </c>
      <c r="P8" s="89">
        <f>+'Indicadores INC'!T17</f>
        <v>4135</v>
      </c>
      <c r="Q8" s="89">
        <f>+'Indicadores INC'!U17</f>
        <v>4052</v>
      </c>
      <c r="R8" s="89">
        <f>+'Indicadores INC'!V17</f>
        <v>4213</v>
      </c>
      <c r="S8" s="89">
        <f>+'Indicadores INC'!W17</f>
        <v>4487</v>
      </c>
      <c r="T8" s="89">
        <f>+'Indicadores INC'!X17</f>
        <v>4306</v>
      </c>
      <c r="U8" s="89">
        <f>+'Indicadores INC'!Y17</f>
        <v>4613</v>
      </c>
      <c r="V8" s="89"/>
      <c r="W8" s="89"/>
      <c r="X8" s="80"/>
      <c r="Z8" s="80"/>
      <c r="AA8" s="80"/>
      <c r="AB8" s="80"/>
      <c r="AC8" s="80"/>
      <c r="AD8" s="80"/>
      <c r="AE8" s="80"/>
      <c r="AF8" s="80"/>
      <c r="AG8" s="80"/>
    </row>
    <row r="9" spans="2:33" ht="11.25" customHeight="1" x14ac:dyDescent="0.2">
      <c r="B9" s="302"/>
      <c r="C9" s="303"/>
      <c r="D9" s="87" t="s">
        <v>86</v>
      </c>
      <c r="E9" s="90"/>
      <c r="F9" s="89">
        <f t="shared" ref="F9:K9" si="0">F8*$E$9</f>
        <v>0</v>
      </c>
      <c r="G9" s="89">
        <f t="shared" si="0"/>
        <v>0</v>
      </c>
      <c r="H9" s="89">
        <f t="shared" si="0"/>
        <v>0</v>
      </c>
      <c r="I9" s="89">
        <f t="shared" si="0"/>
        <v>0</v>
      </c>
      <c r="J9" s="89">
        <f t="shared" si="0"/>
        <v>0</v>
      </c>
      <c r="K9" s="89">
        <f t="shared" si="0"/>
        <v>0</v>
      </c>
      <c r="L9" s="89">
        <f>+'Indicadores INC'!P39+'Indicadores INC'!P77</f>
        <v>22411</v>
      </c>
      <c r="M9" s="89">
        <f>+'Indicadores INC'!Q39+'Indicadores INC'!Q77</f>
        <v>20531</v>
      </c>
      <c r="N9" s="89">
        <f>+'Indicadores INC'!R39+'Indicadores INC'!R77</f>
        <v>23262</v>
      </c>
      <c r="O9" s="89">
        <f>+'Indicadores INC'!S39+'Indicadores INC'!S77</f>
        <v>23477</v>
      </c>
      <c r="P9" s="89">
        <f>+'Indicadores INC'!T39+'Indicadores INC'!T77</f>
        <v>24376</v>
      </c>
      <c r="Q9" s="89">
        <f>+'Indicadores INC'!U39+'Indicadores INC'!U77</f>
        <v>21542</v>
      </c>
      <c r="R9" s="89">
        <f>+'Indicadores INC'!V39+'Indicadores INC'!V77</f>
        <v>21895</v>
      </c>
      <c r="S9" s="89">
        <f>+'Indicadores INC'!W39+'Indicadores INC'!W77</f>
        <v>20521</v>
      </c>
      <c r="T9" s="89">
        <f>+'Indicadores INC'!X39+'Indicadores INC'!X77</f>
        <v>19880</v>
      </c>
      <c r="U9" s="89">
        <f>+'Indicadores INC'!Y39+'Indicadores INC'!Y77</f>
        <v>22001</v>
      </c>
      <c r="V9" s="89"/>
      <c r="W9" s="89"/>
      <c r="X9" s="80"/>
      <c r="Y9" s="80"/>
      <c r="Z9" s="80"/>
      <c r="AA9" s="80"/>
      <c r="AB9" s="80"/>
      <c r="AC9" s="80"/>
      <c r="AD9" s="80"/>
      <c r="AE9" s="80"/>
      <c r="AF9" s="80"/>
      <c r="AG9" s="80"/>
    </row>
    <row r="10" spans="2:33" ht="11.25" customHeight="1" x14ac:dyDescent="0.2">
      <c r="B10" s="304"/>
      <c r="C10" s="305"/>
      <c r="D10" s="87" t="s">
        <v>87</v>
      </c>
      <c r="E10" s="91"/>
      <c r="F10" s="89">
        <f t="shared" ref="F10:K10" si="1">F8*$E$10</f>
        <v>0</v>
      </c>
      <c r="G10" s="89">
        <f t="shared" si="1"/>
        <v>0</v>
      </c>
      <c r="H10" s="89">
        <f t="shared" si="1"/>
        <v>0</v>
      </c>
      <c r="I10" s="89">
        <f t="shared" si="1"/>
        <v>0</v>
      </c>
      <c r="J10" s="89">
        <f t="shared" si="1"/>
        <v>0</v>
      </c>
      <c r="K10" s="89">
        <f t="shared" si="1"/>
        <v>0</v>
      </c>
      <c r="L10" s="89">
        <f>+'Indicadores INC'!P27</f>
        <v>764</v>
      </c>
      <c r="M10" s="89">
        <f>+'Indicadores INC'!Q27</f>
        <v>700</v>
      </c>
      <c r="N10" s="89">
        <f>+'Indicadores INC'!R27</f>
        <v>739</v>
      </c>
      <c r="O10" s="89">
        <f>+'Indicadores INC'!S27</f>
        <v>758</v>
      </c>
      <c r="P10" s="89">
        <f>+'Indicadores INC'!T27</f>
        <v>746</v>
      </c>
      <c r="Q10" s="89">
        <f>+'Indicadores INC'!U27</f>
        <v>787</v>
      </c>
      <c r="R10" s="89">
        <f>+'Indicadores INC'!V27</f>
        <v>686</v>
      </c>
      <c r="S10" s="89">
        <f>+'Indicadores INC'!W27</f>
        <v>772</v>
      </c>
      <c r="T10" s="89">
        <f>+'Indicadores INC'!X27</f>
        <v>710</v>
      </c>
      <c r="U10" s="89">
        <f>+'Indicadores INC'!Y27</f>
        <v>695</v>
      </c>
      <c r="V10" s="89"/>
      <c r="W10" s="89"/>
      <c r="X10" s="80"/>
      <c r="Y10" s="80"/>
      <c r="Z10" s="80"/>
      <c r="AA10" s="80"/>
      <c r="AB10" s="80"/>
      <c r="AC10" s="80"/>
      <c r="AD10" s="80"/>
      <c r="AE10" s="80"/>
      <c r="AF10" s="80"/>
      <c r="AG10" s="80"/>
    </row>
    <row r="11" spans="2:33" ht="11.25" customHeight="1" x14ac:dyDescent="0.2"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</row>
    <row r="12" spans="2:33" ht="11.25" customHeight="1" x14ac:dyDescent="0.2">
      <c r="B12" s="80"/>
      <c r="C12" s="80"/>
      <c r="D12" s="80"/>
      <c r="E12" s="80"/>
      <c r="F12" s="92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</row>
    <row r="13" spans="2:33" ht="11.25" customHeight="1" x14ac:dyDescent="0.2">
      <c r="B13" s="80"/>
      <c r="C13" s="80"/>
      <c r="D13" s="80"/>
      <c r="E13" s="80"/>
      <c r="F13" s="92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</row>
    <row r="14" spans="2:33" ht="11.25" customHeight="1" x14ac:dyDescent="0.2">
      <c r="B14" s="80"/>
      <c r="C14" s="80"/>
      <c r="D14" s="80"/>
      <c r="E14" s="80"/>
      <c r="F14" s="92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</row>
    <row r="15" spans="2:33" ht="11.25" customHeight="1" x14ac:dyDescent="0.2">
      <c r="B15" s="317" t="s">
        <v>88</v>
      </c>
      <c r="C15" s="93"/>
      <c r="D15" s="94"/>
      <c r="E15" s="95"/>
      <c r="F15" s="96">
        <f t="shared" ref="F15:W15" si="2">F8</f>
        <v>0</v>
      </c>
      <c r="G15" s="96">
        <f t="shared" si="2"/>
        <v>0</v>
      </c>
      <c r="H15" s="96">
        <f t="shared" si="2"/>
        <v>0</v>
      </c>
      <c r="I15" s="96">
        <f t="shared" si="2"/>
        <v>0</v>
      </c>
      <c r="J15" s="96">
        <f t="shared" si="2"/>
        <v>0</v>
      </c>
      <c r="K15" s="96">
        <f t="shared" si="2"/>
        <v>0</v>
      </c>
      <c r="L15" s="245">
        <f t="shared" si="2"/>
        <v>4031</v>
      </c>
      <c r="M15" s="245">
        <f t="shared" si="2"/>
        <v>3691</v>
      </c>
      <c r="N15" s="245">
        <f t="shared" si="2"/>
        <v>4164</v>
      </c>
      <c r="O15" s="245">
        <f t="shared" si="2"/>
        <v>4046</v>
      </c>
      <c r="P15" s="245">
        <f t="shared" si="2"/>
        <v>4135</v>
      </c>
      <c r="Q15" s="245">
        <f t="shared" si="2"/>
        <v>4052</v>
      </c>
      <c r="R15" s="245">
        <f t="shared" si="2"/>
        <v>4213</v>
      </c>
      <c r="S15" s="245">
        <f t="shared" si="2"/>
        <v>4487</v>
      </c>
      <c r="T15" s="245">
        <f>T8</f>
        <v>4306</v>
      </c>
      <c r="U15" s="245">
        <f t="shared" si="2"/>
        <v>4613</v>
      </c>
      <c r="V15" s="245">
        <f t="shared" si="2"/>
        <v>0</v>
      </c>
      <c r="W15" s="246">
        <f t="shared" si="2"/>
        <v>0</v>
      </c>
      <c r="X15" s="80"/>
      <c r="Y15" s="80"/>
      <c r="Z15" s="80"/>
      <c r="AA15" s="80"/>
      <c r="AB15" s="80"/>
      <c r="AC15" s="80"/>
      <c r="AD15" s="80"/>
      <c r="AE15" s="80"/>
      <c r="AF15" s="80"/>
      <c r="AG15" s="80"/>
    </row>
    <row r="16" spans="2:33" ht="11.25" customHeight="1" x14ac:dyDescent="0.2">
      <c r="B16" s="318"/>
      <c r="C16" s="320" t="s">
        <v>89</v>
      </c>
      <c r="D16" s="307"/>
      <c r="E16" s="80"/>
      <c r="F16" s="321" t="s">
        <v>90</v>
      </c>
      <c r="G16" s="322"/>
      <c r="H16" s="322"/>
      <c r="I16" s="322"/>
      <c r="J16" s="322"/>
      <c r="K16" s="322"/>
      <c r="L16" s="322"/>
      <c r="M16" s="322"/>
      <c r="N16" s="322"/>
      <c r="O16" s="322"/>
      <c r="P16" s="322"/>
      <c r="Q16" s="322"/>
      <c r="R16" s="322"/>
      <c r="S16" s="322"/>
      <c r="T16" s="322"/>
      <c r="U16" s="322"/>
      <c r="V16" s="322"/>
      <c r="W16" s="307"/>
      <c r="X16" s="80"/>
      <c r="Y16" s="80"/>
      <c r="Z16" s="80"/>
      <c r="AA16" s="80"/>
      <c r="AB16" s="80"/>
      <c r="AC16" s="80"/>
      <c r="AD16" s="80"/>
      <c r="AE16" s="80"/>
      <c r="AF16" s="80"/>
      <c r="AG16" s="80"/>
    </row>
    <row r="17" spans="2:33" ht="11.25" customHeight="1" x14ac:dyDescent="0.2">
      <c r="B17" s="318"/>
      <c r="C17" s="97">
        <v>0</v>
      </c>
      <c r="D17" s="98">
        <v>50</v>
      </c>
      <c r="E17" s="80"/>
      <c r="F17" s="99">
        <f t="shared" ref="F17:W17" si="3">IF(F$15&gt;$D17,$D17-$C17,IF(AND($C17&lt;F$15,F$15&lt;$D17),F$15-$C17,IF(F$15=$D17,$D17-$C17,0)))</f>
        <v>0</v>
      </c>
      <c r="G17" s="99">
        <f t="shared" si="3"/>
        <v>0</v>
      </c>
      <c r="H17" s="99">
        <f t="shared" si="3"/>
        <v>0</v>
      </c>
      <c r="I17" s="99">
        <f t="shared" si="3"/>
        <v>0</v>
      </c>
      <c r="J17" s="99">
        <f t="shared" si="3"/>
        <v>0</v>
      </c>
      <c r="K17" s="99">
        <f t="shared" si="3"/>
        <v>0</v>
      </c>
      <c r="L17" s="270">
        <f t="shared" si="3"/>
        <v>50</v>
      </c>
      <c r="M17" s="99">
        <f t="shared" si="3"/>
        <v>50</v>
      </c>
      <c r="N17" s="99">
        <f t="shared" si="3"/>
        <v>50</v>
      </c>
      <c r="O17" s="99">
        <f t="shared" si="3"/>
        <v>50</v>
      </c>
      <c r="P17" s="99">
        <f t="shared" si="3"/>
        <v>50</v>
      </c>
      <c r="Q17" s="99">
        <f t="shared" si="3"/>
        <v>50</v>
      </c>
      <c r="R17" s="99">
        <f t="shared" si="3"/>
        <v>50</v>
      </c>
      <c r="S17" s="99">
        <f t="shared" si="3"/>
        <v>50</v>
      </c>
      <c r="T17" s="99">
        <f t="shared" si="3"/>
        <v>50</v>
      </c>
      <c r="U17" s="99">
        <f t="shared" si="3"/>
        <v>50</v>
      </c>
      <c r="V17" s="99">
        <f t="shared" si="3"/>
        <v>0</v>
      </c>
      <c r="W17" s="99">
        <f t="shared" si="3"/>
        <v>0</v>
      </c>
      <c r="X17" s="80"/>
      <c r="Y17" s="80"/>
      <c r="Z17" s="80"/>
      <c r="AA17" s="80"/>
      <c r="AB17" s="80"/>
      <c r="AC17" s="80"/>
      <c r="AD17" s="80"/>
      <c r="AE17" s="80"/>
      <c r="AF17" s="80"/>
      <c r="AG17" s="80"/>
    </row>
    <row r="18" spans="2:33" ht="11.25" customHeight="1" x14ac:dyDescent="0.2">
      <c r="B18" s="318"/>
      <c r="C18" s="97">
        <f t="shared" ref="C18:C26" si="4">D17</f>
        <v>50</v>
      </c>
      <c r="D18" s="98">
        <v>500</v>
      </c>
      <c r="E18" s="80"/>
      <c r="F18" s="99">
        <f t="shared" ref="F18:W18" si="5">IF(F$15&gt;$D18,$D18-$C18,IF(AND($C18&lt;F$15,F$15&lt;$D18),F$15-$C18,IF(F$15=$D18,$D18-$C18,0)))</f>
        <v>0</v>
      </c>
      <c r="G18" s="99">
        <f t="shared" si="5"/>
        <v>0</v>
      </c>
      <c r="H18" s="99">
        <f t="shared" si="5"/>
        <v>0</v>
      </c>
      <c r="I18" s="99">
        <f t="shared" si="5"/>
        <v>0</v>
      </c>
      <c r="J18" s="99">
        <f t="shared" si="5"/>
        <v>0</v>
      </c>
      <c r="K18" s="99">
        <f t="shared" si="5"/>
        <v>0</v>
      </c>
      <c r="L18" s="270">
        <f t="shared" si="5"/>
        <v>450</v>
      </c>
      <c r="M18" s="99">
        <f t="shared" si="5"/>
        <v>450</v>
      </c>
      <c r="N18" s="99">
        <f t="shared" si="5"/>
        <v>450</v>
      </c>
      <c r="O18" s="99">
        <f t="shared" si="5"/>
        <v>450</v>
      </c>
      <c r="P18" s="99">
        <f t="shared" si="5"/>
        <v>450</v>
      </c>
      <c r="Q18" s="99">
        <f t="shared" si="5"/>
        <v>450</v>
      </c>
      <c r="R18" s="99">
        <f t="shared" si="5"/>
        <v>450</v>
      </c>
      <c r="S18" s="99">
        <f t="shared" si="5"/>
        <v>450</v>
      </c>
      <c r="T18" s="99">
        <f t="shared" si="5"/>
        <v>450</v>
      </c>
      <c r="U18" s="99">
        <f t="shared" si="5"/>
        <v>450</v>
      </c>
      <c r="V18" s="99">
        <f t="shared" si="5"/>
        <v>0</v>
      </c>
      <c r="W18" s="99">
        <f t="shared" si="5"/>
        <v>0</v>
      </c>
      <c r="X18" s="80"/>
      <c r="Y18" s="80"/>
      <c r="Z18" s="80"/>
      <c r="AA18" s="80"/>
      <c r="AB18" s="80"/>
      <c r="AC18" s="80"/>
      <c r="AD18" s="80"/>
      <c r="AE18" s="80"/>
      <c r="AF18" s="80"/>
      <c r="AG18" s="80"/>
    </row>
    <row r="19" spans="2:33" ht="11.25" customHeight="1" x14ac:dyDescent="0.2">
      <c r="B19" s="318"/>
      <c r="C19" s="97">
        <f t="shared" si="4"/>
        <v>500</v>
      </c>
      <c r="D19" s="98">
        <v>1000</v>
      </c>
      <c r="E19" s="80"/>
      <c r="F19" s="99">
        <f t="shared" ref="F19:W19" si="6">IF(F$15&gt;$D19,$D19-$C19,IF(AND($C19&lt;F$15,F$15&lt;$D19),F$15-$C19,IF(F$15=$D19,$D19-$C19,0)))</f>
        <v>0</v>
      </c>
      <c r="G19" s="99">
        <f t="shared" si="6"/>
        <v>0</v>
      </c>
      <c r="H19" s="99">
        <f t="shared" si="6"/>
        <v>0</v>
      </c>
      <c r="I19" s="99">
        <f t="shared" si="6"/>
        <v>0</v>
      </c>
      <c r="J19" s="99">
        <f t="shared" si="6"/>
        <v>0</v>
      </c>
      <c r="K19" s="99">
        <f t="shared" si="6"/>
        <v>0</v>
      </c>
      <c r="L19" s="270">
        <f t="shared" si="6"/>
        <v>500</v>
      </c>
      <c r="M19" s="99">
        <f t="shared" si="6"/>
        <v>500</v>
      </c>
      <c r="N19" s="99">
        <f t="shared" si="6"/>
        <v>500</v>
      </c>
      <c r="O19" s="99">
        <f t="shared" si="6"/>
        <v>500</v>
      </c>
      <c r="P19" s="99">
        <f t="shared" si="6"/>
        <v>500</v>
      </c>
      <c r="Q19" s="99">
        <f t="shared" si="6"/>
        <v>500</v>
      </c>
      <c r="R19" s="99">
        <f t="shared" si="6"/>
        <v>500</v>
      </c>
      <c r="S19" s="99">
        <f t="shared" si="6"/>
        <v>500</v>
      </c>
      <c r="T19" s="99">
        <f t="shared" si="6"/>
        <v>500</v>
      </c>
      <c r="U19" s="99">
        <f t="shared" si="6"/>
        <v>500</v>
      </c>
      <c r="V19" s="99">
        <f t="shared" si="6"/>
        <v>0</v>
      </c>
      <c r="W19" s="99">
        <f t="shared" si="6"/>
        <v>0</v>
      </c>
      <c r="X19" s="80"/>
      <c r="Y19" s="80"/>
      <c r="Z19" s="80"/>
      <c r="AA19" s="80"/>
      <c r="AB19" s="80"/>
      <c r="AC19" s="80"/>
      <c r="AD19" s="80"/>
      <c r="AE19" s="80"/>
      <c r="AF19" s="80"/>
      <c r="AG19" s="80"/>
    </row>
    <row r="20" spans="2:33" ht="11.25" customHeight="1" x14ac:dyDescent="0.2">
      <c r="B20" s="318"/>
      <c r="C20" s="97">
        <f t="shared" si="4"/>
        <v>1000</v>
      </c>
      <c r="D20" s="98">
        <v>2000</v>
      </c>
      <c r="E20" s="80"/>
      <c r="F20" s="99">
        <f t="shared" ref="F20:W20" si="7">IF(F$15&gt;$D20,$D20-$C20,IF(AND($C20&lt;F$15,F$15&lt;$D20),F$15-$C20,IF(F$15=$D20,$D20-$C20,0)))</f>
        <v>0</v>
      </c>
      <c r="G20" s="99">
        <f t="shared" si="7"/>
        <v>0</v>
      </c>
      <c r="H20" s="99">
        <f t="shared" si="7"/>
        <v>0</v>
      </c>
      <c r="I20" s="99">
        <f t="shared" si="7"/>
        <v>0</v>
      </c>
      <c r="J20" s="99">
        <f t="shared" si="7"/>
        <v>0</v>
      </c>
      <c r="K20" s="99">
        <f t="shared" si="7"/>
        <v>0</v>
      </c>
      <c r="L20" s="270">
        <f t="shared" si="7"/>
        <v>1000</v>
      </c>
      <c r="M20" s="99">
        <f t="shared" si="7"/>
        <v>1000</v>
      </c>
      <c r="N20" s="99">
        <f t="shared" si="7"/>
        <v>1000</v>
      </c>
      <c r="O20" s="99">
        <f t="shared" si="7"/>
        <v>1000</v>
      </c>
      <c r="P20" s="99">
        <f t="shared" si="7"/>
        <v>1000</v>
      </c>
      <c r="Q20" s="99">
        <f t="shared" si="7"/>
        <v>1000</v>
      </c>
      <c r="R20" s="99">
        <f t="shared" si="7"/>
        <v>1000</v>
      </c>
      <c r="S20" s="99">
        <f t="shared" si="7"/>
        <v>1000</v>
      </c>
      <c r="T20" s="99">
        <f t="shared" si="7"/>
        <v>1000</v>
      </c>
      <c r="U20" s="99">
        <f t="shared" si="7"/>
        <v>1000</v>
      </c>
      <c r="V20" s="99">
        <f t="shared" si="7"/>
        <v>0</v>
      </c>
      <c r="W20" s="99">
        <f t="shared" si="7"/>
        <v>0</v>
      </c>
      <c r="X20" s="80"/>
      <c r="Y20" s="80"/>
      <c r="Z20" s="80"/>
      <c r="AA20" s="80"/>
      <c r="AB20" s="80"/>
      <c r="AC20" s="80"/>
      <c r="AD20" s="80"/>
      <c r="AE20" s="80"/>
      <c r="AF20" s="80"/>
      <c r="AG20" s="80"/>
    </row>
    <row r="21" spans="2:33" ht="11.25" customHeight="1" x14ac:dyDescent="0.2">
      <c r="B21" s="318"/>
      <c r="C21" s="97">
        <f t="shared" si="4"/>
        <v>2000</v>
      </c>
      <c r="D21" s="98">
        <v>3000</v>
      </c>
      <c r="E21" s="80"/>
      <c r="F21" s="99">
        <f t="shared" ref="F21:W21" si="8">IF(F$15&gt;$D21,$D21-$C21,IF(AND($C21&lt;F$15,F$15&lt;$D21),F$15-$C21,IF(F$15=$D21,$D21-$C21,0)))</f>
        <v>0</v>
      </c>
      <c r="G21" s="99">
        <f t="shared" si="8"/>
        <v>0</v>
      </c>
      <c r="H21" s="99">
        <f t="shared" si="8"/>
        <v>0</v>
      </c>
      <c r="I21" s="99">
        <f t="shared" si="8"/>
        <v>0</v>
      </c>
      <c r="J21" s="99">
        <f t="shared" si="8"/>
        <v>0</v>
      </c>
      <c r="K21" s="99">
        <f t="shared" si="8"/>
        <v>0</v>
      </c>
      <c r="L21" s="270">
        <f t="shared" si="8"/>
        <v>1000</v>
      </c>
      <c r="M21" s="99">
        <f t="shared" si="8"/>
        <v>1000</v>
      </c>
      <c r="N21" s="99">
        <f t="shared" si="8"/>
        <v>1000</v>
      </c>
      <c r="O21" s="99">
        <f t="shared" si="8"/>
        <v>1000</v>
      </c>
      <c r="P21" s="99">
        <f t="shared" si="8"/>
        <v>1000</v>
      </c>
      <c r="Q21" s="99">
        <f t="shared" si="8"/>
        <v>1000</v>
      </c>
      <c r="R21" s="99">
        <f t="shared" si="8"/>
        <v>1000</v>
      </c>
      <c r="S21" s="99">
        <f t="shared" si="8"/>
        <v>1000</v>
      </c>
      <c r="T21" s="99">
        <f t="shared" si="8"/>
        <v>1000</v>
      </c>
      <c r="U21" s="99">
        <f t="shared" si="8"/>
        <v>1000</v>
      </c>
      <c r="V21" s="99">
        <f t="shared" si="8"/>
        <v>0</v>
      </c>
      <c r="W21" s="99">
        <f t="shared" si="8"/>
        <v>0</v>
      </c>
      <c r="X21" s="80"/>
      <c r="Y21" s="80"/>
      <c r="Z21" s="80"/>
      <c r="AA21" s="80"/>
      <c r="AB21" s="80"/>
      <c r="AC21" s="80"/>
      <c r="AD21" s="80"/>
      <c r="AE21" s="80"/>
      <c r="AF21" s="80"/>
      <c r="AG21" s="80"/>
    </row>
    <row r="22" spans="2:33" ht="11.25" customHeight="1" x14ac:dyDescent="0.2">
      <c r="B22" s="318"/>
      <c r="C22" s="97">
        <f t="shared" si="4"/>
        <v>3000</v>
      </c>
      <c r="D22" s="98">
        <v>6000</v>
      </c>
      <c r="E22" s="80"/>
      <c r="F22" s="99">
        <f t="shared" ref="F22:W22" si="9">IF(F$15&gt;$D22,$D22-$C22,IF(AND($C22&lt;F$15,F$15&lt;$D22),F$15-$C22,IF(F$15=$D22,$D22-$C22,0)))</f>
        <v>0</v>
      </c>
      <c r="G22" s="99">
        <f t="shared" si="9"/>
        <v>0</v>
      </c>
      <c r="H22" s="99">
        <f t="shared" si="9"/>
        <v>0</v>
      </c>
      <c r="I22" s="99">
        <f t="shared" si="9"/>
        <v>0</v>
      </c>
      <c r="J22" s="99">
        <f t="shared" si="9"/>
        <v>0</v>
      </c>
      <c r="K22" s="99">
        <f t="shared" si="9"/>
        <v>0</v>
      </c>
      <c r="L22" s="270">
        <f t="shared" si="9"/>
        <v>1031</v>
      </c>
      <c r="M22" s="99">
        <f t="shared" si="9"/>
        <v>691</v>
      </c>
      <c r="N22" s="99">
        <f t="shared" si="9"/>
        <v>1164</v>
      </c>
      <c r="O22" s="99">
        <f t="shared" si="9"/>
        <v>1046</v>
      </c>
      <c r="P22" s="99">
        <f t="shared" si="9"/>
        <v>1135</v>
      </c>
      <c r="Q22" s="99">
        <f t="shared" si="9"/>
        <v>1052</v>
      </c>
      <c r="R22" s="99">
        <f t="shared" si="9"/>
        <v>1213</v>
      </c>
      <c r="S22" s="99">
        <f t="shared" si="9"/>
        <v>1487</v>
      </c>
      <c r="T22" s="99">
        <f t="shared" si="9"/>
        <v>1306</v>
      </c>
      <c r="U22" s="99">
        <f t="shared" si="9"/>
        <v>1613</v>
      </c>
      <c r="V22" s="99">
        <f t="shared" si="9"/>
        <v>0</v>
      </c>
      <c r="W22" s="99">
        <f t="shared" si="9"/>
        <v>0</v>
      </c>
      <c r="X22" s="80"/>
      <c r="Y22" s="80"/>
      <c r="Z22" s="80"/>
      <c r="AA22" s="80"/>
      <c r="AB22" s="80"/>
      <c r="AC22" s="80"/>
      <c r="AD22" s="80"/>
      <c r="AE22" s="80"/>
      <c r="AF22" s="80"/>
      <c r="AG22" s="80"/>
    </row>
    <row r="23" spans="2:33" ht="11.25" customHeight="1" x14ac:dyDescent="0.2">
      <c r="B23" s="318"/>
      <c r="C23" s="97">
        <f t="shared" si="4"/>
        <v>6000</v>
      </c>
      <c r="D23" s="98">
        <v>9000</v>
      </c>
      <c r="E23" s="80"/>
      <c r="F23" s="99">
        <f t="shared" ref="F23:W23" si="10">IF(F$15&gt;$D23,$D23-$C23,IF(AND($C23&lt;F$15,F$15&lt;$D23),F$15-$C23,IF(F$15=$D23,$D23-$C23,0)))</f>
        <v>0</v>
      </c>
      <c r="G23" s="99">
        <f t="shared" si="10"/>
        <v>0</v>
      </c>
      <c r="H23" s="99">
        <f t="shared" si="10"/>
        <v>0</v>
      </c>
      <c r="I23" s="99">
        <f t="shared" si="10"/>
        <v>0</v>
      </c>
      <c r="J23" s="99">
        <f t="shared" si="10"/>
        <v>0</v>
      </c>
      <c r="K23" s="99">
        <f t="shared" si="10"/>
        <v>0</v>
      </c>
      <c r="L23" s="99">
        <f t="shared" si="10"/>
        <v>0</v>
      </c>
      <c r="M23" s="99">
        <f t="shared" si="10"/>
        <v>0</v>
      </c>
      <c r="N23" s="99">
        <f t="shared" si="10"/>
        <v>0</v>
      </c>
      <c r="O23" s="99">
        <f t="shared" si="10"/>
        <v>0</v>
      </c>
      <c r="P23" s="99">
        <f t="shared" si="10"/>
        <v>0</v>
      </c>
      <c r="Q23" s="99">
        <f t="shared" si="10"/>
        <v>0</v>
      </c>
      <c r="R23" s="99">
        <f t="shared" si="10"/>
        <v>0</v>
      </c>
      <c r="S23" s="99">
        <f t="shared" si="10"/>
        <v>0</v>
      </c>
      <c r="T23" s="99">
        <f t="shared" si="10"/>
        <v>0</v>
      </c>
      <c r="U23" s="99">
        <f t="shared" si="10"/>
        <v>0</v>
      </c>
      <c r="V23" s="99">
        <f t="shared" si="10"/>
        <v>0</v>
      </c>
      <c r="W23" s="99">
        <f t="shared" si="10"/>
        <v>0</v>
      </c>
      <c r="X23" s="80"/>
      <c r="Y23" s="80"/>
      <c r="Z23" s="80"/>
      <c r="AA23" s="80"/>
      <c r="AB23" s="80"/>
      <c r="AC23" s="80"/>
      <c r="AD23" s="80"/>
      <c r="AE23" s="80"/>
      <c r="AF23" s="80"/>
      <c r="AG23" s="80"/>
    </row>
    <row r="24" spans="2:33" ht="11.25" customHeight="1" x14ac:dyDescent="0.2">
      <c r="B24" s="318"/>
      <c r="C24" s="97">
        <f t="shared" si="4"/>
        <v>9000</v>
      </c>
      <c r="D24" s="98">
        <v>12000</v>
      </c>
      <c r="E24" s="80"/>
      <c r="F24" s="99">
        <f t="shared" ref="F24:W24" si="11">IF(F$15&gt;$D24,$D24-$C24,IF(AND($C24&lt;F$15,F$15&lt;$D24),F$15-$C24,IF(F$15=$D24,$D24-$C24,0)))</f>
        <v>0</v>
      </c>
      <c r="G24" s="99">
        <f t="shared" si="11"/>
        <v>0</v>
      </c>
      <c r="H24" s="99">
        <f t="shared" si="11"/>
        <v>0</v>
      </c>
      <c r="I24" s="99">
        <f t="shared" si="11"/>
        <v>0</v>
      </c>
      <c r="J24" s="99">
        <f t="shared" si="11"/>
        <v>0</v>
      </c>
      <c r="K24" s="99">
        <f t="shared" si="11"/>
        <v>0</v>
      </c>
      <c r="L24" s="99">
        <f t="shared" si="11"/>
        <v>0</v>
      </c>
      <c r="M24" s="99">
        <f t="shared" si="11"/>
        <v>0</v>
      </c>
      <c r="N24" s="99">
        <f t="shared" si="11"/>
        <v>0</v>
      </c>
      <c r="O24" s="99">
        <f t="shared" si="11"/>
        <v>0</v>
      </c>
      <c r="P24" s="99">
        <f t="shared" si="11"/>
        <v>0</v>
      </c>
      <c r="Q24" s="99">
        <f t="shared" si="11"/>
        <v>0</v>
      </c>
      <c r="R24" s="99">
        <f t="shared" si="11"/>
        <v>0</v>
      </c>
      <c r="S24" s="99">
        <f t="shared" si="11"/>
        <v>0</v>
      </c>
      <c r="T24" s="99">
        <f t="shared" si="11"/>
        <v>0</v>
      </c>
      <c r="U24" s="99">
        <f t="shared" si="11"/>
        <v>0</v>
      </c>
      <c r="V24" s="99">
        <f t="shared" si="11"/>
        <v>0</v>
      </c>
      <c r="W24" s="99">
        <f t="shared" si="11"/>
        <v>0</v>
      </c>
      <c r="X24" s="80"/>
      <c r="Y24" s="80"/>
      <c r="Z24" s="80"/>
      <c r="AA24" s="80"/>
      <c r="AB24" s="80"/>
      <c r="AC24" s="80"/>
      <c r="AD24" s="80"/>
      <c r="AE24" s="80"/>
      <c r="AF24" s="80"/>
      <c r="AG24" s="80"/>
    </row>
    <row r="25" spans="2:33" ht="11.25" customHeight="1" x14ac:dyDescent="0.2">
      <c r="B25" s="318"/>
      <c r="C25" s="97">
        <f t="shared" si="4"/>
        <v>12000</v>
      </c>
      <c r="D25" s="98">
        <v>15000</v>
      </c>
      <c r="E25" s="80"/>
      <c r="F25" s="99">
        <f t="shared" ref="F25:W25" si="12">IF(F$15&gt;$D25,$D25-$C25,IF(AND($C25&lt;F$15,F$15&lt;$D25),F$15-$C25,IF(F$15=$D25,$D25-$C25,0)))</f>
        <v>0</v>
      </c>
      <c r="G25" s="99">
        <f t="shared" si="12"/>
        <v>0</v>
      </c>
      <c r="H25" s="99">
        <f t="shared" si="12"/>
        <v>0</v>
      </c>
      <c r="I25" s="99">
        <f t="shared" si="12"/>
        <v>0</v>
      </c>
      <c r="J25" s="99">
        <f t="shared" si="12"/>
        <v>0</v>
      </c>
      <c r="K25" s="99">
        <f t="shared" si="12"/>
        <v>0</v>
      </c>
      <c r="L25" s="99">
        <f t="shared" si="12"/>
        <v>0</v>
      </c>
      <c r="M25" s="99">
        <f t="shared" si="12"/>
        <v>0</v>
      </c>
      <c r="N25" s="99">
        <f t="shared" si="12"/>
        <v>0</v>
      </c>
      <c r="O25" s="99">
        <f t="shared" si="12"/>
        <v>0</v>
      </c>
      <c r="P25" s="99">
        <f t="shared" si="12"/>
        <v>0</v>
      </c>
      <c r="Q25" s="99">
        <f t="shared" si="12"/>
        <v>0</v>
      </c>
      <c r="R25" s="99">
        <f t="shared" si="12"/>
        <v>0</v>
      </c>
      <c r="S25" s="99">
        <f t="shared" si="12"/>
        <v>0</v>
      </c>
      <c r="T25" s="99">
        <f t="shared" si="12"/>
        <v>0</v>
      </c>
      <c r="U25" s="99">
        <f t="shared" si="12"/>
        <v>0</v>
      </c>
      <c r="V25" s="99">
        <f t="shared" si="12"/>
        <v>0</v>
      </c>
      <c r="W25" s="99">
        <f t="shared" si="12"/>
        <v>0</v>
      </c>
      <c r="X25" s="80"/>
      <c r="Y25" s="80"/>
      <c r="Z25" s="80"/>
      <c r="AA25" s="80"/>
      <c r="AB25" s="80"/>
      <c r="AC25" s="80"/>
      <c r="AD25" s="80"/>
      <c r="AE25" s="80"/>
      <c r="AF25" s="80"/>
      <c r="AG25" s="80"/>
    </row>
    <row r="26" spans="2:33" ht="11.25" customHeight="1" x14ac:dyDescent="0.2">
      <c r="B26" s="318"/>
      <c r="C26" s="97">
        <f t="shared" si="4"/>
        <v>15000</v>
      </c>
      <c r="D26" s="100">
        <v>200000</v>
      </c>
      <c r="E26" s="80"/>
      <c r="F26" s="99">
        <f t="shared" ref="F26:W26" si="13">IF(F$15&gt;$D26,$D26-$C26,IF(AND($C26&lt;F$15,F$15&lt;$D26),F$15-$C26,IF(F$15&gt;$C26,F$15-$C26,IF(F$15=$D26,$D26-$C26,0))))</f>
        <v>0</v>
      </c>
      <c r="G26" s="99">
        <f t="shared" si="13"/>
        <v>0</v>
      </c>
      <c r="H26" s="99">
        <f t="shared" si="13"/>
        <v>0</v>
      </c>
      <c r="I26" s="99">
        <f t="shared" si="13"/>
        <v>0</v>
      </c>
      <c r="J26" s="99">
        <f t="shared" si="13"/>
        <v>0</v>
      </c>
      <c r="K26" s="99">
        <f t="shared" si="13"/>
        <v>0</v>
      </c>
      <c r="L26" s="99">
        <f t="shared" si="13"/>
        <v>0</v>
      </c>
      <c r="M26" s="99">
        <f t="shared" si="13"/>
        <v>0</v>
      </c>
      <c r="N26" s="99">
        <f t="shared" si="13"/>
        <v>0</v>
      </c>
      <c r="O26" s="99">
        <f t="shared" si="13"/>
        <v>0</v>
      </c>
      <c r="P26" s="99">
        <f t="shared" si="13"/>
        <v>0</v>
      </c>
      <c r="Q26" s="99">
        <f t="shared" si="13"/>
        <v>0</v>
      </c>
      <c r="R26" s="99">
        <f t="shared" si="13"/>
        <v>0</v>
      </c>
      <c r="S26" s="99">
        <f t="shared" si="13"/>
        <v>0</v>
      </c>
      <c r="T26" s="99">
        <f t="shared" si="13"/>
        <v>0</v>
      </c>
      <c r="U26" s="99">
        <f t="shared" si="13"/>
        <v>0</v>
      </c>
      <c r="V26" s="99">
        <f t="shared" si="13"/>
        <v>0</v>
      </c>
      <c r="W26" s="99">
        <f t="shared" si="13"/>
        <v>0</v>
      </c>
      <c r="X26" s="80"/>
      <c r="Y26" s="80"/>
      <c r="Z26" s="80"/>
      <c r="AA26" s="80"/>
      <c r="AB26" s="80"/>
      <c r="AC26" s="80"/>
      <c r="AD26" s="80"/>
      <c r="AE26" s="80"/>
      <c r="AF26" s="80"/>
      <c r="AG26" s="80"/>
    </row>
    <row r="27" spans="2:33" ht="11.25" customHeight="1" x14ac:dyDescent="0.2">
      <c r="B27" s="318"/>
      <c r="C27" s="101"/>
      <c r="D27" s="102"/>
      <c r="E27" s="80"/>
      <c r="F27" s="103">
        <f t="shared" ref="F27:W27" si="14">F9</f>
        <v>0</v>
      </c>
      <c r="G27" s="103">
        <f t="shared" si="14"/>
        <v>0</v>
      </c>
      <c r="H27" s="103">
        <f t="shared" si="14"/>
        <v>0</v>
      </c>
      <c r="I27" s="103">
        <f t="shared" si="14"/>
        <v>0</v>
      </c>
      <c r="J27" s="103">
        <f t="shared" si="14"/>
        <v>0</v>
      </c>
      <c r="K27" s="103">
        <f t="shared" si="14"/>
        <v>0</v>
      </c>
      <c r="L27" s="244">
        <f t="shared" si="14"/>
        <v>22411</v>
      </c>
      <c r="M27" s="244">
        <f t="shared" si="14"/>
        <v>20531</v>
      </c>
      <c r="N27" s="244">
        <f t="shared" si="14"/>
        <v>23262</v>
      </c>
      <c r="O27" s="244">
        <f t="shared" si="14"/>
        <v>23477</v>
      </c>
      <c r="P27" s="244">
        <f t="shared" si="14"/>
        <v>24376</v>
      </c>
      <c r="Q27" s="244">
        <f t="shared" si="14"/>
        <v>21542</v>
      </c>
      <c r="R27" s="244">
        <f t="shared" si="14"/>
        <v>21895</v>
      </c>
      <c r="S27" s="244">
        <f t="shared" si="14"/>
        <v>20521</v>
      </c>
      <c r="T27" s="244">
        <f>T9</f>
        <v>19880</v>
      </c>
      <c r="U27" s="244">
        <f t="shared" si="14"/>
        <v>22001</v>
      </c>
      <c r="V27" s="244">
        <f t="shared" si="14"/>
        <v>0</v>
      </c>
      <c r="W27" s="244">
        <f t="shared" si="14"/>
        <v>0</v>
      </c>
      <c r="X27" s="80"/>
      <c r="Y27" s="80"/>
      <c r="Z27" s="80"/>
      <c r="AA27" s="80"/>
      <c r="AB27" s="80"/>
      <c r="AC27" s="80"/>
      <c r="AD27" s="80"/>
      <c r="AE27" s="80"/>
      <c r="AF27" s="80"/>
      <c r="AG27" s="80"/>
    </row>
    <row r="28" spans="2:33" ht="11.25" customHeight="1" x14ac:dyDescent="0.2">
      <c r="B28" s="318"/>
      <c r="C28" s="306" t="s">
        <v>91</v>
      </c>
      <c r="D28" s="307"/>
      <c r="E28" s="80"/>
      <c r="F28" s="323" t="s">
        <v>92</v>
      </c>
      <c r="G28" s="322"/>
      <c r="H28" s="322"/>
      <c r="I28" s="322"/>
      <c r="J28" s="322"/>
      <c r="K28" s="322"/>
      <c r="L28" s="322"/>
      <c r="M28" s="322"/>
      <c r="N28" s="322"/>
      <c r="O28" s="322"/>
      <c r="P28" s="322"/>
      <c r="Q28" s="322"/>
      <c r="R28" s="322"/>
      <c r="S28" s="322"/>
      <c r="T28" s="322"/>
      <c r="U28" s="322"/>
      <c r="V28" s="322"/>
      <c r="W28" s="307"/>
      <c r="X28" s="80"/>
      <c r="Y28" s="80"/>
      <c r="Z28" s="80"/>
      <c r="AA28" s="80"/>
      <c r="AB28" s="80"/>
      <c r="AC28" s="80"/>
      <c r="AD28" s="80"/>
      <c r="AE28" s="80"/>
      <c r="AF28" s="80"/>
      <c r="AG28" s="80"/>
    </row>
    <row r="29" spans="2:33" ht="11.25" customHeight="1" x14ac:dyDescent="0.2">
      <c r="B29" s="318"/>
      <c r="C29" s="97">
        <v>0</v>
      </c>
      <c r="D29" s="98">
        <v>4000</v>
      </c>
      <c r="E29" s="80"/>
      <c r="F29" s="99">
        <f t="shared" ref="F29:W29" si="15">IF(F$27&gt;$D29,$D29-$C29,IF(AND($C29&lt;F$27,F$27&lt;$D29),F$27-$C29,IF(F$27=$D29,$D29-$C29,0)))</f>
        <v>0</v>
      </c>
      <c r="G29" s="99">
        <f t="shared" si="15"/>
        <v>0</v>
      </c>
      <c r="H29" s="99">
        <f t="shared" si="15"/>
        <v>0</v>
      </c>
      <c r="I29" s="99">
        <f t="shared" si="15"/>
        <v>0</v>
      </c>
      <c r="J29" s="99">
        <f t="shared" si="15"/>
        <v>0</v>
      </c>
      <c r="K29" s="99">
        <f t="shared" si="15"/>
        <v>0</v>
      </c>
      <c r="L29" s="270">
        <f t="shared" si="15"/>
        <v>4000</v>
      </c>
      <c r="M29" s="99">
        <f t="shared" si="15"/>
        <v>4000</v>
      </c>
      <c r="N29" s="99">
        <f t="shared" si="15"/>
        <v>4000</v>
      </c>
      <c r="O29" s="99">
        <f t="shared" si="15"/>
        <v>4000</v>
      </c>
      <c r="P29" s="99">
        <f t="shared" si="15"/>
        <v>4000</v>
      </c>
      <c r="Q29" s="99">
        <f t="shared" si="15"/>
        <v>4000</v>
      </c>
      <c r="R29" s="99">
        <f t="shared" si="15"/>
        <v>4000</v>
      </c>
      <c r="S29" s="99">
        <f t="shared" si="15"/>
        <v>4000</v>
      </c>
      <c r="T29" s="99">
        <f t="shared" si="15"/>
        <v>4000</v>
      </c>
      <c r="U29" s="99">
        <f t="shared" si="15"/>
        <v>4000</v>
      </c>
      <c r="V29" s="99">
        <f t="shared" si="15"/>
        <v>0</v>
      </c>
      <c r="W29" s="98">
        <f t="shared" si="15"/>
        <v>0</v>
      </c>
      <c r="X29" s="80"/>
      <c r="Y29" s="80"/>
      <c r="Z29" s="80"/>
      <c r="AA29" s="80"/>
      <c r="AB29" s="80"/>
      <c r="AC29" s="80"/>
      <c r="AD29" s="80"/>
      <c r="AE29" s="80"/>
      <c r="AF29" s="80"/>
      <c r="AG29" s="80"/>
    </row>
    <row r="30" spans="2:33" ht="11.25" customHeight="1" x14ac:dyDescent="0.2">
      <c r="B30" s="318"/>
      <c r="C30" s="97">
        <f t="shared" ref="C30:C31" si="16">D29</f>
        <v>4000</v>
      </c>
      <c r="D30" s="98">
        <v>20000</v>
      </c>
      <c r="E30" s="80"/>
      <c r="F30" s="99">
        <f t="shared" ref="F30:W30" si="17">IF(F$27&gt;$D30,$D30-$C30,IF(AND($C30&lt;F$27,F$27&lt;$D30),F$27-$C30,IF(F$27=$D30,$D30-$C30,0)))</f>
        <v>0</v>
      </c>
      <c r="G30" s="99">
        <f t="shared" si="17"/>
        <v>0</v>
      </c>
      <c r="H30" s="99">
        <f t="shared" si="17"/>
        <v>0</v>
      </c>
      <c r="I30" s="99">
        <f t="shared" si="17"/>
        <v>0</v>
      </c>
      <c r="J30" s="99">
        <f t="shared" si="17"/>
        <v>0</v>
      </c>
      <c r="K30" s="99">
        <f t="shared" si="17"/>
        <v>0</v>
      </c>
      <c r="L30" s="270">
        <f t="shared" si="17"/>
        <v>16000</v>
      </c>
      <c r="M30" s="99">
        <f t="shared" si="17"/>
        <v>16000</v>
      </c>
      <c r="N30" s="99">
        <f t="shared" si="17"/>
        <v>16000</v>
      </c>
      <c r="O30" s="99">
        <f t="shared" si="17"/>
        <v>16000</v>
      </c>
      <c r="P30" s="99">
        <f t="shared" si="17"/>
        <v>16000</v>
      </c>
      <c r="Q30" s="99">
        <f t="shared" si="17"/>
        <v>16000</v>
      </c>
      <c r="R30" s="99">
        <f t="shared" si="17"/>
        <v>16000</v>
      </c>
      <c r="S30" s="99">
        <f t="shared" si="17"/>
        <v>16000</v>
      </c>
      <c r="T30" s="99">
        <f t="shared" si="17"/>
        <v>15880</v>
      </c>
      <c r="U30" s="99">
        <f t="shared" si="17"/>
        <v>16000</v>
      </c>
      <c r="V30" s="99">
        <f t="shared" si="17"/>
        <v>0</v>
      </c>
      <c r="W30" s="98">
        <f t="shared" si="17"/>
        <v>0</v>
      </c>
      <c r="X30" s="80"/>
      <c r="Y30" s="80"/>
      <c r="Z30" s="80"/>
      <c r="AA30" s="80"/>
      <c r="AB30" s="80"/>
      <c r="AC30" s="80"/>
      <c r="AD30" s="80"/>
      <c r="AE30" s="80"/>
      <c r="AF30" s="80"/>
      <c r="AG30" s="80"/>
    </row>
    <row r="31" spans="2:33" ht="11.25" customHeight="1" x14ac:dyDescent="0.2">
      <c r="B31" s="319"/>
      <c r="C31" s="104">
        <f t="shared" si="16"/>
        <v>20000</v>
      </c>
      <c r="D31" s="105">
        <v>200000</v>
      </c>
      <c r="E31" s="106"/>
      <c r="F31" s="107">
        <f>IF(F$27&gt;$D31,$D31-$C31,IF(AND($C31&lt;F$27,F$27&lt;$D31),F$27-$C31,IF(F$27&gt;$C31,F$27-$C31,IF(F$27=$D31,$D31-$C31,0))))</f>
        <v>0</v>
      </c>
      <c r="G31" s="107"/>
      <c r="H31" s="107"/>
      <c r="I31" s="107"/>
      <c r="J31" s="107">
        <f t="shared" ref="J31:W31" si="18">IF(J$27&gt;$D31,$D31-$C31,IF(AND($C31&lt;J$27,J$27&lt;$D31),J$27-$C31,IF(J$27&gt;$C31,J$27-$C31,IF(J$27=$D31,$D31-$C31,0))))</f>
        <v>0</v>
      </c>
      <c r="K31" s="107">
        <f t="shared" si="18"/>
        <v>0</v>
      </c>
      <c r="L31" s="271">
        <f t="shared" si="18"/>
        <v>2411</v>
      </c>
      <c r="M31" s="107">
        <f t="shared" si="18"/>
        <v>531</v>
      </c>
      <c r="N31" s="107">
        <f t="shared" si="18"/>
        <v>3262</v>
      </c>
      <c r="O31" s="107">
        <f t="shared" si="18"/>
        <v>3477</v>
      </c>
      <c r="P31" s="107">
        <f t="shared" si="18"/>
        <v>4376</v>
      </c>
      <c r="Q31" s="107">
        <f t="shared" si="18"/>
        <v>1542</v>
      </c>
      <c r="R31" s="107">
        <f t="shared" si="18"/>
        <v>1895</v>
      </c>
      <c r="S31" s="107">
        <f t="shared" si="18"/>
        <v>521</v>
      </c>
      <c r="T31" s="107">
        <f t="shared" si="18"/>
        <v>0</v>
      </c>
      <c r="U31" s="107">
        <f t="shared" si="18"/>
        <v>2001</v>
      </c>
      <c r="V31" s="107">
        <f t="shared" si="18"/>
        <v>0</v>
      </c>
      <c r="W31" s="108">
        <f t="shared" si="18"/>
        <v>0</v>
      </c>
      <c r="X31" s="80"/>
      <c r="Y31" s="80"/>
      <c r="Z31" s="80"/>
      <c r="AA31" s="80"/>
      <c r="AB31" s="80"/>
      <c r="AC31" s="80"/>
      <c r="AD31" s="80"/>
      <c r="AE31" s="80"/>
      <c r="AF31" s="80"/>
      <c r="AG31" s="80"/>
    </row>
    <row r="32" spans="2:33" ht="11.25" customHeight="1" x14ac:dyDescent="0.2">
      <c r="B32" s="80"/>
      <c r="C32" s="80"/>
      <c r="D32" s="80"/>
      <c r="E32" s="80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80"/>
      <c r="Y32" s="80"/>
      <c r="Z32" s="80"/>
      <c r="AA32" s="80"/>
      <c r="AB32" s="80"/>
      <c r="AC32" s="80"/>
      <c r="AD32" s="80"/>
      <c r="AE32" s="80"/>
      <c r="AF32" s="80"/>
      <c r="AG32" s="80"/>
    </row>
    <row r="33" spans="2:33" ht="11.25" customHeight="1" x14ac:dyDescent="0.2">
      <c r="B33" s="324"/>
      <c r="C33" s="325" t="s">
        <v>93</v>
      </c>
      <c r="D33" s="326"/>
      <c r="E33" s="80"/>
      <c r="F33" s="323" t="s">
        <v>92</v>
      </c>
      <c r="G33" s="322"/>
      <c r="H33" s="322"/>
      <c r="I33" s="322"/>
      <c r="J33" s="322"/>
      <c r="K33" s="322"/>
      <c r="L33" s="322"/>
      <c r="M33" s="322"/>
      <c r="N33" s="322"/>
      <c r="O33" s="322"/>
      <c r="P33" s="322"/>
      <c r="Q33" s="322"/>
      <c r="R33" s="322"/>
      <c r="S33" s="322"/>
      <c r="T33" s="322"/>
      <c r="U33" s="322"/>
      <c r="V33" s="322"/>
      <c r="W33" s="307"/>
      <c r="X33" s="80"/>
      <c r="Y33" s="80"/>
      <c r="Z33" s="80"/>
      <c r="AA33" s="80"/>
      <c r="AB33" s="80"/>
      <c r="AC33" s="80"/>
      <c r="AD33" s="80"/>
      <c r="AE33" s="80"/>
      <c r="AF33" s="80"/>
      <c r="AG33" s="80"/>
    </row>
    <row r="34" spans="2:33" ht="11.25" customHeight="1" x14ac:dyDescent="0.2">
      <c r="B34" s="319"/>
      <c r="C34" s="110"/>
      <c r="D34" s="111">
        <f>+IFERROR(SUM(L37:L46)/L8,0)</f>
        <v>8.9885973807708996</v>
      </c>
      <c r="E34" s="80"/>
      <c r="F34" s="112">
        <f t="shared" ref="F34:K34" si="19">IF(F$31&lt;50,0,$D34)*F$31</f>
        <v>0</v>
      </c>
      <c r="G34" s="112">
        <f t="shared" si="19"/>
        <v>0</v>
      </c>
      <c r="H34" s="112">
        <f t="shared" si="19"/>
        <v>0</v>
      </c>
      <c r="I34" s="112">
        <f t="shared" si="19"/>
        <v>0</v>
      </c>
      <c r="J34" s="112">
        <f t="shared" si="19"/>
        <v>0</v>
      </c>
      <c r="K34" s="112">
        <f t="shared" si="19"/>
        <v>0</v>
      </c>
      <c r="L34" s="113">
        <f>+IFERROR(D34*L8,0)</f>
        <v>36233.036041887499</v>
      </c>
      <c r="M34" s="113">
        <f>+IFERROR(D34*M8,0)</f>
        <v>33176.912932425388</v>
      </c>
      <c r="N34" s="113">
        <f>+IFERROR(D34*N8,0)</f>
        <v>37428.519493530024</v>
      </c>
      <c r="O34" s="114">
        <f>+IFERROR(D34*O8,0)</f>
        <v>36367.865002599057</v>
      </c>
      <c r="P34" s="113">
        <f>+IFERROR(D34*P8,0)</f>
        <v>37167.850169487669</v>
      </c>
      <c r="Q34" s="113">
        <f>+IFERROR(D34*Q8,0)</f>
        <v>36421.796586883684</v>
      </c>
      <c r="R34" s="113">
        <f>+IFERROR(D34*R8,0)</f>
        <v>37868.960765187803</v>
      </c>
      <c r="S34" s="113">
        <f>+IFERROR(D34*S8,0)</f>
        <v>40331.836447519025</v>
      </c>
      <c r="T34" s="113">
        <f>+IFERROR(D34*T8,0)</f>
        <v>38704.900321599496</v>
      </c>
      <c r="U34" s="113">
        <f>+IFERROR(D34*U8,0)</f>
        <v>41464.399717496162</v>
      </c>
      <c r="V34" s="113">
        <f t="shared" ref="V34:W34" si="20">+IFERROR(N34*V8,0)</f>
        <v>0</v>
      </c>
      <c r="W34" s="113">
        <f t="shared" si="20"/>
        <v>0</v>
      </c>
      <c r="X34" s="80"/>
      <c r="Y34" s="80"/>
      <c r="Z34" s="80"/>
      <c r="AA34" s="80"/>
      <c r="AB34" s="80"/>
      <c r="AC34" s="80"/>
      <c r="AD34" s="80"/>
      <c r="AE34" s="80"/>
      <c r="AF34" s="80"/>
      <c r="AG34" s="80"/>
    </row>
    <row r="35" spans="2:33" ht="11.25" customHeight="1" x14ac:dyDescent="0.2">
      <c r="B35" s="80"/>
      <c r="C35" s="80"/>
      <c r="D35" s="80"/>
      <c r="E35" s="80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80"/>
      <c r="Y35" s="80"/>
      <c r="Z35" s="80"/>
      <c r="AA35" s="80"/>
      <c r="AB35" s="80"/>
      <c r="AC35" s="80"/>
      <c r="AD35" s="80"/>
      <c r="AE35" s="80"/>
      <c r="AF35" s="80"/>
      <c r="AG35" s="80"/>
    </row>
    <row r="36" spans="2:33" ht="15" customHeight="1" x14ac:dyDescent="0.2">
      <c r="B36" s="317" t="s">
        <v>94</v>
      </c>
      <c r="C36" s="325" t="s">
        <v>95</v>
      </c>
      <c r="D36" s="326"/>
      <c r="E36" s="95"/>
      <c r="F36" s="327" t="s">
        <v>90</v>
      </c>
      <c r="G36" s="328"/>
      <c r="H36" s="328"/>
      <c r="I36" s="328"/>
      <c r="J36" s="328"/>
      <c r="K36" s="328"/>
      <c r="L36" s="328"/>
      <c r="M36" s="328"/>
      <c r="N36" s="328"/>
      <c r="O36" s="328"/>
      <c r="P36" s="328"/>
      <c r="Q36" s="328"/>
      <c r="R36" s="328"/>
      <c r="S36" s="328"/>
      <c r="T36" s="328"/>
      <c r="U36" s="328"/>
      <c r="V36" s="328"/>
      <c r="W36" s="326"/>
      <c r="X36" s="80"/>
      <c r="Y36" s="80"/>
      <c r="Z36" s="80"/>
      <c r="AA36" s="80"/>
      <c r="AB36" s="80"/>
      <c r="AC36" s="80"/>
      <c r="AD36" s="80"/>
      <c r="AE36" s="80"/>
      <c r="AF36" s="80"/>
      <c r="AG36" s="80"/>
    </row>
    <row r="37" spans="2:33" ht="11.25" customHeight="1" x14ac:dyDescent="0.2">
      <c r="B37" s="318"/>
      <c r="C37" s="115"/>
      <c r="D37" s="115">
        <v>3434</v>
      </c>
      <c r="E37" s="80"/>
      <c r="F37" s="112">
        <f t="shared" ref="F37:W37" si="21">IF(F$17&lt;1,0,$D$37)</f>
        <v>0</v>
      </c>
      <c r="G37" s="112">
        <f t="shared" si="21"/>
        <v>0</v>
      </c>
      <c r="H37" s="112">
        <f t="shared" si="21"/>
        <v>0</v>
      </c>
      <c r="I37" s="112">
        <f t="shared" si="21"/>
        <v>0</v>
      </c>
      <c r="J37" s="112">
        <f t="shared" si="21"/>
        <v>0</v>
      </c>
      <c r="K37" s="112">
        <f t="shared" si="21"/>
        <v>0</v>
      </c>
      <c r="L37" s="112">
        <f t="shared" si="21"/>
        <v>3434</v>
      </c>
      <c r="M37" s="112">
        <f t="shared" si="21"/>
        <v>3434</v>
      </c>
      <c r="N37" s="112">
        <f t="shared" si="21"/>
        <v>3434</v>
      </c>
      <c r="O37" s="112">
        <f t="shared" si="21"/>
        <v>3434</v>
      </c>
      <c r="P37" s="112">
        <f t="shared" si="21"/>
        <v>3434</v>
      </c>
      <c r="Q37" s="112">
        <f t="shared" si="21"/>
        <v>3434</v>
      </c>
      <c r="R37" s="112">
        <f t="shared" si="21"/>
        <v>3434</v>
      </c>
      <c r="S37" s="112">
        <f t="shared" si="21"/>
        <v>3434</v>
      </c>
      <c r="T37" s="112">
        <f t="shared" si="21"/>
        <v>3434</v>
      </c>
      <c r="U37" s="112">
        <f t="shared" si="21"/>
        <v>3434</v>
      </c>
      <c r="V37" s="112">
        <f t="shared" si="21"/>
        <v>0</v>
      </c>
      <c r="W37" s="112">
        <f t="shared" si="21"/>
        <v>0</v>
      </c>
      <c r="X37" s="269"/>
      <c r="Y37" s="80"/>
      <c r="Z37" s="80"/>
      <c r="AA37" s="80"/>
      <c r="AB37" s="80"/>
      <c r="AC37" s="80"/>
      <c r="AD37" s="80"/>
      <c r="AE37" s="80"/>
      <c r="AF37" s="80"/>
      <c r="AG37" s="80"/>
    </row>
    <row r="38" spans="2:33" ht="11.25" customHeight="1" x14ac:dyDescent="0.2">
      <c r="B38" s="318"/>
      <c r="C38" s="115"/>
      <c r="D38" s="115">
        <f>10.5145425*X5</f>
        <v>11.513424037499998</v>
      </c>
      <c r="E38" s="80"/>
      <c r="F38" s="112">
        <f t="shared" ref="F38:W38" si="22">IF(F$18=0,0,$D38)*F$18</f>
        <v>0</v>
      </c>
      <c r="G38" s="112">
        <f t="shared" si="22"/>
        <v>0</v>
      </c>
      <c r="H38" s="112">
        <f t="shared" si="22"/>
        <v>0</v>
      </c>
      <c r="I38" s="112">
        <f t="shared" si="22"/>
        <v>0</v>
      </c>
      <c r="J38" s="112">
        <f t="shared" si="22"/>
        <v>0</v>
      </c>
      <c r="K38" s="112">
        <f t="shared" si="22"/>
        <v>0</v>
      </c>
      <c r="L38" s="112">
        <f t="shared" si="22"/>
        <v>5181.0408168749991</v>
      </c>
      <c r="M38" s="112">
        <f t="shared" si="22"/>
        <v>5181.0408168749991</v>
      </c>
      <c r="N38" s="112">
        <f t="shared" si="22"/>
        <v>5181.0408168749991</v>
      </c>
      <c r="O38" s="112">
        <f t="shared" si="22"/>
        <v>5181.0408168749991</v>
      </c>
      <c r="P38" s="112">
        <f t="shared" si="22"/>
        <v>5181.0408168749991</v>
      </c>
      <c r="Q38" s="112">
        <f t="shared" si="22"/>
        <v>5181.0408168749991</v>
      </c>
      <c r="R38" s="112">
        <f t="shared" si="22"/>
        <v>5181.0408168749991</v>
      </c>
      <c r="S38" s="112">
        <f t="shared" si="22"/>
        <v>5181.0408168749991</v>
      </c>
      <c r="T38" s="112">
        <f t="shared" si="22"/>
        <v>5181.0408168749991</v>
      </c>
      <c r="U38" s="112">
        <f t="shared" si="22"/>
        <v>5181.0408168749991</v>
      </c>
      <c r="V38" s="112">
        <f t="shared" si="22"/>
        <v>0</v>
      </c>
      <c r="W38" s="112">
        <f t="shared" si="22"/>
        <v>0</v>
      </c>
      <c r="X38" s="80"/>
      <c r="Y38" s="80"/>
      <c r="Z38" s="80"/>
      <c r="AA38" s="80"/>
      <c r="AB38" s="80"/>
      <c r="AC38" s="80"/>
      <c r="AD38" s="80"/>
      <c r="AE38" s="80"/>
      <c r="AF38" s="80"/>
      <c r="AG38" s="80"/>
    </row>
    <row r="39" spans="2:33" ht="11.25" customHeight="1" x14ac:dyDescent="0.2">
      <c r="B39" s="318"/>
      <c r="C39" s="115"/>
      <c r="D39" s="115">
        <f>9.2775375*X5</f>
        <v>10.158903562499999</v>
      </c>
      <c r="E39" s="80"/>
      <c r="F39" s="112">
        <f t="shared" ref="F39:W39" si="23">IF(F$19=0,0,$D39)*F$19</f>
        <v>0</v>
      </c>
      <c r="G39" s="112">
        <f t="shared" si="23"/>
        <v>0</v>
      </c>
      <c r="H39" s="112">
        <f t="shared" si="23"/>
        <v>0</v>
      </c>
      <c r="I39" s="112">
        <f t="shared" si="23"/>
        <v>0</v>
      </c>
      <c r="J39" s="112">
        <f t="shared" si="23"/>
        <v>0</v>
      </c>
      <c r="K39" s="112">
        <f t="shared" si="23"/>
        <v>0</v>
      </c>
      <c r="L39" s="112">
        <f t="shared" si="23"/>
        <v>5079.4517812499998</v>
      </c>
      <c r="M39" s="112">
        <f t="shared" si="23"/>
        <v>5079.4517812499998</v>
      </c>
      <c r="N39" s="112">
        <f t="shared" si="23"/>
        <v>5079.4517812499998</v>
      </c>
      <c r="O39" s="112">
        <f t="shared" si="23"/>
        <v>5079.4517812499998</v>
      </c>
      <c r="P39" s="112">
        <f t="shared" si="23"/>
        <v>5079.4517812499998</v>
      </c>
      <c r="Q39" s="112">
        <f t="shared" si="23"/>
        <v>5079.4517812499998</v>
      </c>
      <c r="R39" s="112">
        <f t="shared" si="23"/>
        <v>5079.4517812499998</v>
      </c>
      <c r="S39" s="112">
        <f t="shared" si="23"/>
        <v>5079.4517812499998</v>
      </c>
      <c r="T39" s="112">
        <f t="shared" si="23"/>
        <v>5079.4517812499998</v>
      </c>
      <c r="U39" s="112">
        <f t="shared" si="23"/>
        <v>5079.4517812499998</v>
      </c>
      <c r="V39" s="112">
        <f t="shared" si="23"/>
        <v>0</v>
      </c>
      <c r="W39" s="112">
        <f t="shared" si="23"/>
        <v>0</v>
      </c>
      <c r="X39" s="80"/>
      <c r="Y39" s="80"/>
      <c r="Z39" s="80"/>
      <c r="AA39" s="80"/>
      <c r="AB39" s="80"/>
      <c r="AC39" s="80"/>
      <c r="AD39" s="80"/>
      <c r="AE39" s="80"/>
      <c r="AF39" s="80"/>
      <c r="AG39" s="80"/>
    </row>
    <row r="40" spans="2:33" ht="11.25" customHeight="1" x14ac:dyDescent="0.2">
      <c r="B40" s="318"/>
      <c r="C40" s="115"/>
      <c r="D40" s="115">
        <f>8.0405325*X5</f>
        <v>8.8043830874999998</v>
      </c>
      <c r="E40" s="80"/>
      <c r="F40" s="112">
        <f t="shared" ref="F40:W40" si="24">IF(F$20=0,0,$D40)*F$20</f>
        <v>0</v>
      </c>
      <c r="G40" s="112">
        <f t="shared" si="24"/>
        <v>0</v>
      </c>
      <c r="H40" s="112">
        <f t="shared" si="24"/>
        <v>0</v>
      </c>
      <c r="I40" s="112">
        <f t="shared" si="24"/>
        <v>0</v>
      </c>
      <c r="J40" s="112">
        <f t="shared" si="24"/>
        <v>0</v>
      </c>
      <c r="K40" s="112">
        <f t="shared" si="24"/>
        <v>0</v>
      </c>
      <c r="L40" s="112">
        <f t="shared" si="24"/>
        <v>8804.3830875000003</v>
      </c>
      <c r="M40" s="112">
        <f t="shared" si="24"/>
        <v>8804.3830875000003</v>
      </c>
      <c r="N40" s="112">
        <f t="shared" si="24"/>
        <v>8804.3830875000003</v>
      </c>
      <c r="O40" s="112">
        <f t="shared" si="24"/>
        <v>8804.3830875000003</v>
      </c>
      <c r="P40" s="112">
        <f t="shared" si="24"/>
        <v>8804.3830875000003</v>
      </c>
      <c r="Q40" s="112">
        <f t="shared" si="24"/>
        <v>8804.3830875000003</v>
      </c>
      <c r="R40" s="112">
        <f t="shared" si="24"/>
        <v>8804.3830875000003</v>
      </c>
      <c r="S40" s="112">
        <f t="shared" si="24"/>
        <v>8804.3830875000003</v>
      </c>
      <c r="T40" s="112">
        <f t="shared" si="24"/>
        <v>8804.3830875000003</v>
      </c>
      <c r="U40" s="112">
        <f t="shared" si="24"/>
        <v>8804.3830875000003</v>
      </c>
      <c r="V40" s="112">
        <f t="shared" si="24"/>
        <v>0</v>
      </c>
      <c r="W40" s="112">
        <f t="shared" si="24"/>
        <v>0</v>
      </c>
      <c r="X40" s="80"/>
      <c r="Y40" s="80"/>
      <c r="Z40" s="80"/>
      <c r="AA40" s="80"/>
      <c r="AB40" s="80"/>
      <c r="AC40" s="80"/>
      <c r="AD40" s="80"/>
      <c r="AE40" s="80"/>
      <c r="AF40" s="80"/>
      <c r="AG40" s="80"/>
    </row>
    <row r="41" spans="2:33" ht="11.25" customHeight="1" x14ac:dyDescent="0.2">
      <c r="B41" s="318"/>
      <c r="C41" s="115"/>
      <c r="D41" s="115">
        <f>6.8035275*X5</f>
        <v>7.4498626125000005</v>
      </c>
      <c r="E41" s="80"/>
      <c r="F41" s="112">
        <f t="shared" ref="F41:W41" si="25">IF(F$21=0,0,$D41)*F$21</f>
        <v>0</v>
      </c>
      <c r="G41" s="112">
        <f t="shared" si="25"/>
        <v>0</v>
      </c>
      <c r="H41" s="112">
        <f t="shared" si="25"/>
        <v>0</v>
      </c>
      <c r="I41" s="112">
        <f t="shared" si="25"/>
        <v>0</v>
      </c>
      <c r="J41" s="112">
        <f t="shared" si="25"/>
        <v>0</v>
      </c>
      <c r="K41" s="112">
        <f t="shared" si="25"/>
        <v>0</v>
      </c>
      <c r="L41" s="112">
        <f t="shared" si="25"/>
        <v>7449.8626125000001</v>
      </c>
      <c r="M41" s="112">
        <f t="shared" si="25"/>
        <v>7449.8626125000001</v>
      </c>
      <c r="N41" s="112">
        <f t="shared" si="25"/>
        <v>7449.8626125000001</v>
      </c>
      <c r="O41" s="112">
        <f t="shared" si="25"/>
        <v>7449.8626125000001</v>
      </c>
      <c r="P41" s="112">
        <f t="shared" si="25"/>
        <v>7449.8626125000001</v>
      </c>
      <c r="Q41" s="112">
        <f t="shared" si="25"/>
        <v>7449.8626125000001</v>
      </c>
      <c r="R41" s="112">
        <f t="shared" si="25"/>
        <v>7449.8626125000001</v>
      </c>
      <c r="S41" s="112">
        <f t="shared" si="25"/>
        <v>7449.8626125000001</v>
      </c>
      <c r="T41" s="112">
        <f t="shared" si="25"/>
        <v>7449.8626125000001</v>
      </c>
      <c r="U41" s="112">
        <f t="shared" si="25"/>
        <v>7449.8626125000001</v>
      </c>
      <c r="V41" s="112">
        <f t="shared" si="25"/>
        <v>0</v>
      </c>
      <c r="W41" s="112">
        <f t="shared" si="25"/>
        <v>0</v>
      </c>
      <c r="X41" s="80"/>
      <c r="Y41" s="80"/>
      <c r="Z41" s="80"/>
      <c r="AA41" s="80"/>
      <c r="AB41" s="80"/>
      <c r="AC41" s="80"/>
      <c r="AD41" s="80"/>
      <c r="AE41" s="80"/>
      <c r="AF41" s="80"/>
      <c r="AG41" s="80"/>
    </row>
    <row r="42" spans="2:33" ht="11.25" customHeight="1" x14ac:dyDescent="0.2">
      <c r="B42" s="318"/>
      <c r="C42" s="115"/>
      <c r="D42" s="115">
        <f>5.5665225*X5</f>
        <v>6.0953421374999994</v>
      </c>
      <c r="E42" s="80"/>
      <c r="F42" s="112">
        <f t="shared" ref="F42:W42" si="26">IF(F$22=0,0,$D42)*F$22</f>
        <v>0</v>
      </c>
      <c r="G42" s="112">
        <f t="shared" si="26"/>
        <v>0</v>
      </c>
      <c r="H42" s="112">
        <f t="shared" si="26"/>
        <v>0</v>
      </c>
      <c r="I42" s="112">
        <f t="shared" si="26"/>
        <v>0</v>
      </c>
      <c r="J42" s="112">
        <f t="shared" si="26"/>
        <v>0</v>
      </c>
      <c r="K42" s="112">
        <f t="shared" si="26"/>
        <v>0</v>
      </c>
      <c r="L42" s="112">
        <f t="shared" si="26"/>
        <v>6284.2977437624995</v>
      </c>
      <c r="M42" s="112">
        <f t="shared" si="26"/>
        <v>4211.8814170124997</v>
      </c>
      <c r="N42" s="112">
        <f t="shared" si="26"/>
        <v>7094.9782480499989</v>
      </c>
      <c r="O42" s="112">
        <f t="shared" si="26"/>
        <v>6375.7278758249995</v>
      </c>
      <c r="P42" s="112">
        <f t="shared" si="26"/>
        <v>6918.2133260624996</v>
      </c>
      <c r="Q42" s="112">
        <f t="shared" si="26"/>
        <v>6412.2999286499989</v>
      </c>
      <c r="R42" s="112">
        <f t="shared" si="26"/>
        <v>7393.6500127874997</v>
      </c>
      <c r="S42" s="112">
        <f t="shared" si="26"/>
        <v>9063.7737584624992</v>
      </c>
      <c r="T42" s="112">
        <f t="shared" si="26"/>
        <v>7960.5168315749988</v>
      </c>
      <c r="U42" s="112">
        <f t="shared" si="26"/>
        <v>9831.7868677874994</v>
      </c>
      <c r="V42" s="112">
        <f t="shared" si="26"/>
        <v>0</v>
      </c>
      <c r="W42" s="112">
        <f t="shared" si="26"/>
        <v>0</v>
      </c>
      <c r="X42" s="80"/>
      <c r="Y42" s="80"/>
      <c r="Z42" s="80"/>
      <c r="AA42" s="80"/>
      <c r="AB42" s="80"/>
      <c r="AC42" s="80"/>
      <c r="AD42" s="80"/>
      <c r="AE42" s="80"/>
      <c r="AF42" s="80"/>
      <c r="AG42" s="80"/>
    </row>
    <row r="43" spans="2:33" ht="11.25" customHeight="1" x14ac:dyDescent="0.2">
      <c r="B43" s="318"/>
      <c r="C43" s="115"/>
      <c r="D43" s="115">
        <f>5.25727125*X5</f>
        <v>5.7567120187499992</v>
      </c>
      <c r="E43" s="80"/>
      <c r="F43" s="112">
        <f t="shared" ref="F43:W43" si="27">IF(F$23=0,0,$D43)*F$23</f>
        <v>0</v>
      </c>
      <c r="G43" s="112">
        <f t="shared" si="27"/>
        <v>0</v>
      </c>
      <c r="H43" s="112">
        <f t="shared" si="27"/>
        <v>0</v>
      </c>
      <c r="I43" s="112">
        <f t="shared" si="27"/>
        <v>0</v>
      </c>
      <c r="J43" s="112">
        <f t="shared" si="27"/>
        <v>0</v>
      </c>
      <c r="K43" s="112">
        <f t="shared" si="27"/>
        <v>0</v>
      </c>
      <c r="L43" s="112">
        <f t="shared" si="27"/>
        <v>0</v>
      </c>
      <c r="M43" s="112">
        <f t="shared" si="27"/>
        <v>0</v>
      </c>
      <c r="N43" s="112">
        <f t="shared" si="27"/>
        <v>0</v>
      </c>
      <c r="O43" s="112">
        <f t="shared" si="27"/>
        <v>0</v>
      </c>
      <c r="P43" s="112">
        <f t="shared" si="27"/>
        <v>0</v>
      </c>
      <c r="Q43" s="112">
        <f t="shared" si="27"/>
        <v>0</v>
      </c>
      <c r="R43" s="112">
        <f t="shared" si="27"/>
        <v>0</v>
      </c>
      <c r="S43" s="112">
        <f t="shared" si="27"/>
        <v>0</v>
      </c>
      <c r="T43" s="112">
        <f t="shared" si="27"/>
        <v>0</v>
      </c>
      <c r="U43" s="112">
        <f t="shared" si="27"/>
        <v>0</v>
      </c>
      <c r="V43" s="112">
        <f t="shared" si="27"/>
        <v>0</v>
      </c>
      <c r="W43" s="112">
        <f t="shared" si="27"/>
        <v>0</v>
      </c>
      <c r="X43" s="80"/>
      <c r="Y43" s="80"/>
      <c r="Z43" s="80"/>
      <c r="AA43" s="80"/>
      <c r="AB43" s="80"/>
      <c r="AC43" s="80"/>
      <c r="AD43" s="80"/>
      <c r="AE43" s="80"/>
      <c r="AF43" s="80"/>
      <c r="AG43" s="80"/>
    </row>
    <row r="44" spans="2:33" ht="11.25" customHeight="1" x14ac:dyDescent="0.2">
      <c r="B44" s="318"/>
      <c r="C44" s="115"/>
      <c r="D44" s="115">
        <f>4.94802*X5</f>
        <v>5.4180818999999998</v>
      </c>
      <c r="E44" s="80"/>
      <c r="F44" s="112">
        <f t="shared" ref="F44:W44" si="28">IF(F$24=0,0,$D44)*F$24</f>
        <v>0</v>
      </c>
      <c r="G44" s="112">
        <f t="shared" si="28"/>
        <v>0</v>
      </c>
      <c r="H44" s="112">
        <f t="shared" si="28"/>
        <v>0</v>
      </c>
      <c r="I44" s="112">
        <f t="shared" si="28"/>
        <v>0</v>
      </c>
      <c r="J44" s="112">
        <f t="shared" si="28"/>
        <v>0</v>
      </c>
      <c r="K44" s="112">
        <f t="shared" si="28"/>
        <v>0</v>
      </c>
      <c r="L44" s="112">
        <f t="shared" si="28"/>
        <v>0</v>
      </c>
      <c r="M44" s="112">
        <f t="shared" si="28"/>
        <v>0</v>
      </c>
      <c r="N44" s="112">
        <f t="shared" si="28"/>
        <v>0</v>
      </c>
      <c r="O44" s="112">
        <f t="shared" si="28"/>
        <v>0</v>
      </c>
      <c r="P44" s="112">
        <f t="shared" si="28"/>
        <v>0</v>
      </c>
      <c r="Q44" s="112">
        <f t="shared" si="28"/>
        <v>0</v>
      </c>
      <c r="R44" s="112">
        <f t="shared" si="28"/>
        <v>0</v>
      </c>
      <c r="S44" s="112">
        <f t="shared" si="28"/>
        <v>0</v>
      </c>
      <c r="T44" s="112">
        <f t="shared" si="28"/>
        <v>0</v>
      </c>
      <c r="U44" s="112">
        <f t="shared" si="28"/>
        <v>0</v>
      </c>
      <c r="V44" s="112">
        <f t="shared" si="28"/>
        <v>0</v>
      </c>
      <c r="W44" s="112">
        <f t="shared" si="28"/>
        <v>0</v>
      </c>
      <c r="X44" s="80"/>
      <c r="Y44" s="80"/>
      <c r="Z44" s="80"/>
      <c r="AA44" s="80"/>
      <c r="AB44" s="80"/>
      <c r="AC44" s="80"/>
      <c r="AD44" s="80"/>
      <c r="AE44" s="80"/>
      <c r="AF44" s="80"/>
      <c r="AG44" s="80"/>
    </row>
    <row r="45" spans="2:33" ht="11.25" customHeight="1" x14ac:dyDescent="0.2">
      <c r="B45" s="318"/>
      <c r="C45" s="115"/>
      <c r="D45" s="115">
        <f>4.63876875*X5</f>
        <v>5.0794517812499995</v>
      </c>
      <c r="E45" s="80"/>
      <c r="F45" s="112">
        <f t="shared" ref="F45:W45" si="29">IF(F$25=0,0,$D45)*F$25</f>
        <v>0</v>
      </c>
      <c r="G45" s="112">
        <f t="shared" si="29"/>
        <v>0</v>
      </c>
      <c r="H45" s="112">
        <f t="shared" si="29"/>
        <v>0</v>
      </c>
      <c r="I45" s="112">
        <f t="shared" si="29"/>
        <v>0</v>
      </c>
      <c r="J45" s="112">
        <f t="shared" si="29"/>
        <v>0</v>
      </c>
      <c r="K45" s="112">
        <f t="shared" si="29"/>
        <v>0</v>
      </c>
      <c r="L45" s="112">
        <f t="shared" si="29"/>
        <v>0</v>
      </c>
      <c r="M45" s="112">
        <f t="shared" si="29"/>
        <v>0</v>
      </c>
      <c r="N45" s="112">
        <f t="shared" si="29"/>
        <v>0</v>
      </c>
      <c r="O45" s="112">
        <f t="shared" si="29"/>
        <v>0</v>
      </c>
      <c r="P45" s="112">
        <f t="shared" si="29"/>
        <v>0</v>
      </c>
      <c r="Q45" s="112">
        <f t="shared" si="29"/>
        <v>0</v>
      </c>
      <c r="R45" s="112">
        <f t="shared" si="29"/>
        <v>0</v>
      </c>
      <c r="S45" s="112">
        <f t="shared" si="29"/>
        <v>0</v>
      </c>
      <c r="T45" s="112">
        <f t="shared" si="29"/>
        <v>0</v>
      </c>
      <c r="U45" s="112">
        <f t="shared" si="29"/>
        <v>0</v>
      </c>
      <c r="V45" s="112">
        <f t="shared" si="29"/>
        <v>0</v>
      </c>
      <c r="W45" s="112">
        <f t="shared" si="29"/>
        <v>0</v>
      </c>
      <c r="X45" s="80"/>
      <c r="Y45" s="80"/>
      <c r="Z45" s="80"/>
      <c r="AA45" s="80"/>
      <c r="AB45" s="80"/>
      <c r="AC45" s="80"/>
      <c r="AD45" s="80"/>
      <c r="AE45" s="80"/>
      <c r="AF45" s="80"/>
      <c r="AG45" s="80"/>
    </row>
    <row r="46" spans="2:33" ht="11.25" customHeight="1" x14ac:dyDescent="0.2">
      <c r="B46" s="318"/>
      <c r="C46" s="115"/>
      <c r="D46" s="115">
        <f>4.3295175*X5</f>
        <v>4.7408216624999993</v>
      </c>
      <c r="E46" s="80"/>
      <c r="F46" s="112">
        <f t="shared" ref="F46:W46" si="30">IF(F$26=0,0,$D46)*F$26</f>
        <v>0</v>
      </c>
      <c r="G46" s="112">
        <f t="shared" si="30"/>
        <v>0</v>
      </c>
      <c r="H46" s="112">
        <f t="shared" si="30"/>
        <v>0</v>
      </c>
      <c r="I46" s="112">
        <f t="shared" si="30"/>
        <v>0</v>
      </c>
      <c r="J46" s="112">
        <f t="shared" si="30"/>
        <v>0</v>
      </c>
      <c r="K46" s="112">
        <f t="shared" si="30"/>
        <v>0</v>
      </c>
      <c r="L46" s="112">
        <f t="shared" si="30"/>
        <v>0</v>
      </c>
      <c r="M46" s="112">
        <f t="shared" si="30"/>
        <v>0</v>
      </c>
      <c r="N46" s="112">
        <f t="shared" si="30"/>
        <v>0</v>
      </c>
      <c r="O46" s="112">
        <f t="shared" si="30"/>
        <v>0</v>
      </c>
      <c r="P46" s="112">
        <f t="shared" si="30"/>
        <v>0</v>
      </c>
      <c r="Q46" s="112">
        <f t="shared" si="30"/>
        <v>0</v>
      </c>
      <c r="R46" s="112">
        <f t="shared" si="30"/>
        <v>0</v>
      </c>
      <c r="S46" s="112">
        <f t="shared" si="30"/>
        <v>0</v>
      </c>
      <c r="T46" s="112">
        <f t="shared" si="30"/>
        <v>0</v>
      </c>
      <c r="U46" s="112">
        <f t="shared" si="30"/>
        <v>0</v>
      </c>
      <c r="V46" s="112">
        <f t="shared" si="30"/>
        <v>0</v>
      </c>
      <c r="W46" s="112">
        <f t="shared" si="30"/>
        <v>0</v>
      </c>
      <c r="X46" s="80"/>
      <c r="Y46" s="80"/>
      <c r="Z46" s="80"/>
      <c r="AA46" s="80"/>
      <c r="AB46" s="80"/>
      <c r="AC46" s="80"/>
      <c r="AD46" s="80"/>
      <c r="AE46" s="80"/>
      <c r="AF46" s="80"/>
      <c r="AG46" s="80"/>
    </row>
    <row r="47" spans="2:33" ht="11.25" customHeight="1" x14ac:dyDescent="0.2">
      <c r="B47" s="318"/>
      <c r="C47" s="115"/>
      <c r="D47" s="102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</row>
    <row r="48" spans="2:33" ht="11.25" customHeight="1" x14ac:dyDescent="0.2">
      <c r="B48" s="318"/>
      <c r="C48" s="306" t="s">
        <v>96</v>
      </c>
      <c r="D48" s="307"/>
      <c r="E48" s="80"/>
      <c r="F48" s="323" t="s">
        <v>92</v>
      </c>
      <c r="G48" s="322"/>
      <c r="H48" s="322"/>
      <c r="I48" s="322"/>
      <c r="J48" s="322"/>
      <c r="K48" s="322"/>
      <c r="L48" s="322"/>
      <c r="M48" s="322"/>
      <c r="N48" s="322"/>
      <c r="O48" s="322"/>
      <c r="P48" s="322"/>
      <c r="Q48" s="322"/>
      <c r="R48" s="322"/>
      <c r="S48" s="322"/>
      <c r="T48" s="322"/>
      <c r="U48" s="322"/>
      <c r="V48" s="322"/>
      <c r="W48" s="307"/>
      <c r="X48" s="80"/>
      <c r="Y48" s="80"/>
      <c r="Z48" s="80"/>
      <c r="AA48" s="80"/>
      <c r="AB48" s="80"/>
      <c r="AC48" s="80"/>
      <c r="AD48" s="80"/>
      <c r="AE48" s="80"/>
      <c r="AF48" s="80"/>
      <c r="AG48" s="80"/>
    </row>
    <row r="49" spans="2:33" ht="11.25" customHeight="1" x14ac:dyDescent="0.2">
      <c r="B49" s="318"/>
      <c r="C49" s="115"/>
      <c r="D49" s="116">
        <f>0.80405325*X5</f>
        <v>0.88043830875000006</v>
      </c>
      <c r="E49" s="80"/>
      <c r="F49" s="112">
        <f t="shared" ref="F49:W49" si="31">IF(F$29&lt;50,0,$D49)*F$29</f>
        <v>0</v>
      </c>
      <c r="G49" s="112">
        <f t="shared" si="31"/>
        <v>0</v>
      </c>
      <c r="H49" s="112">
        <f t="shared" si="31"/>
        <v>0</v>
      </c>
      <c r="I49" s="112">
        <f t="shared" si="31"/>
        <v>0</v>
      </c>
      <c r="J49" s="112">
        <f t="shared" si="31"/>
        <v>0</v>
      </c>
      <c r="K49" s="112">
        <f t="shared" si="31"/>
        <v>0</v>
      </c>
      <c r="L49" s="112">
        <f t="shared" si="31"/>
        <v>3521.7532350000001</v>
      </c>
      <c r="M49" s="112">
        <f t="shared" si="31"/>
        <v>3521.7532350000001</v>
      </c>
      <c r="N49" s="112">
        <f t="shared" si="31"/>
        <v>3521.7532350000001</v>
      </c>
      <c r="O49" s="112">
        <f t="shared" si="31"/>
        <v>3521.7532350000001</v>
      </c>
      <c r="P49" s="112">
        <f t="shared" si="31"/>
        <v>3521.7532350000001</v>
      </c>
      <c r="Q49" s="112">
        <f t="shared" si="31"/>
        <v>3521.7532350000001</v>
      </c>
      <c r="R49" s="112">
        <f t="shared" si="31"/>
        <v>3521.7532350000001</v>
      </c>
      <c r="S49" s="112">
        <f t="shared" si="31"/>
        <v>3521.7532350000001</v>
      </c>
      <c r="T49" s="112">
        <f t="shared" si="31"/>
        <v>3521.7532350000001</v>
      </c>
      <c r="U49" s="112">
        <f t="shared" si="31"/>
        <v>3521.7532350000001</v>
      </c>
      <c r="V49" s="112">
        <f t="shared" si="31"/>
        <v>0</v>
      </c>
      <c r="W49" s="112">
        <f t="shared" si="31"/>
        <v>0</v>
      </c>
      <c r="X49" s="80"/>
      <c r="Y49" s="80"/>
      <c r="Z49" s="80"/>
      <c r="AA49" s="80"/>
      <c r="AB49" s="80"/>
      <c r="AC49" s="80"/>
      <c r="AD49" s="80"/>
      <c r="AE49" s="80"/>
      <c r="AF49" s="80"/>
      <c r="AG49" s="80"/>
    </row>
    <row r="50" spans="2:33" ht="11.25" customHeight="1" x14ac:dyDescent="0.2">
      <c r="B50" s="318"/>
      <c r="C50" s="115"/>
      <c r="D50" s="116">
        <f>0.3711015*X5</f>
        <v>0.40635614249999996</v>
      </c>
      <c r="E50" s="80"/>
      <c r="F50" s="112">
        <f t="shared" ref="F50:W50" si="32">IF(F$30=0,0,$D50)*F$30</f>
        <v>0</v>
      </c>
      <c r="G50" s="112">
        <f t="shared" si="32"/>
        <v>0</v>
      </c>
      <c r="H50" s="112">
        <f t="shared" si="32"/>
        <v>0</v>
      </c>
      <c r="I50" s="112">
        <f t="shared" si="32"/>
        <v>0</v>
      </c>
      <c r="J50" s="112">
        <f t="shared" si="32"/>
        <v>0</v>
      </c>
      <c r="K50" s="112">
        <f t="shared" si="32"/>
        <v>0</v>
      </c>
      <c r="L50" s="112">
        <f t="shared" si="32"/>
        <v>6501.6982799999996</v>
      </c>
      <c r="M50" s="112">
        <f t="shared" si="32"/>
        <v>6501.6982799999996</v>
      </c>
      <c r="N50" s="112">
        <f t="shared" si="32"/>
        <v>6501.6982799999996</v>
      </c>
      <c r="O50" s="112">
        <f t="shared" si="32"/>
        <v>6501.6982799999996</v>
      </c>
      <c r="P50" s="112">
        <f t="shared" si="32"/>
        <v>6501.6982799999996</v>
      </c>
      <c r="Q50" s="112">
        <f t="shared" si="32"/>
        <v>6501.6982799999996</v>
      </c>
      <c r="R50" s="112">
        <f t="shared" si="32"/>
        <v>6501.6982799999996</v>
      </c>
      <c r="S50" s="112">
        <f t="shared" si="32"/>
        <v>6501.6982799999996</v>
      </c>
      <c r="T50" s="112">
        <f t="shared" si="32"/>
        <v>6452.9355428999997</v>
      </c>
      <c r="U50" s="112">
        <f t="shared" si="32"/>
        <v>6501.6982799999996</v>
      </c>
      <c r="V50" s="112">
        <f t="shared" si="32"/>
        <v>0</v>
      </c>
      <c r="W50" s="112">
        <f t="shared" si="32"/>
        <v>0</v>
      </c>
      <c r="X50" s="80"/>
      <c r="Y50" s="80"/>
      <c r="Z50" s="80"/>
      <c r="AA50" s="80"/>
      <c r="AB50" s="80"/>
      <c r="AC50" s="80"/>
      <c r="AD50" s="80"/>
      <c r="AE50" s="80"/>
      <c r="AF50" s="80"/>
      <c r="AG50" s="80"/>
    </row>
    <row r="51" spans="2:33" ht="11.25" customHeight="1" x14ac:dyDescent="0.2">
      <c r="B51" s="319"/>
      <c r="C51" s="115"/>
      <c r="D51" s="117">
        <f>0.18555075*X5</f>
        <v>0.20317807124999998</v>
      </c>
      <c r="E51" s="106"/>
      <c r="F51" s="113">
        <f t="shared" ref="F51:W51" si="33">IF(F$31=0,0,$D51)*F$31</f>
        <v>0</v>
      </c>
      <c r="G51" s="113">
        <f t="shared" si="33"/>
        <v>0</v>
      </c>
      <c r="H51" s="113">
        <f t="shared" si="33"/>
        <v>0</v>
      </c>
      <c r="I51" s="113">
        <f t="shared" si="33"/>
        <v>0</v>
      </c>
      <c r="J51" s="113">
        <f t="shared" si="33"/>
        <v>0</v>
      </c>
      <c r="K51" s="113">
        <f t="shared" si="33"/>
        <v>0</v>
      </c>
      <c r="L51" s="113">
        <f t="shared" si="33"/>
        <v>489.86232978374994</v>
      </c>
      <c r="M51" s="113">
        <f t="shared" si="33"/>
        <v>107.88755583374999</v>
      </c>
      <c r="N51" s="113">
        <f t="shared" si="33"/>
        <v>662.76686841749995</v>
      </c>
      <c r="O51" s="113">
        <f t="shared" si="33"/>
        <v>706.45015373624994</v>
      </c>
      <c r="P51" s="113">
        <f t="shared" si="33"/>
        <v>889.10723978999988</v>
      </c>
      <c r="Q51" s="113">
        <f t="shared" si="33"/>
        <v>313.30058586749999</v>
      </c>
      <c r="R51" s="113">
        <f t="shared" si="33"/>
        <v>385.02244501874998</v>
      </c>
      <c r="S51" s="113">
        <f t="shared" si="33"/>
        <v>105.85577512124999</v>
      </c>
      <c r="T51" s="113">
        <f t="shared" si="33"/>
        <v>0</v>
      </c>
      <c r="U51" s="113">
        <f t="shared" si="33"/>
        <v>406.55932057124994</v>
      </c>
      <c r="V51" s="113">
        <f t="shared" si="33"/>
        <v>0</v>
      </c>
      <c r="W51" s="113">
        <f t="shared" si="33"/>
        <v>0</v>
      </c>
      <c r="X51" s="80"/>
      <c r="Y51" s="80"/>
      <c r="Z51" s="80"/>
      <c r="AA51" s="80"/>
      <c r="AB51" s="80"/>
      <c r="AC51" s="80"/>
      <c r="AD51" s="80"/>
      <c r="AE51" s="80"/>
      <c r="AF51" s="80"/>
      <c r="AG51" s="80"/>
    </row>
    <row r="52" spans="2:33" ht="11.25" customHeight="1" x14ac:dyDescent="0.2"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</row>
    <row r="53" spans="2:33" ht="11.25" customHeight="1" x14ac:dyDescent="0.2">
      <c r="B53" s="324"/>
      <c r="C53" s="306" t="s">
        <v>87</v>
      </c>
      <c r="D53" s="307"/>
      <c r="E53" s="80"/>
      <c r="F53" s="323" t="s">
        <v>92</v>
      </c>
      <c r="G53" s="322"/>
      <c r="H53" s="322"/>
      <c r="I53" s="322"/>
      <c r="J53" s="322"/>
      <c r="K53" s="322"/>
      <c r="L53" s="322"/>
      <c r="M53" s="322"/>
      <c r="N53" s="322"/>
      <c r="O53" s="322"/>
      <c r="P53" s="322"/>
      <c r="Q53" s="322"/>
      <c r="R53" s="322"/>
      <c r="S53" s="322"/>
      <c r="T53" s="322"/>
      <c r="U53" s="322"/>
      <c r="V53" s="322"/>
      <c r="W53" s="307"/>
      <c r="X53" s="80"/>
      <c r="Y53" s="80"/>
      <c r="Z53" s="80"/>
      <c r="AA53" s="80"/>
      <c r="AB53" s="80"/>
      <c r="AC53" s="80"/>
      <c r="AD53" s="80"/>
      <c r="AE53" s="80"/>
      <c r="AF53" s="80"/>
      <c r="AG53" s="80"/>
    </row>
    <row r="54" spans="2:33" ht="11.25" customHeight="1" x14ac:dyDescent="0.2">
      <c r="B54" s="319"/>
      <c r="C54" s="115"/>
      <c r="D54" s="117">
        <f>2.47*X5</f>
        <v>2.70465</v>
      </c>
      <c r="E54" s="80"/>
      <c r="F54" s="112">
        <f t="shared" ref="F54:K54" si="34">IF(F$31&lt;50,0,$D54)*F$31</f>
        <v>0</v>
      </c>
      <c r="G54" s="112">
        <f t="shared" si="34"/>
        <v>0</v>
      </c>
      <c r="H54" s="112">
        <f t="shared" si="34"/>
        <v>0</v>
      </c>
      <c r="I54" s="112">
        <f t="shared" si="34"/>
        <v>0</v>
      </c>
      <c r="J54" s="112">
        <f t="shared" si="34"/>
        <v>0</v>
      </c>
      <c r="K54" s="112">
        <f t="shared" si="34"/>
        <v>0</v>
      </c>
      <c r="L54" s="113">
        <f t="shared" ref="L54:W54" si="35">+L10*$D$54</f>
        <v>2066.3526000000002</v>
      </c>
      <c r="M54" s="113">
        <f t="shared" si="35"/>
        <v>1893.2550000000001</v>
      </c>
      <c r="N54" s="113">
        <f t="shared" si="35"/>
        <v>1998.7363499999999</v>
      </c>
      <c r="O54" s="113">
        <f t="shared" si="35"/>
        <v>2050.1246999999998</v>
      </c>
      <c r="P54" s="113">
        <f t="shared" si="35"/>
        <v>2017.6688999999999</v>
      </c>
      <c r="Q54" s="113">
        <f t="shared" si="35"/>
        <v>2128.5595499999999</v>
      </c>
      <c r="R54" s="113">
        <f t="shared" si="35"/>
        <v>1855.3898999999999</v>
      </c>
      <c r="S54" s="113">
        <f t="shared" si="35"/>
        <v>2087.9897999999998</v>
      </c>
      <c r="T54" s="113">
        <f>+T10*$D$54</f>
        <v>1920.3015</v>
      </c>
      <c r="U54" s="113">
        <f t="shared" si="35"/>
        <v>1879.7317499999999</v>
      </c>
      <c r="V54" s="113">
        <f t="shared" si="35"/>
        <v>0</v>
      </c>
      <c r="W54" s="113">
        <f t="shared" si="35"/>
        <v>0</v>
      </c>
      <c r="X54" s="80"/>
      <c r="Y54" s="80"/>
      <c r="Z54" s="80"/>
      <c r="AA54" s="80"/>
      <c r="AB54" s="80"/>
      <c r="AC54" s="80"/>
      <c r="AD54" s="80"/>
      <c r="AE54" s="80"/>
      <c r="AF54" s="80"/>
      <c r="AG54" s="80"/>
    </row>
    <row r="55" spans="2:33" ht="11.25" customHeight="1" x14ac:dyDescent="0.2"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</row>
    <row r="56" spans="2:33" ht="11.25" customHeight="1" x14ac:dyDescent="0.2"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</row>
    <row r="57" spans="2:33" ht="11.25" customHeight="1" x14ac:dyDescent="0.2"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</row>
    <row r="58" spans="2:33" ht="11.25" customHeight="1" x14ac:dyDescent="0.2">
      <c r="B58" s="300" t="s">
        <v>97</v>
      </c>
      <c r="C58" s="301"/>
      <c r="D58" s="87" t="s">
        <v>85</v>
      </c>
      <c r="E58" s="80"/>
      <c r="F58" s="118">
        <f t="shared" ref="F58:P58" si="36">SUM(F37:F46)</f>
        <v>0</v>
      </c>
      <c r="G58" s="118">
        <f t="shared" si="36"/>
        <v>0</v>
      </c>
      <c r="H58" s="118">
        <f t="shared" si="36"/>
        <v>0</v>
      </c>
      <c r="I58" s="118">
        <f t="shared" si="36"/>
        <v>0</v>
      </c>
      <c r="J58" s="118">
        <f t="shared" si="36"/>
        <v>0</v>
      </c>
      <c r="K58" s="118">
        <f t="shared" si="36"/>
        <v>0</v>
      </c>
      <c r="L58" s="118">
        <f t="shared" si="36"/>
        <v>36233.036041887499</v>
      </c>
      <c r="M58" s="118">
        <f t="shared" si="36"/>
        <v>34160.619715137502</v>
      </c>
      <c r="N58" s="118">
        <f t="shared" si="36"/>
        <v>37043.716546174997</v>
      </c>
      <c r="O58" s="118">
        <f t="shared" si="36"/>
        <v>36324.466173950001</v>
      </c>
      <c r="P58" s="118">
        <f t="shared" si="36"/>
        <v>36866.951624187503</v>
      </c>
      <c r="Q58" s="118">
        <f>SUM(Q37:Q46)</f>
        <v>36361.038226775003</v>
      </c>
      <c r="R58" s="118">
        <f t="shared" ref="R58:W58" si="37">SUM(R37:R46)</f>
        <v>37342.388310912502</v>
      </c>
      <c r="S58" s="118">
        <f t="shared" si="37"/>
        <v>39012.512056587497</v>
      </c>
      <c r="T58" s="118">
        <f t="shared" si="37"/>
        <v>37909.255129700003</v>
      </c>
      <c r="U58" s="118">
        <f t="shared" si="37"/>
        <v>39780.525165912499</v>
      </c>
      <c r="V58" s="118">
        <f t="shared" si="37"/>
        <v>0</v>
      </c>
      <c r="W58" s="118">
        <f t="shared" si="37"/>
        <v>0</v>
      </c>
      <c r="X58" s="80"/>
      <c r="Y58" s="80"/>
      <c r="Z58" s="80"/>
      <c r="AA58" s="80"/>
      <c r="AB58" s="80"/>
      <c r="AC58" s="80"/>
      <c r="AD58" s="80"/>
      <c r="AE58" s="80"/>
      <c r="AF58" s="80"/>
      <c r="AG58" s="80"/>
    </row>
    <row r="59" spans="2:33" ht="11.25" customHeight="1" x14ac:dyDescent="0.2">
      <c r="B59" s="302"/>
      <c r="C59" s="303"/>
      <c r="D59" s="87" t="s">
        <v>86</v>
      </c>
      <c r="E59" s="80"/>
      <c r="F59" s="118">
        <f t="shared" ref="F59:W59" si="38">SUM(F49:F51)</f>
        <v>0</v>
      </c>
      <c r="G59" s="118">
        <f t="shared" si="38"/>
        <v>0</v>
      </c>
      <c r="H59" s="118">
        <f t="shared" si="38"/>
        <v>0</v>
      </c>
      <c r="I59" s="118">
        <f t="shared" si="38"/>
        <v>0</v>
      </c>
      <c r="J59" s="118">
        <f t="shared" si="38"/>
        <v>0</v>
      </c>
      <c r="K59" s="118">
        <f t="shared" si="38"/>
        <v>0</v>
      </c>
      <c r="L59" s="118">
        <f t="shared" si="38"/>
        <v>10513.31384478375</v>
      </c>
      <c r="M59" s="118">
        <f t="shared" si="38"/>
        <v>10131.33907083375</v>
      </c>
      <c r="N59" s="118">
        <f t="shared" si="38"/>
        <v>10686.218383417501</v>
      </c>
      <c r="O59" s="118">
        <f t="shared" si="38"/>
        <v>10729.901668736251</v>
      </c>
      <c r="P59" s="118">
        <f t="shared" si="38"/>
        <v>10912.558754790001</v>
      </c>
      <c r="Q59" s="118">
        <f>SUM(Q49:Q51)</f>
        <v>10336.752100867501</v>
      </c>
      <c r="R59" s="118">
        <f t="shared" si="38"/>
        <v>10408.473960018751</v>
      </c>
      <c r="S59" s="118">
        <f t="shared" si="38"/>
        <v>10129.307290121251</v>
      </c>
      <c r="T59" s="118">
        <f t="shared" si="38"/>
        <v>9974.688777899999</v>
      </c>
      <c r="U59" s="118">
        <f t="shared" si="38"/>
        <v>10430.010835571251</v>
      </c>
      <c r="V59" s="118">
        <f t="shared" si="38"/>
        <v>0</v>
      </c>
      <c r="W59" s="118">
        <f t="shared" si="38"/>
        <v>0</v>
      </c>
      <c r="X59" s="80"/>
      <c r="Y59" s="80"/>
      <c r="Z59" s="80"/>
      <c r="AA59" s="80"/>
      <c r="AB59" s="80"/>
      <c r="AC59" s="80"/>
      <c r="AD59" s="80"/>
      <c r="AE59" s="80"/>
      <c r="AF59" s="80"/>
      <c r="AG59" s="80"/>
    </row>
    <row r="60" spans="2:33" ht="11.25" customHeight="1" x14ac:dyDescent="0.2">
      <c r="B60" s="304"/>
      <c r="C60" s="305"/>
      <c r="D60" s="87" t="s">
        <v>87</v>
      </c>
      <c r="E60" s="80"/>
      <c r="F60" s="118">
        <f t="shared" ref="F60:K60" si="39">F10*2*1.05</f>
        <v>0</v>
      </c>
      <c r="G60" s="118">
        <f t="shared" si="39"/>
        <v>0</v>
      </c>
      <c r="H60" s="118">
        <f t="shared" si="39"/>
        <v>0</v>
      </c>
      <c r="I60" s="118">
        <f t="shared" si="39"/>
        <v>0</v>
      </c>
      <c r="J60" s="118">
        <f t="shared" si="39"/>
        <v>0</v>
      </c>
      <c r="K60" s="118">
        <f t="shared" si="39"/>
        <v>0</v>
      </c>
      <c r="L60" s="118">
        <f t="shared" ref="L60:W60" si="40">+L54</f>
        <v>2066.3526000000002</v>
      </c>
      <c r="M60" s="118">
        <f t="shared" si="40"/>
        <v>1893.2550000000001</v>
      </c>
      <c r="N60" s="118">
        <f t="shared" si="40"/>
        <v>1998.7363499999999</v>
      </c>
      <c r="O60" s="118">
        <f t="shared" si="40"/>
        <v>2050.1246999999998</v>
      </c>
      <c r="P60" s="118">
        <f t="shared" si="40"/>
        <v>2017.6688999999999</v>
      </c>
      <c r="Q60" s="118">
        <f>+Q54</f>
        <v>2128.5595499999999</v>
      </c>
      <c r="R60" s="118">
        <f t="shared" si="40"/>
        <v>1855.3898999999999</v>
      </c>
      <c r="S60" s="118">
        <f t="shared" si="40"/>
        <v>2087.9897999999998</v>
      </c>
      <c r="T60" s="118">
        <f t="shared" si="40"/>
        <v>1920.3015</v>
      </c>
      <c r="U60" s="118">
        <f t="shared" si="40"/>
        <v>1879.7317499999999</v>
      </c>
      <c r="V60" s="118">
        <f t="shared" si="40"/>
        <v>0</v>
      </c>
      <c r="W60" s="118">
        <f t="shared" si="40"/>
        <v>0</v>
      </c>
      <c r="X60" s="80"/>
      <c r="Y60" s="80"/>
      <c r="Z60" s="80"/>
      <c r="AA60" s="80"/>
      <c r="AB60" s="80"/>
      <c r="AC60" s="80"/>
      <c r="AD60" s="80"/>
      <c r="AE60" s="80"/>
      <c r="AF60" s="80"/>
      <c r="AG60" s="80"/>
    </row>
    <row r="61" spans="2:33" ht="11.25" customHeight="1" x14ac:dyDescent="0.2">
      <c r="B61" s="80"/>
      <c r="C61" s="80"/>
      <c r="D61" s="119" t="s">
        <v>98</v>
      </c>
      <c r="E61" s="120"/>
      <c r="F61" s="121">
        <f t="shared" ref="F61:W61" si="41">SUM(F58:F60)</f>
        <v>0</v>
      </c>
      <c r="G61" s="121">
        <f t="shared" si="41"/>
        <v>0</v>
      </c>
      <c r="H61" s="121">
        <f t="shared" si="41"/>
        <v>0</v>
      </c>
      <c r="I61" s="121">
        <f t="shared" si="41"/>
        <v>0</v>
      </c>
      <c r="J61" s="121">
        <f t="shared" si="41"/>
        <v>0</v>
      </c>
      <c r="K61" s="121">
        <f t="shared" si="41"/>
        <v>0</v>
      </c>
      <c r="L61" s="121">
        <f t="shared" si="41"/>
        <v>48812.702486671245</v>
      </c>
      <c r="M61" s="121">
        <f t="shared" si="41"/>
        <v>46185.213785971246</v>
      </c>
      <c r="N61" s="121">
        <f t="shared" si="41"/>
        <v>49728.671279592498</v>
      </c>
      <c r="O61" s="121">
        <f t="shared" si="41"/>
        <v>49104.492542686254</v>
      </c>
      <c r="P61" s="121">
        <f t="shared" si="41"/>
        <v>49797.179278977499</v>
      </c>
      <c r="Q61" s="121">
        <f t="shared" si="41"/>
        <v>48826.349877642504</v>
      </c>
      <c r="R61" s="121">
        <f t="shared" si="41"/>
        <v>49606.252170931257</v>
      </c>
      <c r="S61" s="121">
        <f t="shared" si="41"/>
        <v>51229.809146708751</v>
      </c>
      <c r="T61" s="121">
        <f t="shared" si="41"/>
        <v>49804.245407599999</v>
      </c>
      <c r="U61" s="121">
        <f t="shared" si="41"/>
        <v>52090.267751483749</v>
      </c>
      <c r="V61" s="121">
        <f t="shared" si="41"/>
        <v>0</v>
      </c>
      <c r="W61" s="121">
        <f t="shared" si="41"/>
        <v>0</v>
      </c>
      <c r="X61" s="122"/>
      <c r="Y61" s="80"/>
      <c r="Z61" s="103"/>
      <c r="AA61" s="80"/>
      <c r="AB61" s="103"/>
      <c r="AC61" s="80"/>
      <c r="AD61" s="80"/>
      <c r="AE61" s="80"/>
      <c r="AF61" s="80"/>
      <c r="AG61" s="80"/>
    </row>
    <row r="62" spans="2:33" ht="11.25" customHeight="1" x14ac:dyDescent="0.2"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80"/>
      <c r="Z62" s="80"/>
      <c r="AA62" s="80"/>
      <c r="AB62" s="80"/>
      <c r="AC62" s="80"/>
      <c r="AD62" s="80"/>
      <c r="AE62" s="80"/>
      <c r="AF62" s="80"/>
      <c r="AG62" s="80"/>
    </row>
    <row r="63" spans="2:33" ht="11.25" customHeight="1" x14ac:dyDescent="0.2"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122"/>
      <c r="Y63" s="80"/>
      <c r="Z63" s="80"/>
      <c r="AA63" s="80"/>
      <c r="AB63" s="80"/>
      <c r="AC63" s="80"/>
      <c r="AD63" s="80"/>
      <c r="AE63" s="80"/>
      <c r="AF63" s="80"/>
      <c r="AG63" s="80"/>
    </row>
    <row r="64" spans="2:33" ht="11.25" customHeight="1" x14ac:dyDescent="0.2"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122"/>
      <c r="Y64" s="80"/>
      <c r="Z64" s="80"/>
      <c r="AA64" s="80"/>
      <c r="AB64" s="80"/>
      <c r="AC64" s="80"/>
      <c r="AD64" s="80"/>
      <c r="AE64" s="80"/>
      <c r="AF64" s="80"/>
      <c r="AG64" s="80"/>
    </row>
    <row r="65" spans="2:33" ht="11.25" customHeight="1" x14ac:dyDescent="0.2">
      <c r="B65" s="80"/>
      <c r="C65" s="80"/>
      <c r="D65" s="80"/>
      <c r="E65" s="80"/>
      <c r="F65" s="122"/>
      <c r="G65" s="122"/>
      <c r="H65" s="80"/>
      <c r="I65" s="80"/>
      <c r="J65" s="80"/>
      <c r="K65" s="122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122"/>
      <c r="Y65" s="80"/>
      <c r="Z65" s="80"/>
      <c r="AA65" s="80"/>
      <c r="AB65" s="80"/>
      <c r="AC65" s="80"/>
      <c r="AD65" s="80"/>
      <c r="AE65" s="80"/>
      <c r="AF65" s="80"/>
      <c r="AG65" s="80"/>
    </row>
    <row r="66" spans="2:33" ht="11.25" hidden="1" customHeight="1" x14ac:dyDescent="0.2">
      <c r="B66" s="80"/>
      <c r="C66" s="80"/>
      <c r="D66" s="80"/>
      <c r="E66" s="80"/>
      <c r="F66" s="122" t="s">
        <v>210</v>
      </c>
      <c r="G66" s="122" t="s">
        <v>210</v>
      </c>
      <c r="H66" s="122" t="s">
        <v>210</v>
      </c>
      <c r="I66" s="122" t="s">
        <v>210</v>
      </c>
      <c r="J66" s="122" t="s">
        <v>210</v>
      </c>
      <c r="K66" s="122" t="s">
        <v>210</v>
      </c>
      <c r="L66" s="122" t="s">
        <v>210</v>
      </c>
      <c r="M66" s="122" t="s">
        <v>210</v>
      </c>
      <c r="N66" s="122" t="s">
        <v>210</v>
      </c>
      <c r="O66" s="122" t="s">
        <v>210</v>
      </c>
      <c r="P66" s="122" t="s">
        <v>210</v>
      </c>
      <c r="Q66" s="122" t="s">
        <v>210</v>
      </c>
      <c r="R66" s="122" t="s">
        <v>210</v>
      </c>
      <c r="S66" s="122" t="s">
        <v>210</v>
      </c>
      <c r="T66" s="122" t="s">
        <v>210</v>
      </c>
      <c r="U66" s="122" t="s">
        <v>210</v>
      </c>
      <c r="V66" s="122" t="s">
        <v>210</v>
      </c>
      <c r="W66" s="122" t="s">
        <v>210</v>
      </c>
      <c r="X66" s="80"/>
      <c r="Y66" s="80"/>
      <c r="Z66" s="80"/>
      <c r="AA66" s="80"/>
      <c r="AB66" s="80"/>
      <c r="AC66" s="80"/>
      <c r="AD66" s="80"/>
      <c r="AE66" s="80"/>
      <c r="AF66" s="80"/>
      <c r="AG66" s="80"/>
    </row>
    <row r="67" spans="2:33" ht="11.25" customHeight="1" x14ac:dyDescent="0.2">
      <c r="B67" s="80"/>
      <c r="C67" s="80"/>
      <c r="D67" s="80"/>
      <c r="E67" s="80"/>
      <c r="F67" s="122"/>
      <c r="G67" s="122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</row>
    <row r="68" spans="2:33" ht="11.25" customHeight="1" x14ac:dyDescent="0.2">
      <c r="B68" s="80"/>
      <c r="C68" s="80"/>
      <c r="D68" s="80"/>
      <c r="E68" s="80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80"/>
      <c r="Y68" s="80"/>
      <c r="Z68" s="80"/>
      <c r="AA68" s="80"/>
      <c r="AB68" s="80"/>
      <c r="AC68" s="80"/>
      <c r="AD68" s="80"/>
      <c r="AE68" s="80"/>
      <c r="AF68" s="80"/>
      <c r="AG68" s="80"/>
    </row>
    <row r="69" spans="2:33" ht="11.25" customHeight="1" x14ac:dyDescent="0.2"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</row>
    <row r="70" spans="2:33" ht="11.25" customHeight="1" x14ac:dyDescent="0.2">
      <c r="B70" s="80"/>
      <c r="C70" s="80"/>
      <c r="D70" s="80"/>
      <c r="E70" s="80"/>
      <c r="F70" s="92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</row>
    <row r="71" spans="2:33" ht="11.25" customHeight="1" x14ac:dyDescent="0.2">
      <c r="B71" s="80"/>
      <c r="C71" s="80"/>
      <c r="D71" s="80"/>
      <c r="E71" s="80"/>
      <c r="F71" s="92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</row>
    <row r="72" spans="2:33" ht="11.25" customHeight="1" x14ac:dyDescent="0.2"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</row>
    <row r="73" spans="2:33" ht="11.25" customHeight="1" x14ac:dyDescent="0.2"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</row>
    <row r="74" spans="2:33" ht="11.25" customHeight="1" x14ac:dyDescent="0.2"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</row>
    <row r="75" spans="2:33" ht="11.25" customHeight="1" x14ac:dyDescent="0.2"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</row>
    <row r="76" spans="2:33" ht="11.25" customHeight="1" x14ac:dyDescent="0.2"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</row>
    <row r="77" spans="2:33" ht="11.25" customHeight="1" x14ac:dyDescent="0.2"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</row>
    <row r="78" spans="2:33" ht="11.25" customHeight="1" x14ac:dyDescent="0.2"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</row>
    <row r="79" spans="2:33" ht="11.25" customHeight="1" x14ac:dyDescent="0.2"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</row>
    <row r="80" spans="2:33" ht="11.25" customHeight="1" x14ac:dyDescent="0.2"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</row>
    <row r="81" spans="2:33" ht="11.25" customHeight="1" x14ac:dyDescent="0.2"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</row>
    <row r="82" spans="2:33" ht="11.25" customHeight="1" x14ac:dyDescent="0.2"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</row>
    <row r="83" spans="2:33" ht="11.25" customHeight="1" x14ac:dyDescent="0.2"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</row>
    <row r="84" spans="2:33" ht="11.25" customHeight="1" x14ac:dyDescent="0.2"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</row>
    <row r="85" spans="2:33" ht="11.25" customHeight="1" x14ac:dyDescent="0.2"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</row>
    <row r="86" spans="2:33" ht="11.25" customHeight="1" x14ac:dyDescent="0.2"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</row>
    <row r="87" spans="2:33" ht="11.25" customHeight="1" x14ac:dyDescent="0.2"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</row>
    <row r="88" spans="2:33" ht="11.25" customHeight="1" x14ac:dyDescent="0.2"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</row>
    <row r="89" spans="2:33" ht="11.25" customHeight="1" x14ac:dyDescent="0.2"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</row>
    <row r="90" spans="2:33" ht="11.25" customHeight="1" x14ac:dyDescent="0.2"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</row>
    <row r="91" spans="2:33" ht="11.25" customHeight="1" x14ac:dyDescent="0.2"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</row>
    <row r="92" spans="2:33" ht="11.25" customHeight="1" x14ac:dyDescent="0.2"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</row>
    <row r="93" spans="2:33" ht="11.25" customHeight="1" x14ac:dyDescent="0.2"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</row>
    <row r="94" spans="2:33" ht="11.25" customHeight="1" x14ac:dyDescent="0.2"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</row>
    <row r="95" spans="2:33" ht="11.25" customHeight="1" x14ac:dyDescent="0.2"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</row>
    <row r="96" spans="2:33" ht="11.25" customHeight="1" x14ac:dyDescent="0.2"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</row>
    <row r="97" spans="2:33" ht="11.25" customHeight="1" x14ac:dyDescent="0.2"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</row>
    <row r="98" spans="2:33" ht="11.25" customHeight="1" x14ac:dyDescent="0.2"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</row>
    <row r="99" spans="2:33" ht="11.25" customHeight="1" x14ac:dyDescent="0.2"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</row>
    <row r="100" spans="2:33" ht="11.25" customHeight="1" x14ac:dyDescent="0.2"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</row>
    <row r="101" spans="2:33" ht="11.25" customHeight="1" x14ac:dyDescent="0.2"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</row>
    <row r="102" spans="2:33" ht="11.25" customHeight="1" x14ac:dyDescent="0.2"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</row>
    <row r="103" spans="2:33" ht="11.25" customHeight="1" x14ac:dyDescent="0.2"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</row>
    <row r="104" spans="2:33" ht="11.25" customHeight="1" x14ac:dyDescent="0.2"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</row>
    <row r="105" spans="2:33" ht="11.25" customHeight="1" x14ac:dyDescent="0.2"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</row>
    <row r="106" spans="2:33" ht="11.25" customHeight="1" x14ac:dyDescent="0.2"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</row>
    <row r="107" spans="2:33" ht="11.25" customHeight="1" x14ac:dyDescent="0.2"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</row>
    <row r="108" spans="2:33" ht="11.25" customHeight="1" x14ac:dyDescent="0.2"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</row>
    <row r="109" spans="2:33" ht="11.25" customHeight="1" x14ac:dyDescent="0.2"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</row>
    <row r="110" spans="2:33" ht="11.25" customHeight="1" x14ac:dyDescent="0.2"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</row>
    <row r="111" spans="2:33" ht="11.25" customHeight="1" x14ac:dyDescent="0.2"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</row>
    <row r="112" spans="2:33" ht="11.25" customHeight="1" x14ac:dyDescent="0.2"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</row>
    <row r="113" spans="2:33" ht="11.25" customHeight="1" x14ac:dyDescent="0.2"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</row>
    <row r="114" spans="2:33" ht="11.25" customHeight="1" x14ac:dyDescent="0.2"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</row>
    <row r="115" spans="2:33" ht="11.25" customHeight="1" x14ac:dyDescent="0.2"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</row>
    <row r="116" spans="2:33" ht="11.25" customHeight="1" x14ac:dyDescent="0.2"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</row>
    <row r="117" spans="2:33" ht="11.25" customHeight="1" x14ac:dyDescent="0.2"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</row>
    <row r="118" spans="2:33" ht="11.25" customHeight="1" x14ac:dyDescent="0.2"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</row>
    <row r="119" spans="2:33" ht="11.25" customHeight="1" x14ac:dyDescent="0.2"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</row>
    <row r="120" spans="2:33" ht="11.25" customHeight="1" x14ac:dyDescent="0.2"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</row>
    <row r="121" spans="2:33" ht="11.25" customHeight="1" x14ac:dyDescent="0.2"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</row>
    <row r="122" spans="2:33" ht="11.25" customHeight="1" x14ac:dyDescent="0.2"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</row>
    <row r="123" spans="2:33" ht="11.25" customHeight="1" x14ac:dyDescent="0.2"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</row>
    <row r="124" spans="2:33" ht="11.25" customHeight="1" x14ac:dyDescent="0.2"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</row>
    <row r="125" spans="2:33" ht="11.25" customHeight="1" x14ac:dyDescent="0.2"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</row>
    <row r="126" spans="2:33" ht="11.25" customHeight="1" x14ac:dyDescent="0.2"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</row>
    <row r="127" spans="2:33" ht="11.25" customHeight="1" x14ac:dyDescent="0.2"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</row>
    <row r="128" spans="2:33" ht="11.25" customHeight="1" x14ac:dyDescent="0.2"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</row>
    <row r="129" spans="2:33" ht="11.25" customHeight="1" x14ac:dyDescent="0.2"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</row>
    <row r="130" spans="2:33" ht="11.25" customHeight="1" x14ac:dyDescent="0.2"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</row>
    <row r="131" spans="2:33" ht="11.25" customHeight="1" x14ac:dyDescent="0.2"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</row>
    <row r="132" spans="2:33" ht="11.25" customHeight="1" x14ac:dyDescent="0.2"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</row>
    <row r="133" spans="2:33" ht="11.25" customHeight="1" x14ac:dyDescent="0.2"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</row>
    <row r="134" spans="2:33" ht="11.25" customHeight="1" x14ac:dyDescent="0.2"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</row>
    <row r="135" spans="2:33" ht="11.25" customHeight="1" x14ac:dyDescent="0.2"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</row>
    <row r="136" spans="2:33" ht="11.25" customHeight="1" x14ac:dyDescent="0.2"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</row>
    <row r="137" spans="2:33" ht="11.25" customHeight="1" x14ac:dyDescent="0.2"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</row>
    <row r="138" spans="2:33" ht="11.25" customHeight="1" x14ac:dyDescent="0.2"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</row>
    <row r="139" spans="2:33" ht="11.25" customHeight="1" x14ac:dyDescent="0.2"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</row>
    <row r="140" spans="2:33" ht="11.25" customHeight="1" x14ac:dyDescent="0.2"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</row>
    <row r="141" spans="2:33" ht="11.25" customHeight="1" x14ac:dyDescent="0.2"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</row>
    <row r="142" spans="2:33" ht="11.25" customHeight="1" x14ac:dyDescent="0.2"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</row>
    <row r="143" spans="2:33" ht="11.25" customHeight="1" x14ac:dyDescent="0.2"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</row>
    <row r="144" spans="2:33" ht="11.25" customHeight="1" x14ac:dyDescent="0.2"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</row>
    <row r="145" spans="2:33" ht="11.25" customHeight="1" x14ac:dyDescent="0.2"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</row>
    <row r="146" spans="2:33" ht="11.25" customHeight="1" x14ac:dyDescent="0.2"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</row>
    <row r="147" spans="2:33" ht="11.25" customHeight="1" x14ac:dyDescent="0.2"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</row>
    <row r="148" spans="2:33" ht="11.25" customHeight="1" x14ac:dyDescent="0.2"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</row>
    <row r="149" spans="2:33" ht="11.25" customHeight="1" x14ac:dyDescent="0.2"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</row>
    <row r="150" spans="2:33" ht="11.25" customHeight="1" x14ac:dyDescent="0.2"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</row>
    <row r="151" spans="2:33" ht="11.25" customHeight="1" x14ac:dyDescent="0.2"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</row>
    <row r="152" spans="2:33" ht="11.25" customHeight="1" x14ac:dyDescent="0.2"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</row>
    <row r="153" spans="2:33" ht="11.25" customHeight="1" x14ac:dyDescent="0.2"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</row>
    <row r="154" spans="2:33" ht="11.25" customHeight="1" x14ac:dyDescent="0.2"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</row>
    <row r="155" spans="2:33" ht="11.25" customHeight="1" x14ac:dyDescent="0.2"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</row>
    <row r="156" spans="2:33" ht="11.25" customHeight="1" x14ac:dyDescent="0.2"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</row>
    <row r="157" spans="2:33" ht="11.25" customHeight="1" x14ac:dyDescent="0.2"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</row>
    <row r="158" spans="2:33" ht="11.25" customHeight="1" x14ac:dyDescent="0.2"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</row>
    <row r="159" spans="2:33" ht="11.25" customHeight="1" x14ac:dyDescent="0.2"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</row>
    <row r="160" spans="2:33" ht="11.25" customHeight="1" x14ac:dyDescent="0.2"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</row>
    <row r="161" spans="2:33" ht="11.25" customHeight="1" x14ac:dyDescent="0.2"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</row>
    <row r="162" spans="2:33" ht="11.25" customHeight="1" x14ac:dyDescent="0.2"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</row>
    <row r="163" spans="2:33" ht="11.25" customHeight="1" x14ac:dyDescent="0.2"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</row>
    <row r="164" spans="2:33" ht="11.25" customHeight="1" x14ac:dyDescent="0.2"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</row>
    <row r="165" spans="2:33" ht="11.25" customHeight="1" x14ac:dyDescent="0.2"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</row>
    <row r="166" spans="2:33" ht="11.25" customHeight="1" x14ac:dyDescent="0.2"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</row>
    <row r="167" spans="2:33" ht="11.25" customHeight="1" x14ac:dyDescent="0.2"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</row>
    <row r="168" spans="2:33" ht="11.25" customHeight="1" x14ac:dyDescent="0.2"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</row>
    <row r="169" spans="2:33" ht="11.25" customHeight="1" x14ac:dyDescent="0.2"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</row>
    <row r="170" spans="2:33" ht="11.25" customHeight="1" x14ac:dyDescent="0.2"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</row>
    <row r="171" spans="2:33" ht="11.25" customHeight="1" x14ac:dyDescent="0.2"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</row>
    <row r="172" spans="2:33" ht="11.25" customHeight="1" x14ac:dyDescent="0.2"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</row>
    <row r="173" spans="2:33" ht="11.25" customHeight="1" x14ac:dyDescent="0.2"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</row>
    <row r="174" spans="2:33" ht="11.25" customHeight="1" x14ac:dyDescent="0.2"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</row>
    <row r="175" spans="2:33" ht="11.25" customHeight="1" x14ac:dyDescent="0.2"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</row>
    <row r="176" spans="2:33" ht="11.25" customHeight="1" x14ac:dyDescent="0.2"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</row>
    <row r="177" spans="2:33" ht="11.25" customHeight="1" x14ac:dyDescent="0.2"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</row>
    <row r="178" spans="2:33" ht="11.25" customHeight="1" x14ac:dyDescent="0.2"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</row>
    <row r="179" spans="2:33" ht="11.25" customHeight="1" x14ac:dyDescent="0.2"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</row>
    <row r="180" spans="2:33" ht="11.25" customHeight="1" x14ac:dyDescent="0.2"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</row>
    <row r="181" spans="2:33" ht="11.25" customHeight="1" x14ac:dyDescent="0.2"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</row>
    <row r="182" spans="2:33" ht="11.25" customHeight="1" x14ac:dyDescent="0.2"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</row>
    <row r="183" spans="2:33" ht="11.25" customHeight="1" x14ac:dyDescent="0.2"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</row>
    <row r="184" spans="2:33" ht="11.25" customHeight="1" x14ac:dyDescent="0.2"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</row>
    <row r="185" spans="2:33" ht="11.25" customHeight="1" x14ac:dyDescent="0.2"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</row>
    <row r="186" spans="2:33" ht="11.25" customHeight="1" x14ac:dyDescent="0.2"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</row>
    <row r="187" spans="2:33" ht="11.25" customHeight="1" x14ac:dyDescent="0.2"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</row>
    <row r="188" spans="2:33" ht="11.25" customHeight="1" x14ac:dyDescent="0.2"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</row>
    <row r="189" spans="2:33" ht="11.25" customHeight="1" x14ac:dyDescent="0.2"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</row>
    <row r="190" spans="2:33" ht="11.25" customHeight="1" x14ac:dyDescent="0.2"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</row>
    <row r="191" spans="2:33" ht="11.25" customHeight="1" x14ac:dyDescent="0.2"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</row>
    <row r="192" spans="2:33" ht="11.25" customHeight="1" x14ac:dyDescent="0.2"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</row>
    <row r="193" spans="2:33" ht="11.25" customHeight="1" x14ac:dyDescent="0.2"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</row>
    <row r="194" spans="2:33" ht="11.25" customHeight="1" x14ac:dyDescent="0.2"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</row>
    <row r="195" spans="2:33" ht="11.25" customHeight="1" x14ac:dyDescent="0.2"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</row>
    <row r="196" spans="2:33" ht="11.25" customHeight="1" x14ac:dyDescent="0.2"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</row>
    <row r="197" spans="2:33" ht="11.25" customHeight="1" x14ac:dyDescent="0.2"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</row>
    <row r="198" spans="2:33" ht="11.25" customHeight="1" x14ac:dyDescent="0.2"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</row>
    <row r="199" spans="2:33" ht="11.25" customHeight="1" x14ac:dyDescent="0.2"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</row>
    <row r="200" spans="2:33" ht="11.25" customHeight="1" x14ac:dyDescent="0.2"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</row>
    <row r="201" spans="2:33" ht="11.25" customHeight="1" x14ac:dyDescent="0.2"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</row>
    <row r="202" spans="2:33" ht="11.25" customHeight="1" x14ac:dyDescent="0.2"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</row>
    <row r="203" spans="2:33" ht="11.25" customHeight="1" x14ac:dyDescent="0.2"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</row>
    <row r="204" spans="2:33" ht="11.25" customHeight="1" x14ac:dyDescent="0.2"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</row>
    <row r="205" spans="2:33" ht="11.25" customHeight="1" x14ac:dyDescent="0.2"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</row>
    <row r="206" spans="2:33" ht="11.25" customHeight="1" x14ac:dyDescent="0.2"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</row>
    <row r="207" spans="2:33" ht="11.25" customHeight="1" x14ac:dyDescent="0.2"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</row>
    <row r="208" spans="2:33" ht="11.25" customHeight="1" x14ac:dyDescent="0.2"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</row>
    <row r="209" spans="2:33" ht="11.25" customHeight="1" x14ac:dyDescent="0.2"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</row>
    <row r="210" spans="2:33" ht="11.25" customHeight="1" x14ac:dyDescent="0.2"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</row>
    <row r="211" spans="2:33" ht="11.25" customHeight="1" x14ac:dyDescent="0.2"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</row>
    <row r="212" spans="2:33" ht="11.25" customHeight="1" x14ac:dyDescent="0.2"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</row>
    <row r="213" spans="2:33" ht="11.25" customHeight="1" x14ac:dyDescent="0.2"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</row>
    <row r="214" spans="2:33" ht="11.25" customHeight="1" x14ac:dyDescent="0.2"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</row>
    <row r="215" spans="2:33" ht="11.25" customHeight="1" x14ac:dyDescent="0.2"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</row>
    <row r="216" spans="2:33" ht="11.25" customHeight="1" x14ac:dyDescent="0.2"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</row>
    <row r="217" spans="2:33" ht="11.25" customHeight="1" x14ac:dyDescent="0.2"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</row>
    <row r="218" spans="2:33" ht="11.25" customHeight="1" x14ac:dyDescent="0.2"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</row>
    <row r="219" spans="2:33" ht="11.25" customHeight="1" x14ac:dyDescent="0.2"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</row>
    <row r="220" spans="2:33" ht="11.25" customHeight="1" x14ac:dyDescent="0.2"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</row>
    <row r="221" spans="2:33" ht="11.25" customHeight="1" x14ac:dyDescent="0.2"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</row>
    <row r="222" spans="2:33" ht="11.25" customHeight="1" x14ac:dyDescent="0.2"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</row>
    <row r="223" spans="2:33" ht="11.25" customHeight="1" x14ac:dyDescent="0.2"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</row>
    <row r="224" spans="2:33" ht="11.25" customHeight="1" x14ac:dyDescent="0.2"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</row>
    <row r="225" spans="2:33" ht="11.25" customHeight="1" x14ac:dyDescent="0.2"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</row>
    <row r="226" spans="2:33" ht="11.25" customHeight="1" x14ac:dyDescent="0.2"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</row>
    <row r="227" spans="2:33" ht="11.25" customHeight="1" x14ac:dyDescent="0.2"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</row>
    <row r="228" spans="2:33" ht="11.25" customHeight="1" x14ac:dyDescent="0.2"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</row>
    <row r="229" spans="2:33" ht="11.25" customHeight="1" x14ac:dyDescent="0.2"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</row>
    <row r="230" spans="2:33" ht="11.25" customHeight="1" x14ac:dyDescent="0.2"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</row>
    <row r="231" spans="2:33" ht="11.25" customHeight="1" x14ac:dyDescent="0.2"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</row>
    <row r="232" spans="2:33" ht="11.25" customHeight="1" x14ac:dyDescent="0.2"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</row>
    <row r="233" spans="2:33" ht="11.25" customHeight="1" x14ac:dyDescent="0.2"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</row>
    <row r="234" spans="2:33" ht="11.25" customHeight="1" x14ac:dyDescent="0.2"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</row>
    <row r="235" spans="2:33" ht="11.25" customHeight="1" x14ac:dyDescent="0.2"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</row>
    <row r="236" spans="2:33" ht="11.25" customHeight="1" x14ac:dyDescent="0.2"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</row>
    <row r="237" spans="2:33" ht="11.25" customHeight="1" x14ac:dyDescent="0.2"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</row>
    <row r="238" spans="2:33" ht="11.25" customHeight="1" x14ac:dyDescent="0.2"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</row>
    <row r="239" spans="2:33" ht="11.25" customHeight="1" x14ac:dyDescent="0.2"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</row>
    <row r="240" spans="2:33" ht="11.25" customHeight="1" x14ac:dyDescent="0.2"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</row>
    <row r="241" spans="2:33" ht="11.25" customHeight="1" x14ac:dyDescent="0.2"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</row>
    <row r="242" spans="2:33" ht="11.25" customHeight="1" x14ac:dyDescent="0.2"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</row>
    <row r="243" spans="2:33" ht="11.25" customHeight="1" x14ac:dyDescent="0.2"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</row>
    <row r="244" spans="2:33" ht="11.25" customHeight="1" x14ac:dyDescent="0.2"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</row>
    <row r="245" spans="2:33" ht="11.25" customHeight="1" x14ac:dyDescent="0.2"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</row>
    <row r="246" spans="2:33" ht="11.25" customHeight="1" x14ac:dyDescent="0.2"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</row>
    <row r="247" spans="2:33" ht="11.25" customHeight="1" x14ac:dyDescent="0.2"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</row>
    <row r="248" spans="2:33" ht="11.25" customHeight="1" x14ac:dyDescent="0.2"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</row>
    <row r="249" spans="2:33" ht="11.25" customHeight="1" x14ac:dyDescent="0.2"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</row>
    <row r="250" spans="2:33" ht="11.25" customHeight="1" x14ac:dyDescent="0.2"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</row>
    <row r="251" spans="2:33" ht="11.25" customHeight="1" x14ac:dyDescent="0.2"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</row>
    <row r="252" spans="2:33" ht="11.25" customHeight="1" x14ac:dyDescent="0.2"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</row>
    <row r="253" spans="2:33" ht="11.25" customHeight="1" x14ac:dyDescent="0.2"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</row>
    <row r="254" spans="2:33" ht="11.25" customHeight="1" x14ac:dyDescent="0.2"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</row>
    <row r="255" spans="2:33" ht="11.25" customHeight="1" x14ac:dyDescent="0.2"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</row>
    <row r="256" spans="2:33" ht="11.25" customHeight="1" x14ac:dyDescent="0.2"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</row>
    <row r="257" spans="2:33" ht="11.25" customHeight="1" x14ac:dyDescent="0.2"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</row>
    <row r="258" spans="2:33" ht="11.25" customHeight="1" x14ac:dyDescent="0.2"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</row>
    <row r="259" spans="2:33" ht="11.25" customHeight="1" x14ac:dyDescent="0.2"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</row>
    <row r="260" spans="2:33" ht="11.25" customHeight="1" x14ac:dyDescent="0.2"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</row>
    <row r="261" spans="2:33" ht="11.25" customHeight="1" x14ac:dyDescent="0.2"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</row>
    <row r="262" spans="2:33" ht="11.25" customHeight="1" x14ac:dyDescent="0.2"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</row>
    <row r="263" spans="2:33" ht="11.25" customHeight="1" x14ac:dyDescent="0.2"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</row>
    <row r="264" spans="2:33" ht="11.25" customHeight="1" x14ac:dyDescent="0.2"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</row>
    <row r="265" spans="2:33" ht="11.25" customHeight="1" x14ac:dyDescent="0.2"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</row>
    <row r="266" spans="2:33" ht="11.25" customHeight="1" x14ac:dyDescent="0.2"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</row>
    <row r="267" spans="2:33" ht="11.25" customHeight="1" x14ac:dyDescent="0.2"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</row>
    <row r="268" spans="2:33" ht="11.25" customHeight="1" x14ac:dyDescent="0.2"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</row>
    <row r="269" spans="2:33" ht="11.25" customHeight="1" x14ac:dyDescent="0.2"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</row>
    <row r="270" spans="2:33" ht="11.25" customHeight="1" x14ac:dyDescent="0.2"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</row>
    <row r="271" spans="2:33" ht="11.25" customHeight="1" x14ac:dyDescent="0.2"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</row>
    <row r="272" spans="2:33" ht="11.25" customHeight="1" x14ac:dyDescent="0.2"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</row>
    <row r="273" spans="2:33" ht="11.25" customHeight="1" x14ac:dyDescent="0.2"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</row>
    <row r="274" spans="2:33" ht="11.25" customHeight="1" x14ac:dyDescent="0.2"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</row>
    <row r="275" spans="2:33" ht="11.25" customHeight="1" x14ac:dyDescent="0.2"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</row>
    <row r="276" spans="2:33" ht="11.25" customHeight="1" x14ac:dyDescent="0.2"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</row>
    <row r="277" spans="2:33" ht="11.25" customHeight="1" x14ac:dyDescent="0.2"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</row>
    <row r="278" spans="2:33" ht="11.25" customHeight="1" x14ac:dyDescent="0.2"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</row>
    <row r="279" spans="2:33" ht="11.25" customHeight="1" x14ac:dyDescent="0.2"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</row>
    <row r="280" spans="2:33" ht="11.25" customHeight="1" x14ac:dyDescent="0.2"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</row>
    <row r="281" spans="2:33" ht="11.25" customHeight="1" x14ac:dyDescent="0.2"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</row>
    <row r="282" spans="2:33" ht="11.25" customHeight="1" x14ac:dyDescent="0.2"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</row>
    <row r="283" spans="2:33" ht="11.25" customHeight="1" x14ac:dyDescent="0.2"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</row>
    <row r="284" spans="2:33" ht="11.25" customHeight="1" x14ac:dyDescent="0.2"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</row>
    <row r="285" spans="2:33" ht="11.25" customHeight="1" x14ac:dyDescent="0.2"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</row>
    <row r="286" spans="2:33" ht="11.25" customHeight="1" x14ac:dyDescent="0.2"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</row>
    <row r="287" spans="2:33" ht="11.25" customHeight="1" x14ac:dyDescent="0.2"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</row>
    <row r="288" spans="2:33" ht="11.25" customHeight="1" x14ac:dyDescent="0.2"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</row>
    <row r="289" spans="2:33" ht="11.25" customHeight="1" x14ac:dyDescent="0.2"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</row>
    <row r="290" spans="2:33" ht="11.25" customHeight="1" x14ac:dyDescent="0.2"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</row>
    <row r="291" spans="2:33" ht="11.25" customHeight="1" x14ac:dyDescent="0.2"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</row>
    <row r="292" spans="2:33" ht="11.25" customHeight="1" x14ac:dyDescent="0.2"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</row>
    <row r="293" spans="2:33" ht="11.25" customHeight="1" x14ac:dyDescent="0.2"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</row>
    <row r="294" spans="2:33" ht="11.25" customHeight="1" x14ac:dyDescent="0.2"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</row>
    <row r="295" spans="2:33" ht="11.25" customHeight="1" x14ac:dyDescent="0.2"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</row>
    <row r="296" spans="2:33" ht="11.25" customHeight="1" x14ac:dyDescent="0.2"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</row>
    <row r="297" spans="2:33" ht="11.25" customHeight="1" x14ac:dyDescent="0.2"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</row>
    <row r="298" spans="2:33" ht="11.25" customHeight="1" x14ac:dyDescent="0.2"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</row>
    <row r="299" spans="2:33" ht="11.25" customHeight="1" x14ac:dyDescent="0.2"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</row>
    <row r="300" spans="2:33" ht="11.25" customHeight="1" x14ac:dyDescent="0.2"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</row>
    <row r="301" spans="2:33" ht="11.25" customHeight="1" x14ac:dyDescent="0.2"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</row>
    <row r="302" spans="2:33" ht="11.25" customHeight="1" x14ac:dyDescent="0.2"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</row>
    <row r="303" spans="2:33" ht="11.25" customHeight="1" x14ac:dyDescent="0.2"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</row>
    <row r="304" spans="2:33" ht="11.25" customHeight="1" x14ac:dyDescent="0.2"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</row>
    <row r="305" spans="2:33" ht="11.25" customHeight="1" x14ac:dyDescent="0.2"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</row>
    <row r="306" spans="2:33" ht="11.25" customHeight="1" x14ac:dyDescent="0.2"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</row>
    <row r="307" spans="2:33" ht="11.25" customHeight="1" x14ac:dyDescent="0.2"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</row>
    <row r="308" spans="2:33" ht="11.25" customHeight="1" x14ac:dyDescent="0.2"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</row>
    <row r="309" spans="2:33" ht="11.25" customHeight="1" x14ac:dyDescent="0.2"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</row>
    <row r="310" spans="2:33" ht="11.25" customHeight="1" x14ac:dyDescent="0.2"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</row>
    <row r="311" spans="2:33" ht="11.25" customHeight="1" x14ac:dyDescent="0.2"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</row>
    <row r="312" spans="2:33" ht="11.25" customHeight="1" x14ac:dyDescent="0.2"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</row>
    <row r="313" spans="2:33" ht="11.25" customHeight="1" x14ac:dyDescent="0.2"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</row>
    <row r="314" spans="2:33" ht="11.25" customHeight="1" x14ac:dyDescent="0.2"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</row>
    <row r="315" spans="2:33" ht="11.25" customHeight="1" x14ac:dyDescent="0.2"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</row>
    <row r="316" spans="2:33" ht="11.25" customHeight="1" x14ac:dyDescent="0.2"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</row>
    <row r="317" spans="2:33" ht="11.25" customHeight="1" x14ac:dyDescent="0.2"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</row>
    <row r="318" spans="2:33" ht="11.25" customHeight="1" x14ac:dyDescent="0.2"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</row>
    <row r="319" spans="2:33" ht="11.25" customHeight="1" x14ac:dyDescent="0.2"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</row>
    <row r="320" spans="2:33" ht="11.25" customHeight="1" x14ac:dyDescent="0.2"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</row>
    <row r="321" spans="2:33" ht="11.25" customHeight="1" x14ac:dyDescent="0.2"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</row>
    <row r="322" spans="2:33" ht="11.25" customHeight="1" x14ac:dyDescent="0.2"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</row>
    <row r="323" spans="2:33" ht="11.25" customHeight="1" x14ac:dyDescent="0.2"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</row>
    <row r="324" spans="2:33" ht="11.25" customHeight="1" x14ac:dyDescent="0.2"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</row>
    <row r="325" spans="2:33" ht="11.25" customHeight="1" x14ac:dyDescent="0.2"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</row>
    <row r="326" spans="2:33" ht="11.25" customHeight="1" x14ac:dyDescent="0.2"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</row>
    <row r="327" spans="2:33" ht="11.25" customHeight="1" x14ac:dyDescent="0.2"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</row>
    <row r="328" spans="2:33" ht="11.25" customHeight="1" x14ac:dyDescent="0.2"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</row>
    <row r="329" spans="2:33" ht="11.25" customHeight="1" x14ac:dyDescent="0.2"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</row>
    <row r="330" spans="2:33" ht="11.25" customHeight="1" x14ac:dyDescent="0.2"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</row>
    <row r="331" spans="2:33" ht="11.25" customHeight="1" x14ac:dyDescent="0.2"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</row>
    <row r="332" spans="2:33" ht="11.25" customHeight="1" x14ac:dyDescent="0.2"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</row>
    <row r="333" spans="2:33" ht="11.25" customHeight="1" x14ac:dyDescent="0.2"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</row>
    <row r="334" spans="2:33" ht="11.25" customHeight="1" x14ac:dyDescent="0.2"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</row>
    <row r="335" spans="2:33" ht="11.25" customHeight="1" x14ac:dyDescent="0.2"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</row>
    <row r="336" spans="2:33" ht="11.25" customHeight="1" x14ac:dyDescent="0.2"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</row>
    <row r="337" spans="2:33" ht="11.25" customHeight="1" x14ac:dyDescent="0.2"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</row>
    <row r="338" spans="2:33" ht="11.25" customHeight="1" x14ac:dyDescent="0.2"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</row>
    <row r="339" spans="2:33" ht="11.25" customHeight="1" x14ac:dyDescent="0.2"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</row>
    <row r="340" spans="2:33" ht="11.25" customHeight="1" x14ac:dyDescent="0.2"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</row>
    <row r="341" spans="2:33" ht="11.25" customHeight="1" x14ac:dyDescent="0.2"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</row>
    <row r="342" spans="2:33" ht="11.25" customHeight="1" x14ac:dyDescent="0.2"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</row>
    <row r="343" spans="2:33" ht="11.25" customHeight="1" x14ac:dyDescent="0.2"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</row>
    <row r="344" spans="2:33" ht="11.25" customHeight="1" x14ac:dyDescent="0.2"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</row>
    <row r="345" spans="2:33" ht="11.25" customHeight="1" x14ac:dyDescent="0.2"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</row>
    <row r="346" spans="2:33" ht="11.25" customHeight="1" x14ac:dyDescent="0.2"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</row>
    <row r="347" spans="2:33" ht="11.25" customHeight="1" x14ac:dyDescent="0.2"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</row>
    <row r="348" spans="2:33" ht="11.25" customHeight="1" x14ac:dyDescent="0.2"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</row>
    <row r="349" spans="2:33" ht="11.25" customHeight="1" x14ac:dyDescent="0.2"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</row>
    <row r="350" spans="2:33" ht="11.25" customHeight="1" x14ac:dyDescent="0.2"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</row>
    <row r="351" spans="2:33" ht="11.25" customHeight="1" x14ac:dyDescent="0.2"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</row>
    <row r="352" spans="2:33" ht="11.25" customHeight="1" x14ac:dyDescent="0.2"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</row>
    <row r="353" spans="2:33" ht="11.25" customHeight="1" x14ac:dyDescent="0.2"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</row>
    <row r="354" spans="2:33" ht="11.25" customHeight="1" x14ac:dyDescent="0.2"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</row>
    <row r="355" spans="2:33" ht="11.25" customHeight="1" x14ac:dyDescent="0.2"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</row>
    <row r="356" spans="2:33" ht="11.25" customHeight="1" x14ac:dyDescent="0.2"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</row>
    <row r="357" spans="2:33" ht="11.25" customHeight="1" x14ac:dyDescent="0.2"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</row>
    <row r="358" spans="2:33" ht="11.25" customHeight="1" x14ac:dyDescent="0.2"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</row>
    <row r="359" spans="2:33" ht="11.25" customHeight="1" x14ac:dyDescent="0.2"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</row>
    <row r="360" spans="2:33" ht="11.25" customHeight="1" x14ac:dyDescent="0.2"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</row>
    <row r="361" spans="2:33" ht="11.25" customHeight="1" x14ac:dyDescent="0.2"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</row>
    <row r="362" spans="2:33" ht="11.25" customHeight="1" x14ac:dyDescent="0.2"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</row>
    <row r="363" spans="2:33" ht="11.25" customHeight="1" x14ac:dyDescent="0.2"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</row>
    <row r="364" spans="2:33" ht="11.25" customHeight="1" x14ac:dyDescent="0.2"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</row>
    <row r="365" spans="2:33" ht="11.25" customHeight="1" x14ac:dyDescent="0.2"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</row>
    <row r="366" spans="2:33" ht="11.25" customHeight="1" x14ac:dyDescent="0.2"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</row>
    <row r="367" spans="2:33" ht="11.25" customHeight="1" x14ac:dyDescent="0.2"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</row>
    <row r="368" spans="2:33" ht="11.25" customHeight="1" x14ac:dyDescent="0.2"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</row>
    <row r="369" spans="2:33" ht="11.25" customHeight="1" x14ac:dyDescent="0.2"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</row>
    <row r="370" spans="2:33" ht="11.25" customHeight="1" x14ac:dyDescent="0.2"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</row>
    <row r="371" spans="2:33" ht="11.25" customHeight="1" x14ac:dyDescent="0.2"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</row>
    <row r="372" spans="2:33" ht="11.25" customHeight="1" x14ac:dyDescent="0.2"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</row>
    <row r="373" spans="2:33" ht="11.25" customHeight="1" x14ac:dyDescent="0.2"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</row>
    <row r="374" spans="2:33" ht="11.25" customHeight="1" x14ac:dyDescent="0.2"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</row>
    <row r="375" spans="2:33" ht="11.25" customHeight="1" x14ac:dyDescent="0.2"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</row>
    <row r="376" spans="2:33" ht="11.25" customHeight="1" x14ac:dyDescent="0.2"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</row>
    <row r="377" spans="2:33" ht="11.25" customHeight="1" x14ac:dyDescent="0.2"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</row>
    <row r="378" spans="2:33" ht="11.25" customHeight="1" x14ac:dyDescent="0.2"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</row>
    <row r="379" spans="2:33" ht="11.25" customHeight="1" x14ac:dyDescent="0.2"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</row>
    <row r="380" spans="2:33" ht="11.25" customHeight="1" x14ac:dyDescent="0.2"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</row>
    <row r="381" spans="2:33" ht="11.25" customHeight="1" x14ac:dyDescent="0.2"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</row>
    <row r="382" spans="2:33" ht="11.25" customHeight="1" x14ac:dyDescent="0.2"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</row>
    <row r="383" spans="2:33" ht="11.25" customHeight="1" x14ac:dyDescent="0.2"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</row>
    <row r="384" spans="2:33" ht="11.25" customHeight="1" x14ac:dyDescent="0.2"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</row>
    <row r="385" spans="2:33" ht="11.25" customHeight="1" x14ac:dyDescent="0.2"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</row>
    <row r="386" spans="2:33" ht="11.25" customHeight="1" x14ac:dyDescent="0.2"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</row>
    <row r="387" spans="2:33" ht="11.25" customHeight="1" x14ac:dyDescent="0.2"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</row>
    <row r="388" spans="2:33" ht="11.25" customHeight="1" x14ac:dyDescent="0.2"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</row>
    <row r="389" spans="2:33" ht="11.25" customHeight="1" x14ac:dyDescent="0.2"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</row>
    <row r="390" spans="2:33" ht="11.25" customHeight="1" x14ac:dyDescent="0.2"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</row>
    <row r="391" spans="2:33" ht="11.25" customHeight="1" x14ac:dyDescent="0.2"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</row>
    <row r="392" spans="2:33" ht="11.25" customHeight="1" x14ac:dyDescent="0.2"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</row>
    <row r="393" spans="2:33" ht="11.25" customHeight="1" x14ac:dyDescent="0.2"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</row>
    <row r="394" spans="2:33" ht="11.25" customHeight="1" x14ac:dyDescent="0.2"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</row>
    <row r="395" spans="2:33" ht="11.25" customHeight="1" x14ac:dyDescent="0.2"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</row>
    <row r="396" spans="2:33" ht="11.25" customHeight="1" x14ac:dyDescent="0.2"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</row>
    <row r="397" spans="2:33" ht="11.25" customHeight="1" x14ac:dyDescent="0.2"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</row>
    <row r="398" spans="2:33" ht="11.25" customHeight="1" x14ac:dyDescent="0.2"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</row>
    <row r="399" spans="2:33" ht="11.25" customHeight="1" x14ac:dyDescent="0.2"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</row>
    <row r="400" spans="2:33" ht="11.25" customHeight="1" x14ac:dyDescent="0.2"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</row>
    <row r="401" spans="2:33" ht="11.25" customHeight="1" x14ac:dyDescent="0.2"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</row>
    <row r="402" spans="2:33" ht="11.25" customHeight="1" x14ac:dyDescent="0.2"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</row>
    <row r="403" spans="2:33" ht="11.25" customHeight="1" x14ac:dyDescent="0.2"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</row>
    <row r="404" spans="2:33" ht="11.25" customHeight="1" x14ac:dyDescent="0.2"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</row>
    <row r="405" spans="2:33" ht="11.25" customHeight="1" x14ac:dyDescent="0.2"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</row>
    <row r="406" spans="2:33" ht="11.25" customHeight="1" x14ac:dyDescent="0.2"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</row>
    <row r="407" spans="2:33" ht="11.25" customHeight="1" x14ac:dyDescent="0.2"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</row>
    <row r="408" spans="2:33" ht="11.25" customHeight="1" x14ac:dyDescent="0.2"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</row>
    <row r="409" spans="2:33" ht="11.25" customHeight="1" x14ac:dyDescent="0.2"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</row>
    <row r="410" spans="2:33" ht="11.25" customHeight="1" x14ac:dyDescent="0.2"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</row>
    <row r="411" spans="2:33" ht="11.25" customHeight="1" x14ac:dyDescent="0.2"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</row>
    <row r="412" spans="2:33" ht="11.25" customHeight="1" x14ac:dyDescent="0.2"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</row>
    <row r="413" spans="2:33" ht="11.25" customHeight="1" x14ac:dyDescent="0.2"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</row>
    <row r="414" spans="2:33" ht="11.25" customHeight="1" x14ac:dyDescent="0.2"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</row>
    <row r="415" spans="2:33" ht="11.25" customHeight="1" x14ac:dyDescent="0.2"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</row>
    <row r="416" spans="2:33" ht="11.25" customHeight="1" x14ac:dyDescent="0.2"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</row>
    <row r="417" spans="2:33" ht="11.25" customHeight="1" x14ac:dyDescent="0.2"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</row>
    <row r="418" spans="2:33" ht="11.25" customHeight="1" x14ac:dyDescent="0.2"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</row>
    <row r="419" spans="2:33" ht="11.25" customHeight="1" x14ac:dyDescent="0.2"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</row>
    <row r="420" spans="2:33" ht="11.25" customHeight="1" x14ac:dyDescent="0.2"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</row>
    <row r="421" spans="2:33" ht="11.25" customHeight="1" x14ac:dyDescent="0.2"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</row>
    <row r="422" spans="2:33" ht="11.25" customHeight="1" x14ac:dyDescent="0.2"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</row>
    <row r="423" spans="2:33" ht="11.25" customHeight="1" x14ac:dyDescent="0.2"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</row>
    <row r="424" spans="2:33" ht="11.25" customHeight="1" x14ac:dyDescent="0.2"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</row>
    <row r="425" spans="2:33" ht="11.25" customHeight="1" x14ac:dyDescent="0.2"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</row>
    <row r="426" spans="2:33" ht="11.25" customHeight="1" x14ac:dyDescent="0.2"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</row>
    <row r="427" spans="2:33" ht="11.25" customHeight="1" x14ac:dyDescent="0.2"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</row>
    <row r="428" spans="2:33" ht="11.25" customHeight="1" x14ac:dyDescent="0.2"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</row>
    <row r="429" spans="2:33" ht="11.25" customHeight="1" x14ac:dyDescent="0.2"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</row>
    <row r="430" spans="2:33" ht="11.25" customHeight="1" x14ac:dyDescent="0.2"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</row>
    <row r="431" spans="2:33" ht="11.25" customHeight="1" x14ac:dyDescent="0.2"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</row>
    <row r="432" spans="2:33" ht="11.25" customHeight="1" x14ac:dyDescent="0.2"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</row>
    <row r="433" spans="2:33" ht="11.25" customHeight="1" x14ac:dyDescent="0.2"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</row>
    <row r="434" spans="2:33" ht="11.25" customHeight="1" x14ac:dyDescent="0.2"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</row>
    <row r="435" spans="2:33" ht="11.25" customHeight="1" x14ac:dyDescent="0.2"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</row>
    <row r="436" spans="2:33" ht="11.25" customHeight="1" x14ac:dyDescent="0.2"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</row>
    <row r="437" spans="2:33" ht="11.25" customHeight="1" x14ac:dyDescent="0.2"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</row>
    <row r="438" spans="2:33" ht="11.25" customHeight="1" x14ac:dyDescent="0.2"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</row>
    <row r="439" spans="2:33" ht="11.25" customHeight="1" x14ac:dyDescent="0.2"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</row>
    <row r="440" spans="2:33" ht="11.25" customHeight="1" x14ac:dyDescent="0.2"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</row>
    <row r="441" spans="2:33" ht="11.25" customHeight="1" x14ac:dyDescent="0.2"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</row>
    <row r="442" spans="2:33" ht="11.25" customHeight="1" x14ac:dyDescent="0.2"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</row>
    <row r="443" spans="2:33" ht="11.25" customHeight="1" x14ac:dyDescent="0.2"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</row>
    <row r="444" spans="2:33" ht="11.25" customHeight="1" x14ac:dyDescent="0.2"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</row>
    <row r="445" spans="2:33" ht="11.25" customHeight="1" x14ac:dyDescent="0.2"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</row>
    <row r="446" spans="2:33" ht="11.25" customHeight="1" x14ac:dyDescent="0.2"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</row>
    <row r="447" spans="2:33" ht="11.25" customHeight="1" x14ac:dyDescent="0.2"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</row>
    <row r="448" spans="2:33" ht="11.25" customHeight="1" x14ac:dyDescent="0.2"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</row>
    <row r="449" spans="2:33" ht="11.25" customHeight="1" x14ac:dyDescent="0.2"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</row>
    <row r="450" spans="2:33" ht="11.25" customHeight="1" x14ac:dyDescent="0.2"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</row>
    <row r="451" spans="2:33" ht="11.25" customHeight="1" x14ac:dyDescent="0.2"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</row>
    <row r="452" spans="2:33" ht="11.25" customHeight="1" x14ac:dyDescent="0.2"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</row>
    <row r="453" spans="2:33" ht="11.25" customHeight="1" x14ac:dyDescent="0.2"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</row>
    <row r="454" spans="2:33" ht="11.25" customHeight="1" x14ac:dyDescent="0.2"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</row>
    <row r="455" spans="2:33" ht="11.25" customHeight="1" x14ac:dyDescent="0.2"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</row>
    <row r="456" spans="2:33" ht="11.25" customHeight="1" x14ac:dyDescent="0.2"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</row>
    <row r="457" spans="2:33" ht="11.25" customHeight="1" x14ac:dyDescent="0.2"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</row>
    <row r="458" spans="2:33" ht="11.25" customHeight="1" x14ac:dyDescent="0.2"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</row>
    <row r="459" spans="2:33" ht="11.25" customHeight="1" x14ac:dyDescent="0.2"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</row>
    <row r="460" spans="2:33" ht="11.25" customHeight="1" x14ac:dyDescent="0.2"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</row>
    <row r="461" spans="2:33" ht="11.25" customHeight="1" x14ac:dyDescent="0.2"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</row>
    <row r="462" spans="2:33" ht="11.25" customHeight="1" x14ac:dyDescent="0.2"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</row>
    <row r="463" spans="2:33" ht="11.25" customHeight="1" x14ac:dyDescent="0.2"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</row>
    <row r="464" spans="2:33" ht="11.25" customHeight="1" x14ac:dyDescent="0.2"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</row>
    <row r="465" spans="2:33" ht="11.25" customHeight="1" x14ac:dyDescent="0.2"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</row>
    <row r="466" spans="2:33" ht="11.25" customHeight="1" x14ac:dyDescent="0.2"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</row>
    <row r="467" spans="2:33" ht="11.25" customHeight="1" x14ac:dyDescent="0.2"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</row>
    <row r="468" spans="2:33" ht="11.25" customHeight="1" x14ac:dyDescent="0.2"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</row>
    <row r="469" spans="2:33" ht="11.25" customHeight="1" x14ac:dyDescent="0.2"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</row>
    <row r="470" spans="2:33" ht="11.25" customHeight="1" x14ac:dyDescent="0.2"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</row>
    <row r="471" spans="2:33" ht="11.25" customHeight="1" x14ac:dyDescent="0.2"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</row>
    <row r="472" spans="2:33" ht="11.25" customHeight="1" x14ac:dyDescent="0.2"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</row>
    <row r="473" spans="2:33" ht="11.25" customHeight="1" x14ac:dyDescent="0.2"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</row>
    <row r="474" spans="2:33" ht="11.25" customHeight="1" x14ac:dyDescent="0.2"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</row>
    <row r="475" spans="2:33" ht="11.25" customHeight="1" x14ac:dyDescent="0.2"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</row>
    <row r="476" spans="2:33" ht="11.25" customHeight="1" x14ac:dyDescent="0.2"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</row>
    <row r="477" spans="2:33" ht="11.25" customHeight="1" x14ac:dyDescent="0.2"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</row>
    <row r="478" spans="2:33" ht="11.25" customHeight="1" x14ac:dyDescent="0.2"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</row>
    <row r="479" spans="2:33" ht="11.25" customHeight="1" x14ac:dyDescent="0.2"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</row>
    <row r="480" spans="2:33" ht="11.25" customHeight="1" x14ac:dyDescent="0.2"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</row>
    <row r="481" spans="2:33" ht="11.25" customHeight="1" x14ac:dyDescent="0.2"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</row>
    <row r="482" spans="2:33" ht="11.25" customHeight="1" x14ac:dyDescent="0.2"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</row>
    <row r="483" spans="2:33" ht="11.25" customHeight="1" x14ac:dyDescent="0.2"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</row>
    <row r="484" spans="2:33" ht="11.25" customHeight="1" x14ac:dyDescent="0.2"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</row>
    <row r="485" spans="2:33" ht="11.25" customHeight="1" x14ac:dyDescent="0.2"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</row>
    <row r="486" spans="2:33" ht="11.25" customHeight="1" x14ac:dyDescent="0.2"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</row>
    <row r="487" spans="2:33" ht="11.25" customHeight="1" x14ac:dyDescent="0.2"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</row>
    <row r="488" spans="2:33" ht="11.25" customHeight="1" x14ac:dyDescent="0.2"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</row>
    <row r="489" spans="2:33" ht="11.25" customHeight="1" x14ac:dyDescent="0.2"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</row>
    <row r="490" spans="2:33" ht="11.25" customHeight="1" x14ac:dyDescent="0.2"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</row>
    <row r="491" spans="2:33" ht="11.25" customHeight="1" x14ac:dyDescent="0.2"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</row>
    <row r="492" spans="2:33" ht="11.25" customHeight="1" x14ac:dyDescent="0.2"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</row>
    <row r="493" spans="2:33" ht="11.25" customHeight="1" x14ac:dyDescent="0.2"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</row>
    <row r="494" spans="2:33" ht="11.25" customHeight="1" x14ac:dyDescent="0.2"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</row>
    <row r="495" spans="2:33" ht="11.25" customHeight="1" x14ac:dyDescent="0.2"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</row>
    <row r="496" spans="2:33" ht="11.25" customHeight="1" x14ac:dyDescent="0.2"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</row>
    <row r="497" spans="2:33" ht="11.25" customHeight="1" x14ac:dyDescent="0.2"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</row>
    <row r="498" spans="2:33" ht="11.25" customHeight="1" x14ac:dyDescent="0.2"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</row>
    <row r="499" spans="2:33" ht="11.25" customHeight="1" x14ac:dyDescent="0.2"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</row>
    <row r="500" spans="2:33" ht="11.25" customHeight="1" x14ac:dyDescent="0.2"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</row>
    <row r="501" spans="2:33" ht="11.25" customHeight="1" x14ac:dyDescent="0.2"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</row>
    <row r="502" spans="2:33" ht="11.25" customHeight="1" x14ac:dyDescent="0.2"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</row>
    <row r="503" spans="2:33" ht="11.25" customHeight="1" x14ac:dyDescent="0.2"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</row>
    <row r="504" spans="2:33" ht="11.25" customHeight="1" x14ac:dyDescent="0.2"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</row>
    <row r="505" spans="2:33" ht="11.25" customHeight="1" x14ac:dyDescent="0.2"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</row>
    <row r="506" spans="2:33" ht="11.25" customHeight="1" x14ac:dyDescent="0.2"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</row>
    <row r="507" spans="2:33" ht="11.25" customHeight="1" x14ac:dyDescent="0.2"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</row>
    <row r="508" spans="2:33" ht="11.25" customHeight="1" x14ac:dyDescent="0.2"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</row>
    <row r="509" spans="2:33" ht="11.25" customHeight="1" x14ac:dyDescent="0.2"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</row>
    <row r="510" spans="2:33" ht="11.25" customHeight="1" x14ac:dyDescent="0.2"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</row>
    <row r="511" spans="2:33" ht="11.25" customHeight="1" x14ac:dyDescent="0.2"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</row>
    <row r="512" spans="2:33" ht="11.25" customHeight="1" x14ac:dyDescent="0.2"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</row>
    <row r="513" spans="2:33" ht="11.25" customHeight="1" x14ac:dyDescent="0.2"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</row>
    <row r="514" spans="2:33" ht="11.25" customHeight="1" x14ac:dyDescent="0.2"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</row>
    <row r="515" spans="2:33" ht="11.25" customHeight="1" x14ac:dyDescent="0.2"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</row>
    <row r="516" spans="2:33" ht="11.25" customHeight="1" x14ac:dyDescent="0.2"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</row>
    <row r="517" spans="2:33" ht="11.25" customHeight="1" x14ac:dyDescent="0.2"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</row>
    <row r="518" spans="2:33" ht="11.25" customHeight="1" x14ac:dyDescent="0.2"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</row>
    <row r="519" spans="2:33" ht="11.25" customHeight="1" x14ac:dyDescent="0.2"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</row>
    <row r="520" spans="2:33" ht="11.25" customHeight="1" x14ac:dyDescent="0.2"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</row>
    <row r="521" spans="2:33" ht="11.25" customHeight="1" x14ac:dyDescent="0.2"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</row>
    <row r="522" spans="2:33" ht="11.25" customHeight="1" x14ac:dyDescent="0.2"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</row>
    <row r="523" spans="2:33" ht="11.25" customHeight="1" x14ac:dyDescent="0.2"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</row>
    <row r="524" spans="2:33" ht="11.25" customHeight="1" x14ac:dyDescent="0.2"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</row>
    <row r="525" spans="2:33" ht="11.25" customHeight="1" x14ac:dyDescent="0.2"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</row>
    <row r="526" spans="2:33" ht="11.25" customHeight="1" x14ac:dyDescent="0.2"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</row>
    <row r="527" spans="2:33" ht="11.25" customHeight="1" x14ac:dyDescent="0.2"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</row>
    <row r="528" spans="2:33" ht="11.25" customHeight="1" x14ac:dyDescent="0.2"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</row>
    <row r="529" spans="2:33" ht="11.25" customHeight="1" x14ac:dyDescent="0.2"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</row>
    <row r="530" spans="2:33" ht="11.25" customHeight="1" x14ac:dyDescent="0.2"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</row>
    <row r="531" spans="2:33" ht="11.25" customHeight="1" x14ac:dyDescent="0.2"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</row>
    <row r="532" spans="2:33" ht="11.25" customHeight="1" x14ac:dyDescent="0.2"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</row>
    <row r="533" spans="2:33" ht="11.25" customHeight="1" x14ac:dyDescent="0.2"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</row>
    <row r="534" spans="2:33" ht="11.25" customHeight="1" x14ac:dyDescent="0.2"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</row>
    <row r="535" spans="2:33" ht="11.25" customHeight="1" x14ac:dyDescent="0.2"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</row>
    <row r="536" spans="2:33" ht="11.25" customHeight="1" x14ac:dyDescent="0.2"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</row>
    <row r="537" spans="2:33" ht="11.25" customHeight="1" x14ac:dyDescent="0.2"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</row>
    <row r="538" spans="2:33" ht="11.25" customHeight="1" x14ac:dyDescent="0.2"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</row>
    <row r="539" spans="2:33" ht="11.25" customHeight="1" x14ac:dyDescent="0.2"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</row>
    <row r="540" spans="2:33" ht="11.25" customHeight="1" x14ac:dyDescent="0.2"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</row>
    <row r="541" spans="2:33" ht="11.25" customHeight="1" x14ac:dyDescent="0.2"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</row>
    <row r="542" spans="2:33" ht="11.25" customHeight="1" x14ac:dyDescent="0.2"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</row>
    <row r="543" spans="2:33" ht="11.25" customHeight="1" x14ac:dyDescent="0.2"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</row>
    <row r="544" spans="2:33" ht="11.25" customHeight="1" x14ac:dyDescent="0.2"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</row>
    <row r="545" spans="2:33" ht="11.25" customHeight="1" x14ac:dyDescent="0.2"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</row>
    <row r="546" spans="2:33" ht="11.25" customHeight="1" x14ac:dyDescent="0.2"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</row>
    <row r="547" spans="2:33" ht="11.25" customHeight="1" x14ac:dyDescent="0.2"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</row>
    <row r="548" spans="2:33" ht="11.25" customHeight="1" x14ac:dyDescent="0.2"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</row>
    <row r="549" spans="2:33" ht="11.25" customHeight="1" x14ac:dyDescent="0.2"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</row>
    <row r="550" spans="2:33" ht="11.25" customHeight="1" x14ac:dyDescent="0.2"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</row>
    <row r="551" spans="2:33" ht="11.25" customHeight="1" x14ac:dyDescent="0.2"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</row>
    <row r="552" spans="2:33" ht="11.25" customHeight="1" x14ac:dyDescent="0.2"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</row>
    <row r="553" spans="2:33" ht="11.25" customHeight="1" x14ac:dyDescent="0.2"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</row>
    <row r="554" spans="2:33" ht="11.25" customHeight="1" x14ac:dyDescent="0.2"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</row>
    <row r="555" spans="2:33" ht="11.25" customHeight="1" x14ac:dyDescent="0.2"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</row>
    <row r="556" spans="2:33" ht="11.25" customHeight="1" x14ac:dyDescent="0.2"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</row>
    <row r="557" spans="2:33" ht="11.25" customHeight="1" x14ac:dyDescent="0.2"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</row>
    <row r="558" spans="2:33" ht="11.25" customHeight="1" x14ac:dyDescent="0.2"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</row>
    <row r="559" spans="2:33" ht="11.25" customHeight="1" x14ac:dyDescent="0.2"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</row>
    <row r="560" spans="2:33" ht="11.25" customHeight="1" x14ac:dyDescent="0.2"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</row>
    <row r="561" spans="2:33" ht="11.25" customHeight="1" x14ac:dyDescent="0.2"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</row>
    <row r="562" spans="2:33" ht="11.25" customHeight="1" x14ac:dyDescent="0.2"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</row>
    <row r="563" spans="2:33" ht="11.25" customHeight="1" x14ac:dyDescent="0.2"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</row>
    <row r="564" spans="2:33" ht="11.25" customHeight="1" x14ac:dyDescent="0.2"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</row>
    <row r="565" spans="2:33" ht="11.25" customHeight="1" x14ac:dyDescent="0.2"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</row>
    <row r="566" spans="2:33" ht="11.25" customHeight="1" x14ac:dyDescent="0.2"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</row>
    <row r="567" spans="2:33" ht="11.25" customHeight="1" x14ac:dyDescent="0.2"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</row>
    <row r="568" spans="2:33" ht="11.25" customHeight="1" x14ac:dyDescent="0.2"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</row>
    <row r="569" spans="2:33" ht="11.25" customHeight="1" x14ac:dyDescent="0.2"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</row>
    <row r="570" spans="2:33" ht="11.25" customHeight="1" x14ac:dyDescent="0.2"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</row>
    <row r="571" spans="2:33" ht="11.25" customHeight="1" x14ac:dyDescent="0.2"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</row>
    <row r="572" spans="2:33" ht="11.25" customHeight="1" x14ac:dyDescent="0.2"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</row>
    <row r="573" spans="2:33" ht="11.25" customHeight="1" x14ac:dyDescent="0.2"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</row>
    <row r="574" spans="2:33" ht="11.25" customHeight="1" x14ac:dyDescent="0.2"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</row>
    <row r="575" spans="2:33" ht="11.25" customHeight="1" x14ac:dyDescent="0.2"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</row>
    <row r="576" spans="2:33" ht="11.25" customHeight="1" x14ac:dyDescent="0.2"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</row>
    <row r="577" spans="2:33" ht="11.25" customHeight="1" x14ac:dyDescent="0.2"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</row>
    <row r="578" spans="2:33" ht="11.25" customHeight="1" x14ac:dyDescent="0.2"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</row>
    <row r="579" spans="2:33" ht="11.25" customHeight="1" x14ac:dyDescent="0.2"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</row>
    <row r="580" spans="2:33" ht="11.25" customHeight="1" x14ac:dyDescent="0.2"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</row>
    <row r="581" spans="2:33" ht="11.25" customHeight="1" x14ac:dyDescent="0.2"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</row>
    <row r="582" spans="2:33" ht="11.25" customHeight="1" x14ac:dyDescent="0.2"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</row>
    <row r="583" spans="2:33" ht="11.25" customHeight="1" x14ac:dyDescent="0.2"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</row>
    <row r="584" spans="2:33" ht="11.25" customHeight="1" x14ac:dyDescent="0.2"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</row>
    <row r="585" spans="2:33" ht="11.25" customHeight="1" x14ac:dyDescent="0.2"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</row>
    <row r="586" spans="2:33" ht="11.25" customHeight="1" x14ac:dyDescent="0.2"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</row>
    <row r="587" spans="2:33" ht="11.25" customHeight="1" x14ac:dyDescent="0.2"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</row>
    <row r="588" spans="2:33" ht="11.25" customHeight="1" x14ac:dyDescent="0.2"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</row>
    <row r="589" spans="2:33" ht="11.25" customHeight="1" x14ac:dyDescent="0.2"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</row>
    <row r="590" spans="2:33" ht="11.25" customHeight="1" x14ac:dyDescent="0.2"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</row>
    <row r="591" spans="2:33" ht="11.25" customHeight="1" x14ac:dyDescent="0.2"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</row>
    <row r="592" spans="2:33" ht="11.25" customHeight="1" x14ac:dyDescent="0.2"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</row>
    <row r="593" spans="2:33" ht="11.25" customHeight="1" x14ac:dyDescent="0.2"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</row>
    <row r="594" spans="2:33" ht="11.25" customHeight="1" x14ac:dyDescent="0.2"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</row>
    <row r="595" spans="2:33" ht="11.25" customHeight="1" x14ac:dyDescent="0.2"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</row>
    <row r="596" spans="2:33" ht="11.25" customHeight="1" x14ac:dyDescent="0.2"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</row>
    <row r="597" spans="2:33" ht="11.25" customHeight="1" x14ac:dyDescent="0.2"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</row>
    <row r="598" spans="2:33" ht="11.25" customHeight="1" x14ac:dyDescent="0.2"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</row>
    <row r="599" spans="2:33" ht="11.25" customHeight="1" x14ac:dyDescent="0.2"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</row>
    <row r="600" spans="2:33" ht="11.25" customHeight="1" x14ac:dyDescent="0.2"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</row>
    <row r="601" spans="2:33" ht="11.25" customHeight="1" x14ac:dyDescent="0.2"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</row>
    <row r="602" spans="2:33" ht="11.25" customHeight="1" x14ac:dyDescent="0.2"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</row>
    <row r="603" spans="2:33" ht="11.25" customHeight="1" x14ac:dyDescent="0.2"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</row>
    <row r="604" spans="2:33" ht="11.25" customHeight="1" x14ac:dyDescent="0.2"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</row>
    <row r="605" spans="2:33" ht="11.25" customHeight="1" x14ac:dyDescent="0.2"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</row>
    <row r="606" spans="2:33" ht="11.25" customHeight="1" x14ac:dyDescent="0.2"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</row>
    <row r="607" spans="2:33" ht="11.25" customHeight="1" x14ac:dyDescent="0.2"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</row>
    <row r="608" spans="2:33" ht="11.25" customHeight="1" x14ac:dyDescent="0.2"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</row>
    <row r="609" spans="2:33" ht="11.25" customHeight="1" x14ac:dyDescent="0.2"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</row>
    <row r="610" spans="2:33" ht="11.25" customHeight="1" x14ac:dyDescent="0.2"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</row>
    <row r="611" spans="2:33" ht="11.25" customHeight="1" x14ac:dyDescent="0.2"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</row>
    <row r="612" spans="2:33" ht="11.25" customHeight="1" x14ac:dyDescent="0.2"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</row>
    <row r="613" spans="2:33" ht="11.25" customHeight="1" x14ac:dyDescent="0.2"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</row>
    <row r="614" spans="2:33" ht="11.25" customHeight="1" x14ac:dyDescent="0.2"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</row>
    <row r="615" spans="2:33" ht="11.25" customHeight="1" x14ac:dyDescent="0.2"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</row>
    <row r="616" spans="2:33" ht="11.25" customHeight="1" x14ac:dyDescent="0.2"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</row>
    <row r="617" spans="2:33" ht="11.25" customHeight="1" x14ac:dyDescent="0.2"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</row>
    <row r="618" spans="2:33" ht="11.25" customHeight="1" x14ac:dyDescent="0.2"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</row>
    <row r="619" spans="2:33" ht="11.25" customHeight="1" x14ac:dyDescent="0.2"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</row>
    <row r="620" spans="2:33" ht="11.25" customHeight="1" x14ac:dyDescent="0.2"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</row>
    <row r="621" spans="2:33" ht="11.25" customHeight="1" x14ac:dyDescent="0.2"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</row>
    <row r="622" spans="2:33" ht="11.25" customHeight="1" x14ac:dyDescent="0.2"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</row>
    <row r="623" spans="2:33" ht="11.25" customHeight="1" x14ac:dyDescent="0.2"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</row>
    <row r="624" spans="2:33" ht="11.25" customHeight="1" x14ac:dyDescent="0.2"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</row>
    <row r="625" spans="2:33" ht="11.25" customHeight="1" x14ac:dyDescent="0.2"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</row>
    <row r="626" spans="2:33" ht="11.25" customHeight="1" x14ac:dyDescent="0.2"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</row>
    <row r="627" spans="2:33" ht="11.25" customHeight="1" x14ac:dyDescent="0.2"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</row>
    <row r="628" spans="2:33" ht="11.25" customHeight="1" x14ac:dyDescent="0.2"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</row>
    <row r="629" spans="2:33" ht="11.25" customHeight="1" x14ac:dyDescent="0.2"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</row>
    <row r="630" spans="2:33" ht="11.25" customHeight="1" x14ac:dyDescent="0.2"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</row>
    <row r="631" spans="2:33" ht="11.25" customHeight="1" x14ac:dyDescent="0.2"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</row>
    <row r="632" spans="2:33" ht="11.25" customHeight="1" x14ac:dyDescent="0.2"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</row>
    <row r="633" spans="2:33" ht="11.25" customHeight="1" x14ac:dyDescent="0.2"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</row>
    <row r="634" spans="2:33" ht="11.25" customHeight="1" x14ac:dyDescent="0.2"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</row>
    <row r="635" spans="2:33" ht="11.25" customHeight="1" x14ac:dyDescent="0.2"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</row>
    <row r="636" spans="2:33" ht="11.25" customHeight="1" x14ac:dyDescent="0.2"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</row>
    <row r="637" spans="2:33" ht="11.25" customHeight="1" x14ac:dyDescent="0.2"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</row>
    <row r="638" spans="2:33" ht="11.25" customHeight="1" x14ac:dyDescent="0.2"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</row>
    <row r="639" spans="2:33" ht="11.25" customHeight="1" x14ac:dyDescent="0.2"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</row>
    <row r="640" spans="2:33" ht="11.25" customHeight="1" x14ac:dyDescent="0.2"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</row>
    <row r="641" spans="2:33" ht="11.25" customHeight="1" x14ac:dyDescent="0.2"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</row>
    <row r="642" spans="2:33" ht="11.25" customHeight="1" x14ac:dyDescent="0.2"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</row>
    <row r="643" spans="2:33" ht="11.25" customHeight="1" x14ac:dyDescent="0.2"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</row>
    <row r="644" spans="2:33" ht="11.25" customHeight="1" x14ac:dyDescent="0.2"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</row>
    <row r="645" spans="2:33" ht="11.25" customHeight="1" x14ac:dyDescent="0.2"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</row>
    <row r="646" spans="2:33" ht="11.25" customHeight="1" x14ac:dyDescent="0.2"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</row>
    <row r="647" spans="2:33" ht="11.25" customHeight="1" x14ac:dyDescent="0.2"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</row>
    <row r="648" spans="2:33" ht="11.25" customHeight="1" x14ac:dyDescent="0.2"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</row>
    <row r="649" spans="2:33" ht="11.25" customHeight="1" x14ac:dyDescent="0.2"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</row>
    <row r="650" spans="2:33" ht="11.25" customHeight="1" x14ac:dyDescent="0.2"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</row>
    <row r="651" spans="2:33" ht="11.25" customHeight="1" x14ac:dyDescent="0.2"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</row>
    <row r="652" spans="2:33" ht="11.25" customHeight="1" x14ac:dyDescent="0.2"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</row>
    <row r="653" spans="2:33" ht="11.25" customHeight="1" x14ac:dyDescent="0.2"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</row>
    <row r="654" spans="2:33" ht="11.25" customHeight="1" x14ac:dyDescent="0.2"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</row>
    <row r="655" spans="2:33" ht="11.25" customHeight="1" x14ac:dyDescent="0.2"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</row>
    <row r="656" spans="2:33" ht="11.25" customHeight="1" x14ac:dyDescent="0.2"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</row>
    <row r="657" spans="2:33" ht="11.25" customHeight="1" x14ac:dyDescent="0.2"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</row>
    <row r="658" spans="2:33" ht="11.25" customHeight="1" x14ac:dyDescent="0.2"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</row>
    <row r="659" spans="2:33" ht="11.25" customHeight="1" x14ac:dyDescent="0.2"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</row>
    <row r="660" spans="2:33" ht="11.25" customHeight="1" x14ac:dyDescent="0.2"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</row>
    <row r="661" spans="2:33" ht="11.25" customHeight="1" x14ac:dyDescent="0.2"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</row>
    <row r="662" spans="2:33" ht="11.25" customHeight="1" x14ac:dyDescent="0.2"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</row>
    <row r="663" spans="2:33" ht="11.25" customHeight="1" x14ac:dyDescent="0.2"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</row>
    <row r="664" spans="2:33" ht="11.25" customHeight="1" x14ac:dyDescent="0.2"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</row>
    <row r="665" spans="2:33" ht="11.25" customHeight="1" x14ac:dyDescent="0.2"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</row>
    <row r="666" spans="2:33" ht="11.25" customHeight="1" x14ac:dyDescent="0.2"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</row>
    <row r="667" spans="2:33" ht="11.25" customHeight="1" x14ac:dyDescent="0.2"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</row>
    <row r="668" spans="2:33" ht="11.25" customHeight="1" x14ac:dyDescent="0.2"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</row>
    <row r="669" spans="2:33" ht="11.25" customHeight="1" x14ac:dyDescent="0.2"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</row>
    <row r="670" spans="2:33" ht="11.25" customHeight="1" x14ac:dyDescent="0.2"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</row>
    <row r="671" spans="2:33" ht="11.25" customHeight="1" x14ac:dyDescent="0.2"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</row>
    <row r="672" spans="2:33" ht="11.25" customHeight="1" x14ac:dyDescent="0.2"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</row>
    <row r="673" spans="2:33" ht="11.25" customHeight="1" x14ac:dyDescent="0.2"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</row>
    <row r="674" spans="2:33" ht="11.25" customHeight="1" x14ac:dyDescent="0.2"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</row>
    <row r="675" spans="2:33" ht="11.25" customHeight="1" x14ac:dyDescent="0.2"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</row>
    <row r="676" spans="2:33" ht="11.25" customHeight="1" x14ac:dyDescent="0.2"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</row>
    <row r="677" spans="2:33" ht="11.25" customHeight="1" x14ac:dyDescent="0.2"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</row>
    <row r="678" spans="2:33" ht="11.25" customHeight="1" x14ac:dyDescent="0.2"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</row>
    <row r="679" spans="2:33" ht="11.25" customHeight="1" x14ac:dyDescent="0.2"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</row>
    <row r="680" spans="2:33" ht="11.25" customHeight="1" x14ac:dyDescent="0.2"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</row>
    <row r="681" spans="2:33" ht="11.25" customHeight="1" x14ac:dyDescent="0.2"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</row>
    <row r="682" spans="2:33" ht="11.25" customHeight="1" x14ac:dyDescent="0.2"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</row>
    <row r="683" spans="2:33" ht="11.25" customHeight="1" x14ac:dyDescent="0.2"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</row>
    <row r="684" spans="2:33" ht="11.25" customHeight="1" x14ac:dyDescent="0.2"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</row>
    <row r="685" spans="2:33" ht="11.25" customHeight="1" x14ac:dyDescent="0.2"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</row>
    <row r="686" spans="2:33" ht="11.25" customHeight="1" x14ac:dyDescent="0.2"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</row>
    <row r="687" spans="2:33" ht="11.25" customHeight="1" x14ac:dyDescent="0.2"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</row>
    <row r="688" spans="2:33" ht="11.25" customHeight="1" x14ac:dyDescent="0.2"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</row>
    <row r="689" spans="2:33" ht="11.25" customHeight="1" x14ac:dyDescent="0.2"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</row>
    <row r="690" spans="2:33" ht="11.25" customHeight="1" x14ac:dyDescent="0.2"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</row>
    <row r="691" spans="2:33" ht="11.25" customHeight="1" x14ac:dyDescent="0.2"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</row>
    <row r="692" spans="2:33" ht="11.25" customHeight="1" x14ac:dyDescent="0.2"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</row>
    <row r="693" spans="2:33" ht="11.25" customHeight="1" x14ac:dyDescent="0.2"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</row>
    <row r="694" spans="2:33" ht="11.25" customHeight="1" x14ac:dyDescent="0.2"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</row>
    <row r="695" spans="2:33" ht="11.25" customHeight="1" x14ac:dyDescent="0.2"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</row>
    <row r="696" spans="2:33" ht="11.25" customHeight="1" x14ac:dyDescent="0.2"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</row>
    <row r="697" spans="2:33" ht="11.25" customHeight="1" x14ac:dyDescent="0.2"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</row>
    <row r="698" spans="2:33" ht="11.25" customHeight="1" x14ac:dyDescent="0.2"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</row>
    <row r="699" spans="2:33" ht="11.25" customHeight="1" x14ac:dyDescent="0.2"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</row>
    <row r="700" spans="2:33" ht="11.25" customHeight="1" x14ac:dyDescent="0.2"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</row>
    <row r="701" spans="2:33" ht="11.25" customHeight="1" x14ac:dyDescent="0.2"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</row>
    <row r="702" spans="2:33" ht="11.25" customHeight="1" x14ac:dyDescent="0.2"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</row>
    <row r="703" spans="2:33" ht="11.25" customHeight="1" x14ac:dyDescent="0.2"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</row>
    <row r="704" spans="2:33" ht="11.25" customHeight="1" x14ac:dyDescent="0.2"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</row>
    <row r="705" spans="2:33" ht="11.25" customHeight="1" x14ac:dyDescent="0.2"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</row>
    <row r="706" spans="2:33" ht="11.25" customHeight="1" x14ac:dyDescent="0.2"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</row>
    <row r="707" spans="2:33" ht="11.25" customHeight="1" x14ac:dyDescent="0.2"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</row>
    <row r="708" spans="2:33" ht="11.25" customHeight="1" x14ac:dyDescent="0.2"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</row>
    <row r="709" spans="2:33" ht="11.25" customHeight="1" x14ac:dyDescent="0.2"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</row>
    <row r="710" spans="2:33" ht="11.25" customHeight="1" x14ac:dyDescent="0.2"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</row>
    <row r="711" spans="2:33" ht="11.25" customHeight="1" x14ac:dyDescent="0.2"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</row>
    <row r="712" spans="2:33" ht="11.25" customHeight="1" x14ac:dyDescent="0.2"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</row>
    <row r="713" spans="2:33" ht="11.25" customHeight="1" x14ac:dyDescent="0.2"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</row>
    <row r="714" spans="2:33" ht="11.25" customHeight="1" x14ac:dyDescent="0.2"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</row>
    <row r="715" spans="2:33" ht="11.25" customHeight="1" x14ac:dyDescent="0.2"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</row>
    <row r="716" spans="2:33" ht="11.25" customHeight="1" x14ac:dyDescent="0.2"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</row>
    <row r="717" spans="2:33" ht="11.25" customHeight="1" x14ac:dyDescent="0.2"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</row>
    <row r="718" spans="2:33" ht="11.25" customHeight="1" x14ac:dyDescent="0.2"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</row>
    <row r="719" spans="2:33" ht="11.25" customHeight="1" x14ac:dyDescent="0.2"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</row>
    <row r="720" spans="2:33" ht="11.25" customHeight="1" x14ac:dyDescent="0.2"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</row>
    <row r="721" spans="2:33" ht="11.25" customHeight="1" x14ac:dyDescent="0.2"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</row>
    <row r="722" spans="2:33" ht="11.25" customHeight="1" x14ac:dyDescent="0.2"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</row>
    <row r="723" spans="2:33" ht="11.25" customHeight="1" x14ac:dyDescent="0.2"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</row>
    <row r="724" spans="2:33" ht="11.25" customHeight="1" x14ac:dyDescent="0.2"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</row>
    <row r="725" spans="2:33" ht="11.25" customHeight="1" x14ac:dyDescent="0.2"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</row>
    <row r="726" spans="2:33" ht="11.25" customHeight="1" x14ac:dyDescent="0.2"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</row>
    <row r="727" spans="2:33" ht="11.25" customHeight="1" x14ac:dyDescent="0.2"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</row>
    <row r="728" spans="2:33" ht="11.25" customHeight="1" x14ac:dyDescent="0.2"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</row>
    <row r="729" spans="2:33" ht="11.25" customHeight="1" x14ac:dyDescent="0.2"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</row>
    <row r="730" spans="2:33" ht="11.25" customHeight="1" x14ac:dyDescent="0.2"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</row>
    <row r="731" spans="2:33" ht="11.25" customHeight="1" x14ac:dyDescent="0.2"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</row>
    <row r="732" spans="2:33" ht="11.25" customHeight="1" x14ac:dyDescent="0.2"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</row>
    <row r="733" spans="2:33" ht="11.25" customHeight="1" x14ac:dyDescent="0.2"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</row>
    <row r="734" spans="2:33" ht="11.25" customHeight="1" x14ac:dyDescent="0.2"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</row>
    <row r="735" spans="2:33" ht="11.25" customHeight="1" x14ac:dyDescent="0.2"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</row>
    <row r="736" spans="2:33" ht="11.25" customHeight="1" x14ac:dyDescent="0.2"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</row>
    <row r="737" spans="2:33" ht="11.25" customHeight="1" x14ac:dyDescent="0.2"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</row>
    <row r="738" spans="2:33" ht="11.25" customHeight="1" x14ac:dyDescent="0.2"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</row>
    <row r="739" spans="2:33" ht="11.25" customHeight="1" x14ac:dyDescent="0.2"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</row>
    <row r="740" spans="2:33" ht="11.25" customHeight="1" x14ac:dyDescent="0.2"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</row>
    <row r="741" spans="2:33" ht="11.25" customHeight="1" x14ac:dyDescent="0.2"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</row>
    <row r="742" spans="2:33" ht="11.25" customHeight="1" x14ac:dyDescent="0.2"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</row>
    <row r="743" spans="2:33" ht="11.25" customHeight="1" x14ac:dyDescent="0.2"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</row>
    <row r="744" spans="2:33" ht="11.25" customHeight="1" x14ac:dyDescent="0.2"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</row>
    <row r="745" spans="2:33" ht="11.25" customHeight="1" x14ac:dyDescent="0.2"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</row>
    <row r="746" spans="2:33" ht="11.25" customHeight="1" x14ac:dyDescent="0.2"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</row>
    <row r="747" spans="2:33" ht="11.25" customHeight="1" x14ac:dyDescent="0.2"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</row>
    <row r="748" spans="2:33" ht="11.25" customHeight="1" x14ac:dyDescent="0.2"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</row>
    <row r="749" spans="2:33" ht="11.25" customHeight="1" x14ac:dyDescent="0.2"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</row>
    <row r="750" spans="2:33" ht="11.25" customHeight="1" x14ac:dyDescent="0.2"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</row>
    <row r="751" spans="2:33" ht="11.25" customHeight="1" x14ac:dyDescent="0.2"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</row>
    <row r="752" spans="2:33" ht="11.25" customHeight="1" x14ac:dyDescent="0.2"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</row>
    <row r="753" spans="2:33" ht="11.25" customHeight="1" x14ac:dyDescent="0.2"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</row>
    <row r="754" spans="2:33" ht="11.25" customHeight="1" x14ac:dyDescent="0.2"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</row>
    <row r="755" spans="2:33" ht="11.25" customHeight="1" x14ac:dyDescent="0.2"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</row>
    <row r="756" spans="2:33" ht="11.25" customHeight="1" x14ac:dyDescent="0.2"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</row>
    <row r="757" spans="2:33" ht="11.25" customHeight="1" x14ac:dyDescent="0.2"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</row>
    <row r="758" spans="2:33" ht="11.25" customHeight="1" x14ac:dyDescent="0.2"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</row>
    <row r="759" spans="2:33" ht="11.25" customHeight="1" x14ac:dyDescent="0.2"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</row>
    <row r="760" spans="2:33" ht="11.25" customHeight="1" x14ac:dyDescent="0.2"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</row>
    <row r="761" spans="2:33" ht="11.25" customHeight="1" x14ac:dyDescent="0.2"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</row>
    <row r="762" spans="2:33" ht="11.25" customHeight="1" x14ac:dyDescent="0.2"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</row>
    <row r="763" spans="2:33" ht="11.25" customHeight="1" x14ac:dyDescent="0.2"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</row>
    <row r="764" spans="2:33" ht="11.25" customHeight="1" x14ac:dyDescent="0.2"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</row>
    <row r="765" spans="2:33" ht="11.25" customHeight="1" x14ac:dyDescent="0.2"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</row>
    <row r="766" spans="2:33" ht="11.25" customHeight="1" x14ac:dyDescent="0.2"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</row>
    <row r="767" spans="2:33" ht="11.25" customHeight="1" x14ac:dyDescent="0.2"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</row>
    <row r="768" spans="2:33" ht="11.25" customHeight="1" x14ac:dyDescent="0.2"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</row>
    <row r="769" spans="2:33" ht="11.25" customHeight="1" x14ac:dyDescent="0.2"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</row>
    <row r="770" spans="2:33" ht="11.25" customHeight="1" x14ac:dyDescent="0.2"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</row>
    <row r="771" spans="2:33" ht="11.25" customHeight="1" x14ac:dyDescent="0.2"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</row>
    <row r="772" spans="2:33" ht="11.25" customHeight="1" x14ac:dyDescent="0.2"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</row>
    <row r="773" spans="2:33" ht="11.25" customHeight="1" x14ac:dyDescent="0.2"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</row>
    <row r="774" spans="2:33" ht="11.25" customHeight="1" x14ac:dyDescent="0.2"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</row>
    <row r="775" spans="2:33" ht="11.25" customHeight="1" x14ac:dyDescent="0.2"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</row>
    <row r="776" spans="2:33" ht="11.25" customHeight="1" x14ac:dyDescent="0.2"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</row>
    <row r="777" spans="2:33" ht="11.25" customHeight="1" x14ac:dyDescent="0.2"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</row>
    <row r="778" spans="2:33" ht="11.25" customHeight="1" x14ac:dyDescent="0.2"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</row>
    <row r="779" spans="2:33" ht="11.25" customHeight="1" x14ac:dyDescent="0.2"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</row>
    <row r="780" spans="2:33" ht="11.25" customHeight="1" x14ac:dyDescent="0.2"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</row>
    <row r="781" spans="2:33" ht="11.25" customHeight="1" x14ac:dyDescent="0.2"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</row>
    <row r="782" spans="2:33" ht="11.25" customHeight="1" x14ac:dyDescent="0.2"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</row>
    <row r="783" spans="2:33" ht="11.25" customHeight="1" x14ac:dyDescent="0.2"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</row>
    <row r="784" spans="2:33" ht="11.25" customHeight="1" x14ac:dyDescent="0.2"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</row>
    <row r="785" spans="2:33" ht="11.25" customHeight="1" x14ac:dyDescent="0.2"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</row>
    <row r="786" spans="2:33" ht="11.25" customHeight="1" x14ac:dyDescent="0.2"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</row>
    <row r="787" spans="2:33" ht="11.25" customHeight="1" x14ac:dyDescent="0.2"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</row>
    <row r="788" spans="2:33" ht="11.25" customHeight="1" x14ac:dyDescent="0.2"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</row>
    <row r="789" spans="2:33" ht="11.25" customHeight="1" x14ac:dyDescent="0.2"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</row>
    <row r="790" spans="2:33" ht="11.25" customHeight="1" x14ac:dyDescent="0.2"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</row>
    <row r="791" spans="2:33" ht="11.25" customHeight="1" x14ac:dyDescent="0.2"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</row>
    <row r="792" spans="2:33" ht="11.25" customHeight="1" x14ac:dyDescent="0.2"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</row>
    <row r="793" spans="2:33" ht="11.25" customHeight="1" x14ac:dyDescent="0.2"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</row>
    <row r="794" spans="2:33" ht="11.25" customHeight="1" x14ac:dyDescent="0.2"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</row>
    <row r="795" spans="2:33" ht="11.25" customHeight="1" x14ac:dyDescent="0.2"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</row>
    <row r="796" spans="2:33" ht="11.25" customHeight="1" x14ac:dyDescent="0.2"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</row>
    <row r="797" spans="2:33" ht="11.25" customHeight="1" x14ac:dyDescent="0.2"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</row>
    <row r="798" spans="2:33" ht="11.25" customHeight="1" x14ac:dyDescent="0.2"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</row>
    <row r="799" spans="2:33" ht="11.25" customHeight="1" x14ac:dyDescent="0.2"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</row>
    <row r="800" spans="2:33" ht="11.25" customHeight="1" x14ac:dyDescent="0.2"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</row>
    <row r="801" spans="2:33" ht="11.25" customHeight="1" x14ac:dyDescent="0.2"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</row>
    <row r="802" spans="2:33" ht="11.25" customHeight="1" x14ac:dyDescent="0.2"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</row>
    <row r="803" spans="2:33" ht="11.25" customHeight="1" x14ac:dyDescent="0.2"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</row>
    <row r="804" spans="2:33" ht="11.25" customHeight="1" x14ac:dyDescent="0.2"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</row>
    <row r="805" spans="2:33" ht="11.25" customHeight="1" x14ac:dyDescent="0.2"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</row>
    <row r="806" spans="2:33" ht="11.25" customHeight="1" x14ac:dyDescent="0.2"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</row>
    <row r="807" spans="2:33" ht="11.25" customHeight="1" x14ac:dyDescent="0.2"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</row>
    <row r="808" spans="2:33" ht="11.25" customHeight="1" x14ac:dyDescent="0.2"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</row>
    <row r="809" spans="2:33" ht="11.25" customHeight="1" x14ac:dyDescent="0.2"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</row>
    <row r="810" spans="2:33" ht="11.25" customHeight="1" x14ac:dyDescent="0.2"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</row>
    <row r="811" spans="2:33" ht="11.25" customHeight="1" x14ac:dyDescent="0.2"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</row>
    <row r="812" spans="2:33" ht="11.25" customHeight="1" x14ac:dyDescent="0.2"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</row>
    <row r="813" spans="2:33" ht="11.25" customHeight="1" x14ac:dyDescent="0.2"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</row>
    <row r="814" spans="2:33" ht="11.25" customHeight="1" x14ac:dyDescent="0.2"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</row>
    <row r="815" spans="2:33" ht="11.25" customHeight="1" x14ac:dyDescent="0.2"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</row>
    <row r="816" spans="2:33" ht="11.25" customHeight="1" x14ac:dyDescent="0.2"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</row>
    <row r="817" spans="2:33" ht="11.25" customHeight="1" x14ac:dyDescent="0.2"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</row>
    <row r="818" spans="2:33" ht="11.25" customHeight="1" x14ac:dyDescent="0.2"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</row>
    <row r="819" spans="2:33" ht="11.25" customHeight="1" x14ac:dyDescent="0.2"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</row>
    <row r="820" spans="2:33" ht="11.25" customHeight="1" x14ac:dyDescent="0.2"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</row>
    <row r="821" spans="2:33" ht="11.25" customHeight="1" x14ac:dyDescent="0.2"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</row>
    <row r="822" spans="2:33" ht="11.25" customHeight="1" x14ac:dyDescent="0.2"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</row>
    <row r="823" spans="2:33" ht="11.25" customHeight="1" x14ac:dyDescent="0.2"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</row>
    <row r="824" spans="2:33" ht="11.25" customHeight="1" x14ac:dyDescent="0.2"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</row>
    <row r="825" spans="2:33" ht="11.25" customHeight="1" x14ac:dyDescent="0.2"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</row>
    <row r="826" spans="2:33" ht="11.25" customHeight="1" x14ac:dyDescent="0.2"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</row>
    <row r="827" spans="2:33" ht="11.25" customHeight="1" x14ac:dyDescent="0.2"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</row>
    <row r="828" spans="2:33" ht="11.25" customHeight="1" x14ac:dyDescent="0.2"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</row>
    <row r="829" spans="2:33" ht="11.25" customHeight="1" x14ac:dyDescent="0.2"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</row>
    <row r="830" spans="2:33" ht="11.25" customHeight="1" x14ac:dyDescent="0.2"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</row>
    <row r="831" spans="2:33" ht="11.25" customHeight="1" x14ac:dyDescent="0.2"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</row>
    <row r="832" spans="2:33" ht="11.25" customHeight="1" x14ac:dyDescent="0.2"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</row>
    <row r="833" spans="2:33" ht="11.25" customHeight="1" x14ac:dyDescent="0.2"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</row>
    <row r="834" spans="2:33" ht="11.25" customHeight="1" x14ac:dyDescent="0.2"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</row>
    <row r="835" spans="2:33" ht="11.25" customHeight="1" x14ac:dyDescent="0.2"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</row>
    <row r="836" spans="2:33" ht="11.25" customHeight="1" x14ac:dyDescent="0.2"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</row>
    <row r="837" spans="2:33" ht="11.25" customHeight="1" x14ac:dyDescent="0.2"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</row>
    <row r="838" spans="2:33" ht="11.25" customHeight="1" x14ac:dyDescent="0.2"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</row>
    <row r="839" spans="2:33" ht="11.25" customHeight="1" x14ac:dyDescent="0.2"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</row>
    <row r="840" spans="2:33" ht="11.25" customHeight="1" x14ac:dyDescent="0.2"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</row>
    <row r="841" spans="2:33" ht="11.25" customHeight="1" x14ac:dyDescent="0.2"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</row>
    <row r="842" spans="2:33" ht="11.25" customHeight="1" x14ac:dyDescent="0.2"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</row>
    <row r="843" spans="2:33" ht="11.25" customHeight="1" x14ac:dyDescent="0.2"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</row>
    <row r="844" spans="2:33" ht="11.25" customHeight="1" x14ac:dyDescent="0.2"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</row>
    <row r="845" spans="2:33" ht="11.25" customHeight="1" x14ac:dyDescent="0.2"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</row>
    <row r="846" spans="2:33" ht="11.25" customHeight="1" x14ac:dyDescent="0.2"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</row>
    <row r="847" spans="2:33" ht="11.25" customHeight="1" x14ac:dyDescent="0.2"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</row>
    <row r="848" spans="2:33" ht="11.25" customHeight="1" x14ac:dyDescent="0.2"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</row>
    <row r="849" spans="2:33" ht="11.25" customHeight="1" x14ac:dyDescent="0.2"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</row>
    <row r="850" spans="2:33" ht="11.25" customHeight="1" x14ac:dyDescent="0.2"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</row>
    <row r="851" spans="2:33" ht="11.25" customHeight="1" x14ac:dyDescent="0.2"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</row>
    <row r="852" spans="2:33" ht="11.25" customHeight="1" x14ac:dyDescent="0.2"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</row>
    <row r="853" spans="2:33" ht="11.25" customHeight="1" x14ac:dyDescent="0.2"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</row>
    <row r="854" spans="2:33" ht="11.25" customHeight="1" x14ac:dyDescent="0.2"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</row>
    <row r="855" spans="2:33" ht="11.25" customHeight="1" x14ac:dyDescent="0.2"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</row>
    <row r="856" spans="2:33" ht="11.25" customHeight="1" x14ac:dyDescent="0.2"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</row>
    <row r="857" spans="2:33" ht="11.25" customHeight="1" x14ac:dyDescent="0.2"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</row>
    <row r="858" spans="2:33" ht="11.25" customHeight="1" x14ac:dyDescent="0.2"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</row>
    <row r="859" spans="2:33" ht="11.25" customHeight="1" x14ac:dyDescent="0.2"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</row>
    <row r="860" spans="2:33" ht="11.25" customHeight="1" x14ac:dyDescent="0.2"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</row>
    <row r="861" spans="2:33" ht="11.25" customHeight="1" x14ac:dyDescent="0.2"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</row>
    <row r="862" spans="2:33" ht="11.25" customHeight="1" x14ac:dyDescent="0.2"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</row>
    <row r="863" spans="2:33" ht="11.25" customHeight="1" x14ac:dyDescent="0.2"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</row>
    <row r="864" spans="2:33" ht="11.25" customHeight="1" x14ac:dyDescent="0.2"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</row>
    <row r="865" spans="2:33" ht="11.25" customHeight="1" x14ac:dyDescent="0.2"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</row>
    <row r="866" spans="2:33" ht="11.25" customHeight="1" x14ac:dyDescent="0.2"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</row>
    <row r="867" spans="2:33" ht="11.25" customHeight="1" x14ac:dyDescent="0.2"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</row>
    <row r="868" spans="2:33" ht="11.25" customHeight="1" x14ac:dyDescent="0.2"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</row>
    <row r="869" spans="2:33" ht="11.25" customHeight="1" x14ac:dyDescent="0.2"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</row>
    <row r="870" spans="2:33" ht="11.25" customHeight="1" x14ac:dyDescent="0.2"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</row>
    <row r="871" spans="2:33" ht="11.25" customHeight="1" x14ac:dyDescent="0.2"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</row>
    <row r="872" spans="2:33" ht="11.25" customHeight="1" x14ac:dyDescent="0.2"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</row>
    <row r="873" spans="2:33" ht="11.25" customHeight="1" x14ac:dyDescent="0.2"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</row>
    <row r="874" spans="2:33" ht="11.25" customHeight="1" x14ac:dyDescent="0.2"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</row>
    <row r="875" spans="2:33" ht="11.25" customHeight="1" x14ac:dyDescent="0.2"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</row>
    <row r="876" spans="2:33" ht="11.25" customHeight="1" x14ac:dyDescent="0.2"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</row>
    <row r="877" spans="2:33" ht="11.25" customHeight="1" x14ac:dyDescent="0.2"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</row>
    <row r="878" spans="2:33" ht="11.25" customHeight="1" x14ac:dyDescent="0.2"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</row>
    <row r="879" spans="2:33" ht="11.25" customHeight="1" x14ac:dyDescent="0.2"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</row>
    <row r="880" spans="2:33" ht="11.25" customHeight="1" x14ac:dyDescent="0.2"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</row>
    <row r="881" spans="2:33" ht="11.25" customHeight="1" x14ac:dyDescent="0.2"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</row>
    <row r="882" spans="2:33" ht="11.25" customHeight="1" x14ac:dyDescent="0.2"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</row>
    <row r="883" spans="2:33" ht="11.25" customHeight="1" x14ac:dyDescent="0.2"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</row>
    <row r="884" spans="2:33" ht="11.25" customHeight="1" x14ac:dyDescent="0.2"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</row>
    <row r="885" spans="2:33" ht="11.25" customHeight="1" x14ac:dyDescent="0.2"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</row>
    <row r="886" spans="2:33" ht="11.25" customHeight="1" x14ac:dyDescent="0.2"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</row>
    <row r="887" spans="2:33" ht="11.25" customHeight="1" x14ac:dyDescent="0.2"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</row>
    <row r="888" spans="2:33" ht="11.25" customHeight="1" x14ac:dyDescent="0.2"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</row>
    <row r="889" spans="2:33" ht="11.25" customHeight="1" x14ac:dyDescent="0.2"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</row>
    <row r="890" spans="2:33" ht="11.25" customHeight="1" x14ac:dyDescent="0.2"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</row>
    <row r="891" spans="2:33" ht="11.25" customHeight="1" x14ac:dyDescent="0.2"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</row>
    <row r="892" spans="2:33" ht="11.25" customHeight="1" x14ac:dyDescent="0.2"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</row>
    <row r="893" spans="2:33" ht="11.25" customHeight="1" x14ac:dyDescent="0.2"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</row>
    <row r="894" spans="2:33" ht="11.25" customHeight="1" x14ac:dyDescent="0.2"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</row>
    <row r="895" spans="2:33" ht="11.25" customHeight="1" x14ac:dyDescent="0.2"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</row>
    <row r="896" spans="2:33" ht="11.25" customHeight="1" x14ac:dyDescent="0.2"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</row>
    <row r="897" spans="2:33" ht="11.25" customHeight="1" x14ac:dyDescent="0.2"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</row>
    <row r="898" spans="2:33" ht="11.25" customHeight="1" x14ac:dyDescent="0.2"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</row>
    <row r="899" spans="2:33" ht="11.25" customHeight="1" x14ac:dyDescent="0.2"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</row>
    <row r="900" spans="2:33" ht="11.25" customHeight="1" x14ac:dyDescent="0.2"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</row>
    <row r="901" spans="2:33" ht="11.25" customHeight="1" x14ac:dyDescent="0.2"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</row>
    <row r="902" spans="2:33" ht="11.25" customHeight="1" x14ac:dyDescent="0.2"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</row>
    <row r="903" spans="2:33" ht="11.25" customHeight="1" x14ac:dyDescent="0.2"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</row>
    <row r="904" spans="2:33" ht="11.25" customHeight="1" x14ac:dyDescent="0.2"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</row>
    <row r="905" spans="2:33" ht="11.25" customHeight="1" x14ac:dyDescent="0.2"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</row>
    <row r="906" spans="2:33" ht="11.25" customHeight="1" x14ac:dyDescent="0.2"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</row>
    <row r="907" spans="2:33" ht="11.25" customHeight="1" x14ac:dyDescent="0.2"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</row>
    <row r="908" spans="2:33" ht="11.25" customHeight="1" x14ac:dyDescent="0.2"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</row>
    <row r="909" spans="2:33" ht="11.25" customHeight="1" x14ac:dyDescent="0.2"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</row>
    <row r="910" spans="2:33" ht="11.25" customHeight="1" x14ac:dyDescent="0.2"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</row>
    <row r="911" spans="2:33" ht="11.25" customHeight="1" x14ac:dyDescent="0.2"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</row>
    <row r="912" spans="2:33" ht="11.25" customHeight="1" x14ac:dyDescent="0.2"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</row>
    <row r="913" spans="2:33" ht="11.25" customHeight="1" x14ac:dyDescent="0.2"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</row>
    <row r="914" spans="2:33" ht="11.25" customHeight="1" x14ac:dyDescent="0.2"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</row>
    <row r="915" spans="2:33" ht="11.25" customHeight="1" x14ac:dyDescent="0.2"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</row>
    <row r="916" spans="2:33" ht="11.25" customHeight="1" x14ac:dyDescent="0.2"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</row>
    <row r="917" spans="2:33" ht="11.25" customHeight="1" x14ac:dyDescent="0.2"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</row>
    <row r="918" spans="2:33" ht="11.25" customHeight="1" x14ac:dyDescent="0.2"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</row>
    <row r="919" spans="2:33" ht="11.25" customHeight="1" x14ac:dyDescent="0.2"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</row>
    <row r="920" spans="2:33" ht="11.25" customHeight="1" x14ac:dyDescent="0.2"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</row>
    <row r="921" spans="2:33" ht="11.25" customHeight="1" x14ac:dyDescent="0.2"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</row>
    <row r="922" spans="2:33" ht="11.25" customHeight="1" x14ac:dyDescent="0.2"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</row>
    <row r="923" spans="2:33" ht="11.25" customHeight="1" x14ac:dyDescent="0.2"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</row>
    <row r="924" spans="2:33" ht="11.25" customHeight="1" x14ac:dyDescent="0.2"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</row>
    <row r="925" spans="2:33" ht="11.25" customHeight="1" x14ac:dyDescent="0.2"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</row>
    <row r="926" spans="2:33" ht="11.25" customHeight="1" x14ac:dyDescent="0.2"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</row>
    <row r="927" spans="2:33" ht="11.25" customHeight="1" x14ac:dyDescent="0.2"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</row>
    <row r="928" spans="2:33" ht="11.25" customHeight="1" x14ac:dyDescent="0.2"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</row>
    <row r="929" spans="2:33" ht="11.25" customHeight="1" x14ac:dyDescent="0.2"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</row>
    <row r="930" spans="2:33" ht="11.25" customHeight="1" x14ac:dyDescent="0.2"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</row>
    <row r="931" spans="2:33" ht="11.25" customHeight="1" x14ac:dyDescent="0.2"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</row>
    <row r="932" spans="2:33" ht="11.25" customHeight="1" x14ac:dyDescent="0.2"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</row>
    <row r="933" spans="2:33" ht="11.25" customHeight="1" x14ac:dyDescent="0.2"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</row>
    <row r="934" spans="2:33" ht="11.25" customHeight="1" x14ac:dyDescent="0.2"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</row>
    <row r="935" spans="2:33" ht="11.25" customHeight="1" x14ac:dyDescent="0.2"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</row>
    <row r="936" spans="2:33" ht="11.25" customHeight="1" x14ac:dyDescent="0.2"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</row>
    <row r="937" spans="2:33" ht="11.25" customHeight="1" x14ac:dyDescent="0.2"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</row>
    <row r="938" spans="2:33" ht="11.25" customHeight="1" x14ac:dyDescent="0.2"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</row>
    <row r="939" spans="2:33" ht="11.25" customHeight="1" x14ac:dyDescent="0.2"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</row>
    <row r="940" spans="2:33" ht="11.25" customHeight="1" x14ac:dyDescent="0.2"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</row>
    <row r="941" spans="2:33" ht="11.25" customHeight="1" x14ac:dyDescent="0.2"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</row>
    <row r="942" spans="2:33" ht="11.25" customHeight="1" x14ac:dyDescent="0.2"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</row>
    <row r="943" spans="2:33" ht="11.25" customHeight="1" x14ac:dyDescent="0.2"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</row>
    <row r="944" spans="2:33" ht="11.25" customHeight="1" x14ac:dyDescent="0.2"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</row>
    <row r="945" spans="2:33" ht="11.25" customHeight="1" x14ac:dyDescent="0.2"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</row>
    <row r="946" spans="2:33" ht="11.25" customHeight="1" x14ac:dyDescent="0.2"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</row>
    <row r="947" spans="2:33" ht="11.25" customHeight="1" x14ac:dyDescent="0.2"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</row>
    <row r="948" spans="2:33" ht="11.25" customHeight="1" x14ac:dyDescent="0.2"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</row>
    <row r="949" spans="2:33" ht="11.25" customHeight="1" x14ac:dyDescent="0.2"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</row>
    <row r="950" spans="2:33" ht="11.25" customHeight="1" x14ac:dyDescent="0.2"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</row>
    <row r="951" spans="2:33" ht="11.25" customHeight="1" x14ac:dyDescent="0.2"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  <c r="AF951" s="80"/>
      <c r="AG951" s="80"/>
    </row>
    <row r="952" spans="2:33" ht="11.25" customHeight="1" x14ac:dyDescent="0.2"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</row>
    <row r="953" spans="2:33" ht="11.25" customHeight="1" x14ac:dyDescent="0.2"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  <c r="AF953" s="80"/>
      <c r="AG953" s="80"/>
    </row>
    <row r="954" spans="2:33" ht="11.25" customHeight="1" x14ac:dyDescent="0.2"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  <c r="AF954" s="80"/>
      <c r="AG954" s="80"/>
    </row>
    <row r="955" spans="2:33" ht="11.25" customHeight="1" x14ac:dyDescent="0.2"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  <c r="AF955" s="80"/>
      <c r="AG955" s="80"/>
    </row>
    <row r="956" spans="2:33" ht="11.25" customHeight="1" x14ac:dyDescent="0.2"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  <c r="AF956" s="80"/>
      <c r="AG956" s="80"/>
    </row>
    <row r="957" spans="2:33" ht="11.25" customHeight="1" x14ac:dyDescent="0.2"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  <c r="AF957" s="80"/>
      <c r="AG957" s="80"/>
    </row>
    <row r="958" spans="2:33" ht="11.25" customHeight="1" x14ac:dyDescent="0.2"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  <c r="AF958" s="80"/>
      <c r="AG958" s="80"/>
    </row>
    <row r="959" spans="2:33" ht="11.25" customHeight="1" x14ac:dyDescent="0.2"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</row>
    <row r="960" spans="2:33" ht="11.25" customHeight="1" x14ac:dyDescent="0.2"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</row>
    <row r="961" spans="2:33" ht="11.25" customHeight="1" x14ac:dyDescent="0.2"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  <c r="AF961" s="80"/>
      <c r="AG961" s="80"/>
    </row>
    <row r="962" spans="2:33" ht="11.25" customHeight="1" x14ac:dyDescent="0.2"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  <c r="AG962" s="80"/>
    </row>
    <row r="963" spans="2:33" ht="11.25" customHeight="1" x14ac:dyDescent="0.2"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</row>
    <row r="964" spans="2:33" ht="11.25" customHeight="1" x14ac:dyDescent="0.2"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</row>
    <row r="965" spans="2:33" ht="11.25" customHeight="1" x14ac:dyDescent="0.2"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  <c r="AF965" s="80"/>
      <c r="AG965" s="80"/>
    </row>
    <row r="966" spans="2:33" ht="11.25" customHeight="1" x14ac:dyDescent="0.2"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  <c r="AF966" s="80"/>
      <c r="AG966" s="80"/>
    </row>
    <row r="967" spans="2:33" ht="11.25" customHeight="1" x14ac:dyDescent="0.2"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  <c r="AF967" s="80"/>
      <c r="AG967" s="80"/>
    </row>
    <row r="968" spans="2:33" ht="11.25" customHeight="1" x14ac:dyDescent="0.2"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  <c r="AF968" s="80"/>
      <c r="AG968" s="80"/>
    </row>
    <row r="969" spans="2:33" ht="11.25" customHeight="1" x14ac:dyDescent="0.2"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  <c r="AF969" s="80"/>
      <c r="AG969" s="80"/>
    </row>
    <row r="970" spans="2:33" ht="11.25" customHeight="1" x14ac:dyDescent="0.2"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  <c r="AF970" s="80"/>
      <c r="AG970" s="80"/>
    </row>
    <row r="971" spans="2:33" ht="11.25" customHeight="1" x14ac:dyDescent="0.2"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</row>
    <row r="972" spans="2:33" ht="11.25" customHeight="1" x14ac:dyDescent="0.2"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  <c r="AF972" s="80"/>
      <c r="AG972" s="80"/>
    </row>
    <row r="973" spans="2:33" ht="11.25" customHeight="1" x14ac:dyDescent="0.2"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  <c r="AF973" s="80"/>
      <c r="AG973" s="80"/>
    </row>
    <row r="974" spans="2:33" ht="11.25" customHeight="1" x14ac:dyDescent="0.2"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  <c r="AF974" s="80"/>
      <c r="AG974" s="80"/>
    </row>
    <row r="975" spans="2:33" ht="11.25" customHeight="1" x14ac:dyDescent="0.2"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  <c r="AF975" s="80"/>
      <c r="AG975" s="80"/>
    </row>
    <row r="976" spans="2:33" ht="11.25" customHeight="1" x14ac:dyDescent="0.2"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  <c r="AE976" s="80"/>
      <c r="AF976" s="80"/>
      <c r="AG976" s="80"/>
    </row>
    <row r="977" spans="2:33" ht="11.25" customHeight="1" x14ac:dyDescent="0.2"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  <c r="AE977" s="80"/>
      <c r="AF977" s="80"/>
      <c r="AG977" s="80"/>
    </row>
    <row r="978" spans="2:33" ht="11.25" customHeight="1" x14ac:dyDescent="0.2"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  <c r="AE978" s="80"/>
      <c r="AF978" s="80"/>
      <c r="AG978" s="80"/>
    </row>
    <row r="979" spans="2:33" ht="11.25" customHeight="1" x14ac:dyDescent="0.2"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  <c r="AE979" s="80"/>
      <c r="AF979" s="80"/>
      <c r="AG979" s="80"/>
    </row>
    <row r="980" spans="2:33" ht="11.25" customHeight="1" x14ac:dyDescent="0.2"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  <c r="AE980" s="80"/>
      <c r="AF980" s="80"/>
      <c r="AG980" s="80"/>
    </row>
    <row r="981" spans="2:33" ht="11.25" customHeight="1" x14ac:dyDescent="0.2"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  <c r="AF981" s="80"/>
      <c r="AG981" s="80"/>
    </row>
    <row r="982" spans="2:33" ht="11.25" customHeight="1" x14ac:dyDescent="0.2"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  <c r="AF982" s="80"/>
      <c r="AG982" s="80"/>
    </row>
    <row r="983" spans="2:33" ht="11.25" customHeight="1" x14ac:dyDescent="0.2"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  <c r="AE983" s="80"/>
      <c r="AF983" s="80"/>
      <c r="AG983" s="80"/>
    </row>
    <row r="984" spans="2:33" ht="11.25" customHeight="1" x14ac:dyDescent="0.2"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  <c r="AF984" s="80"/>
      <c r="AG984" s="80"/>
    </row>
    <row r="985" spans="2:33" ht="11.25" customHeight="1" x14ac:dyDescent="0.2"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  <c r="AF985" s="80"/>
      <c r="AG985" s="80"/>
    </row>
    <row r="986" spans="2:33" ht="11.25" customHeight="1" x14ac:dyDescent="0.2"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  <c r="AF986" s="80"/>
      <c r="AG986" s="80"/>
    </row>
    <row r="987" spans="2:33" ht="11.25" customHeight="1" x14ac:dyDescent="0.2"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  <c r="AF987" s="80"/>
      <c r="AG987" s="80"/>
    </row>
    <row r="988" spans="2:33" ht="11.25" customHeight="1" x14ac:dyDescent="0.2"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  <c r="AF988" s="80"/>
      <c r="AG988" s="80"/>
    </row>
    <row r="989" spans="2:33" ht="11.25" customHeight="1" x14ac:dyDescent="0.2"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  <c r="AE989" s="80"/>
      <c r="AF989" s="80"/>
      <c r="AG989" s="80"/>
    </row>
    <row r="990" spans="2:33" ht="11.25" customHeight="1" x14ac:dyDescent="0.2"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  <c r="AE990" s="80"/>
      <c r="AF990" s="80"/>
      <c r="AG990" s="80"/>
    </row>
    <row r="991" spans="2:33" ht="11.25" customHeight="1" x14ac:dyDescent="0.2"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  <c r="AE991" s="80"/>
      <c r="AF991" s="80"/>
      <c r="AG991" s="80"/>
    </row>
    <row r="992" spans="2:33" ht="11.25" customHeight="1" x14ac:dyDescent="0.2"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  <c r="AF992" s="80"/>
      <c r="AG992" s="80"/>
    </row>
    <row r="993" spans="2:33" ht="11.25" customHeight="1" x14ac:dyDescent="0.2"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  <c r="AF993" s="80"/>
      <c r="AG993" s="80"/>
    </row>
    <row r="994" spans="2:33" ht="11.25" customHeight="1" x14ac:dyDescent="0.2"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  <c r="AF994" s="80"/>
      <c r="AG994" s="80"/>
    </row>
    <row r="995" spans="2:33" ht="11.25" customHeight="1" x14ac:dyDescent="0.2"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  <c r="AE995" s="80"/>
      <c r="AF995" s="80"/>
      <c r="AG995" s="80"/>
    </row>
    <row r="996" spans="2:33" ht="11.25" customHeight="1" x14ac:dyDescent="0.2"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  <c r="AF996" s="80"/>
      <c r="AG996" s="80"/>
    </row>
    <row r="997" spans="2:33" ht="11.25" customHeight="1" x14ac:dyDescent="0.2"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  <c r="AE997" s="80"/>
      <c r="AF997" s="80"/>
      <c r="AG997" s="80"/>
    </row>
    <row r="998" spans="2:33" ht="11.25" customHeight="1" x14ac:dyDescent="0.2"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  <c r="AF998" s="80"/>
      <c r="AG998" s="80"/>
    </row>
  </sheetData>
  <mergeCells count="19">
    <mergeCell ref="B36:B51"/>
    <mergeCell ref="B53:B54"/>
    <mergeCell ref="C53:D53"/>
    <mergeCell ref="B58:C60"/>
    <mergeCell ref="C48:D48"/>
    <mergeCell ref="E3:W5"/>
    <mergeCell ref="B8:C10"/>
    <mergeCell ref="B15:B31"/>
    <mergeCell ref="C16:D16"/>
    <mergeCell ref="F16:W16"/>
    <mergeCell ref="C28:D28"/>
    <mergeCell ref="F28:W28"/>
    <mergeCell ref="F48:W48"/>
    <mergeCell ref="F53:W53"/>
    <mergeCell ref="B33:B34"/>
    <mergeCell ref="C33:D33"/>
    <mergeCell ref="F33:W33"/>
    <mergeCell ref="C36:D36"/>
    <mergeCell ref="F36:W36"/>
  </mergeCells>
  <conditionalFormatting sqref="F17:W26 F29:W31">
    <cfRule type="cellIs" dxfId="9" priority="1" operator="equal">
      <formula>0</formula>
    </cfRule>
  </conditionalFormatting>
  <conditionalFormatting sqref="F34:W34">
    <cfRule type="cellIs" dxfId="8" priority="2" operator="equal">
      <formula>0</formula>
    </cfRule>
  </conditionalFormatting>
  <conditionalFormatting sqref="F37:W46">
    <cfRule type="cellIs" dxfId="7" priority="3" operator="equal">
      <formula>0</formula>
    </cfRule>
  </conditionalFormatting>
  <conditionalFormatting sqref="F49:W51">
    <cfRule type="cellIs" dxfId="6" priority="4" operator="equal">
      <formula>0</formula>
    </cfRule>
  </conditionalFormatting>
  <conditionalFormatting sqref="F54:W54">
    <cfRule type="cellIs" dxfId="5" priority="5" operator="equal">
      <formula>0</formula>
    </cfRule>
  </conditionalFormatting>
  <pageMargins left="0.7" right="0.7" top="0.75" bottom="0.75" header="0" footer="0"/>
  <pageSetup orientation="landscape"/>
  <drawing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B3:AG998"/>
  <sheetViews>
    <sheetView showGridLines="0" topLeftCell="A28" workbookViewId="0">
      <selection activeCell="U55" sqref="U55"/>
    </sheetView>
  </sheetViews>
  <sheetFormatPr baseColWidth="10" defaultColWidth="14.5" defaultRowHeight="15" customHeight="1" outlineLevelCol="1" x14ac:dyDescent="0.2"/>
  <cols>
    <col min="1" max="1" width="6" customWidth="1"/>
    <col min="2" max="2" width="11.5" customWidth="1"/>
    <col min="3" max="3" width="10.5" customWidth="1"/>
    <col min="4" max="4" width="31.5" customWidth="1"/>
    <col min="5" max="5" width="5.5" customWidth="1"/>
    <col min="6" max="11" width="12.33203125" hidden="1" customWidth="1" outlineLevel="1"/>
    <col min="12" max="12" width="12.33203125" customWidth="1" collapsed="1"/>
    <col min="13" max="23" width="12.33203125" customWidth="1"/>
    <col min="24" max="24" width="12.5" customWidth="1"/>
    <col min="25" max="33" width="11.5" customWidth="1"/>
  </cols>
  <sheetData>
    <row r="3" spans="2:33" ht="12" customHeight="1" x14ac:dyDescent="0.2">
      <c r="B3" s="80"/>
      <c r="C3" s="80"/>
      <c r="D3" s="80"/>
      <c r="E3" s="308" t="s">
        <v>83</v>
      </c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10"/>
      <c r="X3" s="80"/>
      <c r="Y3" s="80"/>
      <c r="Z3" s="80"/>
      <c r="AA3" s="80"/>
      <c r="AB3" s="80"/>
      <c r="AC3" s="80"/>
      <c r="AD3" s="80"/>
      <c r="AE3" s="80"/>
      <c r="AF3" s="80"/>
      <c r="AG3" s="80"/>
    </row>
    <row r="4" spans="2:33" ht="12" customHeight="1" x14ac:dyDescent="0.2">
      <c r="B4" s="80"/>
      <c r="C4" s="80"/>
      <c r="D4" s="81"/>
      <c r="E4" s="311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3"/>
      <c r="X4" s="268">
        <v>9.5000000000000001E-2</v>
      </c>
      <c r="Y4" s="80"/>
      <c r="Z4" s="80"/>
      <c r="AA4" s="80"/>
      <c r="AB4" s="80"/>
      <c r="AC4" s="80"/>
      <c r="AD4" s="80"/>
      <c r="AE4" s="80"/>
      <c r="AF4" s="80"/>
      <c r="AG4" s="80"/>
    </row>
    <row r="5" spans="2:33" ht="12" customHeight="1" x14ac:dyDescent="0.2">
      <c r="B5" s="80"/>
      <c r="C5" s="80"/>
      <c r="D5" s="81"/>
      <c r="E5" s="314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315"/>
      <c r="S5" s="315"/>
      <c r="T5" s="315"/>
      <c r="U5" s="315"/>
      <c r="V5" s="315"/>
      <c r="W5" s="316"/>
      <c r="X5" s="80">
        <v>1.095</v>
      </c>
      <c r="Y5" s="80"/>
      <c r="Z5" s="80"/>
      <c r="AA5" s="80"/>
      <c r="AB5" s="80"/>
      <c r="AC5" s="80"/>
      <c r="AD5" s="80"/>
      <c r="AE5" s="80"/>
      <c r="AF5" s="80"/>
      <c r="AG5" s="80"/>
    </row>
    <row r="6" spans="2:33" ht="12" customHeight="1" x14ac:dyDescent="0.2">
      <c r="B6" s="80"/>
      <c r="C6" s="80"/>
      <c r="D6" s="81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</row>
    <row r="7" spans="2:33" ht="11.25" customHeight="1" x14ac:dyDescent="0.2">
      <c r="B7" s="82"/>
      <c r="C7" s="83" t="s">
        <v>249</v>
      </c>
      <c r="D7" s="84"/>
      <c r="E7" s="82"/>
      <c r="F7" s="85">
        <v>45138</v>
      </c>
      <c r="G7" s="85">
        <v>45169</v>
      </c>
      <c r="H7" s="85">
        <v>45199</v>
      </c>
      <c r="I7" s="85">
        <v>45230</v>
      </c>
      <c r="J7" s="85">
        <v>45260</v>
      </c>
      <c r="K7" s="85">
        <v>45291</v>
      </c>
      <c r="L7" s="85">
        <v>45688</v>
      </c>
      <c r="M7" s="85">
        <v>45716</v>
      </c>
      <c r="N7" s="85">
        <v>45747</v>
      </c>
      <c r="O7" s="85">
        <v>45777</v>
      </c>
      <c r="P7" s="85">
        <v>45808</v>
      </c>
      <c r="Q7" s="85">
        <v>45838</v>
      </c>
      <c r="R7" s="85">
        <v>45869</v>
      </c>
      <c r="S7" s="85">
        <v>45900</v>
      </c>
      <c r="T7" s="85">
        <v>45930</v>
      </c>
      <c r="U7" s="85">
        <v>45961</v>
      </c>
      <c r="V7" s="85">
        <v>45991</v>
      </c>
      <c r="W7" s="85">
        <v>46022</v>
      </c>
      <c r="X7" s="86"/>
      <c r="Y7" s="80"/>
      <c r="Z7" s="80"/>
      <c r="AA7" s="80"/>
      <c r="AB7" s="80"/>
      <c r="AC7" s="80"/>
      <c r="AD7" s="80"/>
      <c r="AE7" s="80"/>
      <c r="AF7" s="80"/>
      <c r="AG7" s="80"/>
    </row>
    <row r="8" spans="2:33" ht="11.25" customHeight="1" x14ac:dyDescent="0.2">
      <c r="B8" s="300" t="s">
        <v>84</v>
      </c>
      <c r="C8" s="301"/>
      <c r="D8" s="87" t="s">
        <v>85</v>
      </c>
      <c r="E8" s="88"/>
      <c r="F8" s="89">
        <v>0</v>
      </c>
      <c r="G8" s="89">
        <v>0</v>
      </c>
      <c r="H8" s="89">
        <v>0</v>
      </c>
      <c r="I8" s="89">
        <v>0</v>
      </c>
      <c r="J8" s="89">
        <v>0</v>
      </c>
      <c r="K8" s="89">
        <v>0</v>
      </c>
      <c r="L8" s="89">
        <f>+'Indicadores MCS'!P17</f>
        <v>25394</v>
      </c>
      <c r="M8" s="89">
        <f>+'Indicadores MCS'!Q17</f>
        <v>23403</v>
      </c>
      <c r="N8" s="89">
        <f>+'Indicadores MCS'!R17</f>
        <v>27858</v>
      </c>
      <c r="O8" s="89">
        <f>+'Indicadores MCS'!S17</f>
        <v>27100</v>
      </c>
      <c r="P8" s="89">
        <f>+'Indicadores MCS'!T17</f>
        <v>26336</v>
      </c>
      <c r="Q8" s="89">
        <f>+'Indicadores MCS'!U17</f>
        <v>30971</v>
      </c>
      <c r="R8" s="89">
        <f>+'Indicadores MCS'!V17</f>
        <v>28672</v>
      </c>
      <c r="S8" s="89">
        <f>+'Indicadores MCS'!W17</f>
        <v>29048</v>
      </c>
      <c r="T8" s="89">
        <f>+'Indicadores MCS'!X17</f>
        <v>31677</v>
      </c>
      <c r="U8" s="89">
        <f>+'Indicadores MCS'!Y17</f>
        <v>32850</v>
      </c>
      <c r="V8" s="89"/>
      <c r="W8" s="89"/>
      <c r="X8" s="80"/>
      <c r="Z8" s="80"/>
      <c r="AA8" s="80"/>
      <c r="AB8" s="80"/>
      <c r="AC8" s="80"/>
      <c r="AD8" s="80"/>
      <c r="AE8" s="80"/>
      <c r="AF8" s="80"/>
      <c r="AG8" s="80"/>
    </row>
    <row r="9" spans="2:33" ht="11.25" customHeight="1" x14ac:dyDescent="0.2">
      <c r="B9" s="302"/>
      <c r="C9" s="303"/>
      <c r="D9" s="87" t="s">
        <v>86</v>
      </c>
      <c r="E9" s="90"/>
      <c r="F9" s="89">
        <f t="shared" ref="F9:K9" si="0">F8*$E$9</f>
        <v>0</v>
      </c>
      <c r="G9" s="89">
        <f t="shared" si="0"/>
        <v>0</v>
      </c>
      <c r="H9" s="89">
        <f t="shared" si="0"/>
        <v>0</v>
      </c>
      <c r="I9" s="89">
        <f t="shared" si="0"/>
        <v>0</v>
      </c>
      <c r="J9" s="89">
        <f t="shared" si="0"/>
        <v>0</v>
      </c>
      <c r="K9" s="89">
        <f t="shared" si="0"/>
        <v>0</v>
      </c>
      <c r="L9" s="89">
        <f>+'Indicadores MCS'!P39+'Indicadores MCS'!P77</f>
        <v>47063</v>
      </c>
      <c r="M9" s="89">
        <f>+'Indicadores MCS'!Q39+'Indicadores MCS'!Q77</f>
        <v>43318</v>
      </c>
      <c r="N9" s="89">
        <f>+'Indicadores MCS'!R39+'Indicadores MCS'!R77</f>
        <v>46180</v>
      </c>
      <c r="O9" s="89">
        <f>+'Indicadores MCS'!S39+'Indicadores MCS'!S77</f>
        <v>35777</v>
      </c>
      <c r="P9" s="89">
        <f>+'Indicadores MCS'!T39+'Indicadores MCS'!T77</f>
        <v>49883</v>
      </c>
      <c r="Q9" s="89">
        <f>+'Indicadores MCS'!U39+'Indicadores MCS'!U77</f>
        <v>49084</v>
      </c>
      <c r="R9" s="89">
        <f>+'Indicadores MCS'!V39+'Indicadores MCS'!V77</f>
        <v>44750</v>
      </c>
      <c r="S9" s="89">
        <f>+'Indicadores MCS'!W39+'Indicadores MCS'!W77</f>
        <v>43567</v>
      </c>
      <c r="T9" s="89">
        <f>+'Indicadores MCS'!X39+'Indicadores MCS'!X77</f>
        <v>50964</v>
      </c>
      <c r="U9" s="89">
        <f>+'Indicadores MCS'!Y39+'Indicadores MCS'!Y77</f>
        <v>55284</v>
      </c>
      <c r="V9" s="89"/>
      <c r="W9" s="89"/>
      <c r="X9" s="80"/>
      <c r="Y9" s="80"/>
      <c r="Z9" s="80"/>
      <c r="AA9" s="80"/>
      <c r="AB9" s="80"/>
      <c r="AC9" s="80"/>
      <c r="AD9" s="80"/>
      <c r="AE9" s="80"/>
      <c r="AF9" s="80"/>
      <c r="AG9" s="80"/>
    </row>
    <row r="10" spans="2:33" ht="11.25" customHeight="1" x14ac:dyDescent="0.2">
      <c r="B10" s="304"/>
      <c r="C10" s="305"/>
      <c r="D10" s="87" t="s">
        <v>87</v>
      </c>
      <c r="E10" s="91"/>
      <c r="F10" s="89">
        <f t="shared" ref="F10:K10" si="1">F8*$E$10</f>
        <v>0</v>
      </c>
      <c r="G10" s="89">
        <f t="shared" si="1"/>
        <v>0</v>
      </c>
      <c r="H10" s="89">
        <f t="shared" si="1"/>
        <v>0</v>
      </c>
      <c r="I10" s="89">
        <f t="shared" si="1"/>
        <v>0</v>
      </c>
      <c r="J10" s="89">
        <f t="shared" si="1"/>
        <v>0</v>
      </c>
      <c r="K10" s="89">
        <f t="shared" si="1"/>
        <v>0</v>
      </c>
      <c r="L10" s="89">
        <f>+'Indicadores MCS'!P27</f>
        <v>7163</v>
      </c>
      <c r="M10" s="89">
        <f>+'Indicadores MCS'!Q27</f>
        <v>7310</v>
      </c>
      <c r="N10" s="89">
        <f>+'Indicadores MCS'!R27</f>
        <v>7080</v>
      </c>
      <c r="O10" s="89">
        <f>+'Indicadores MCS'!S27</f>
        <v>7490</v>
      </c>
      <c r="P10" s="89">
        <f>+'Indicadores MCS'!T27</f>
        <v>7063</v>
      </c>
      <c r="Q10" s="89">
        <f>+'Indicadores MCS'!U27</f>
        <v>5914</v>
      </c>
      <c r="R10" s="89">
        <f>+'Indicadores MCS'!V27</f>
        <v>3838</v>
      </c>
      <c r="S10" s="89">
        <f>+'Indicadores MCS'!W27</f>
        <v>3729</v>
      </c>
      <c r="T10" s="89">
        <f>+'Indicadores MCS'!X27</f>
        <v>4292</v>
      </c>
      <c r="U10" s="89">
        <f>+'Indicadores MCS'!Y27</f>
        <v>5400</v>
      </c>
      <c r="V10" s="89"/>
      <c r="W10" s="89"/>
      <c r="X10" s="80"/>
      <c r="Y10" s="80"/>
      <c r="Z10" s="80"/>
      <c r="AA10" s="80"/>
      <c r="AB10" s="80"/>
      <c r="AC10" s="80"/>
      <c r="AD10" s="80"/>
      <c r="AE10" s="80"/>
      <c r="AF10" s="80"/>
      <c r="AG10" s="80"/>
    </row>
    <row r="11" spans="2:33" ht="11.25" customHeight="1" x14ac:dyDescent="0.2"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</row>
    <row r="12" spans="2:33" ht="11.25" customHeight="1" x14ac:dyDescent="0.2">
      <c r="B12" s="80"/>
      <c r="C12" s="80"/>
      <c r="D12" s="80"/>
      <c r="E12" s="80"/>
      <c r="F12" s="92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</row>
    <row r="13" spans="2:33" ht="11.25" customHeight="1" x14ac:dyDescent="0.2">
      <c r="B13" s="80"/>
      <c r="C13" s="80"/>
      <c r="D13" s="80"/>
      <c r="E13" s="80"/>
      <c r="F13" s="92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</row>
    <row r="14" spans="2:33" ht="11.25" customHeight="1" x14ac:dyDescent="0.2">
      <c r="B14" s="80"/>
      <c r="C14" s="80"/>
      <c r="D14" s="80"/>
      <c r="E14" s="80"/>
      <c r="F14" s="92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</row>
    <row r="15" spans="2:33" ht="11.25" customHeight="1" x14ac:dyDescent="0.2">
      <c r="B15" s="317" t="s">
        <v>88</v>
      </c>
      <c r="C15" s="93"/>
      <c r="D15" s="94"/>
      <c r="E15" s="95"/>
      <c r="F15" s="96">
        <f t="shared" ref="F15:W15" si="2">F8</f>
        <v>0</v>
      </c>
      <c r="G15" s="96">
        <f t="shared" si="2"/>
        <v>0</v>
      </c>
      <c r="H15" s="96">
        <f t="shared" si="2"/>
        <v>0</v>
      </c>
      <c r="I15" s="96">
        <f t="shared" si="2"/>
        <v>0</v>
      </c>
      <c r="J15" s="96">
        <f t="shared" si="2"/>
        <v>0</v>
      </c>
      <c r="K15" s="96">
        <f t="shared" si="2"/>
        <v>0</v>
      </c>
      <c r="L15" s="245">
        <f t="shared" si="2"/>
        <v>25394</v>
      </c>
      <c r="M15" s="245">
        <f t="shared" si="2"/>
        <v>23403</v>
      </c>
      <c r="N15" s="245">
        <f t="shared" si="2"/>
        <v>27858</v>
      </c>
      <c r="O15" s="245">
        <f t="shared" si="2"/>
        <v>27100</v>
      </c>
      <c r="P15" s="245">
        <f t="shared" si="2"/>
        <v>26336</v>
      </c>
      <c r="Q15" s="245">
        <f t="shared" si="2"/>
        <v>30971</v>
      </c>
      <c r="R15" s="245">
        <f t="shared" si="2"/>
        <v>28672</v>
      </c>
      <c r="S15" s="245">
        <f t="shared" si="2"/>
        <v>29048</v>
      </c>
      <c r="T15" s="245">
        <f t="shared" si="2"/>
        <v>31677</v>
      </c>
      <c r="U15" s="245">
        <f t="shared" si="2"/>
        <v>32850</v>
      </c>
      <c r="V15" s="245">
        <f t="shared" si="2"/>
        <v>0</v>
      </c>
      <c r="W15" s="246">
        <f t="shared" si="2"/>
        <v>0</v>
      </c>
      <c r="X15" s="80"/>
      <c r="Y15" s="80"/>
      <c r="Z15" s="80"/>
      <c r="AA15" s="80"/>
      <c r="AB15" s="80"/>
      <c r="AC15" s="80"/>
      <c r="AD15" s="80"/>
      <c r="AE15" s="80"/>
      <c r="AF15" s="80"/>
      <c r="AG15" s="80"/>
    </row>
    <row r="16" spans="2:33" ht="11.25" customHeight="1" x14ac:dyDescent="0.2">
      <c r="B16" s="318"/>
      <c r="C16" s="320" t="s">
        <v>89</v>
      </c>
      <c r="D16" s="307"/>
      <c r="E16" s="80"/>
      <c r="F16" s="321" t="s">
        <v>90</v>
      </c>
      <c r="G16" s="322"/>
      <c r="H16" s="322"/>
      <c r="I16" s="322"/>
      <c r="J16" s="322"/>
      <c r="K16" s="322"/>
      <c r="L16" s="322"/>
      <c r="M16" s="322"/>
      <c r="N16" s="322"/>
      <c r="O16" s="322"/>
      <c r="P16" s="322"/>
      <c r="Q16" s="322"/>
      <c r="R16" s="322"/>
      <c r="S16" s="322"/>
      <c r="T16" s="322"/>
      <c r="U16" s="322"/>
      <c r="V16" s="322"/>
      <c r="W16" s="307"/>
      <c r="X16" s="80"/>
      <c r="Y16" s="80"/>
      <c r="Z16" s="80"/>
      <c r="AA16" s="80"/>
      <c r="AB16" s="80"/>
      <c r="AC16" s="80"/>
      <c r="AD16" s="80"/>
      <c r="AE16" s="80"/>
      <c r="AF16" s="80"/>
      <c r="AG16" s="80"/>
    </row>
    <row r="17" spans="2:33" ht="11.25" customHeight="1" x14ac:dyDescent="0.2">
      <c r="B17" s="318"/>
      <c r="C17" s="97">
        <v>0</v>
      </c>
      <c r="D17" s="98">
        <v>50</v>
      </c>
      <c r="E17" s="80"/>
      <c r="F17" s="99">
        <f t="shared" ref="F17:W17" si="3">IF(F$15&gt;$D17,$D17-$C17,IF(AND($C17&lt;F$15,F$15&lt;$D17),F$15-$C17,IF(F$15=$D17,$D17-$C17,0)))</f>
        <v>0</v>
      </c>
      <c r="G17" s="99">
        <f t="shared" si="3"/>
        <v>0</v>
      </c>
      <c r="H17" s="99">
        <f t="shared" si="3"/>
        <v>0</v>
      </c>
      <c r="I17" s="99">
        <f t="shared" si="3"/>
        <v>0</v>
      </c>
      <c r="J17" s="99">
        <f t="shared" si="3"/>
        <v>0</v>
      </c>
      <c r="K17" s="99">
        <f t="shared" si="3"/>
        <v>0</v>
      </c>
      <c r="L17" s="99">
        <f t="shared" si="3"/>
        <v>50</v>
      </c>
      <c r="M17" s="99">
        <f t="shared" si="3"/>
        <v>50</v>
      </c>
      <c r="N17" s="99">
        <f t="shared" si="3"/>
        <v>50</v>
      </c>
      <c r="O17" s="99">
        <f t="shared" si="3"/>
        <v>50</v>
      </c>
      <c r="P17" s="99">
        <f t="shared" si="3"/>
        <v>50</v>
      </c>
      <c r="Q17" s="99">
        <f t="shared" si="3"/>
        <v>50</v>
      </c>
      <c r="R17" s="99">
        <f t="shared" si="3"/>
        <v>50</v>
      </c>
      <c r="S17" s="99">
        <f t="shared" si="3"/>
        <v>50</v>
      </c>
      <c r="T17" s="99">
        <f t="shared" si="3"/>
        <v>50</v>
      </c>
      <c r="U17" s="99">
        <f t="shared" si="3"/>
        <v>50</v>
      </c>
      <c r="V17" s="99">
        <f t="shared" si="3"/>
        <v>0</v>
      </c>
      <c r="W17" s="99">
        <f t="shared" si="3"/>
        <v>0</v>
      </c>
      <c r="X17" s="80"/>
      <c r="Y17" s="80"/>
      <c r="Z17" s="80"/>
      <c r="AA17" s="80"/>
      <c r="AB17" s="80"/>
      <c r="AC17" s="80"/>
      <c r="AD17" s="80"/>
      <c r="AE17" s="80"/>
      <c r="AF17" s="80"/>
      <c r="AG17" s="80"/>
    </row>
    <row r="18" spans="2:33" ht="11.25" customHeight="1" x14ac:dyDescent="0.2">
      <c r="B18" s="318"/>
      <c r="C18" s="97">
        <f t="shared" ref="C18:C26" si="4">D17</f>
        <v>50</v>
      </c>
      <c r="D18" s="98">
        <v>500</v>
      </c>
      <c r="E18" s="80"/>
      <c r="F18" s="99">
        <f t="shared" ref="F18:W18" si="5">IF(F$15&gt;$D18,$D18-$C18,IF(AND($C18&lt;F$15,F$15&lt;$D18),F$15-$C18,IF(F$15=$D18,$D18-$C18,0)))</f>
        <v>0</v>
      </c>
      <c r="G18" s="99">
        <f t="shared" si="5"/>
        <v>0</v>
      </c>
      <c r="H18" s="99">
        <f t="shared" si="5"/>
        <v>0</v>
      </c>
      <c r="I18" s="99">
        <f t="shared" si="5"/>
        <v>0</v>
      </c>
      <c r="J18" s="99">
        <f t="shared" si="5"/>
        <v>0</v>
      </c>
      <c r="K18" s="99">
        <f t="shared" si="5"/>
        <v>0</v>
      </c>
      <c r="L18" s="99">
        <f t="shared" si="5"/>
        <v>450</v>
      </c>
      <c r="M18" s="99">
        <f t="shared" si="5"/>
        <v>450</v>
      </c>
      <c r="N18" s="99">
        <f t="shared" si="5"/>
        <v>450</v>
      </c>
      <c r="O18" s="99">
        <f t="shared" si="5"/>
        <v>450</v>
      </c>
      <c r="P18" s="99">
        <f t="shared" si="5"/>
        <v>450</v>
      </c>
      <c r="Q18" s="99">
        <f t="shared" si="5"/>
        <v>450</v>
      </c>
      <c r="R18" s="99">
        <f t="shared" si="5"/>
        <v>450</v>
      </c>
      <c r="S18" s="99">
        <f t="shared" si="5"/>
        <v>450</v>
      </c>
      <c r="T18" s="99">
        <f t="shared" si="5"/>
        <v>450</v>
      </c>
      <c r="U18" s="99">
        <f t="shared" si="5"/>
        <v>450</v>
      </c>
      <c r="V18" s="99">
        <f t="shared" si="5"/>
        <v>0</v>
      </c>
      <c r="W18" s="99">
        <f t="shared" si="5"/>
        <v>0</v>
      </c>
      <c r="X18" s="80"/>
      <c r="Y18" s="80"/>
      <c r="Z18" s="80"/>
      <c r="AA18" s="80"/>
      <c r="AB18" s="80"/>
      <c r="AC18" s="80"/>
      <c r="AD18" s="80"/>
      <c r="AE18" s="80"/>
      <c r="AF18" s="80"/>
      <c r="AG18" s="80"/>
    </row>
    <row r="19" spans="2:33" ht="11.25" customHeight="1" x14ac:dyDescent="0.2">
      <c r="B19" s="318"/>
      <c r="C19" s="97">
        <f t="shared" si="4"/>
        <v>500</v>
      </c>
      <c r="D19" s="98">
        <v>1000</v>
      </c>
      <c r="E19" s="80"/>
      <c r="F19" s="99">
        <f t="shared" ref="F19:W19" si="6">IF(F$15&gt;$D19,$D19-$C19,IF(AND($C19&lt;F$15,F$15&lt;$D19),F$15-$C19,IF(F$15=$D19,$D19-$C19,0)))</f>
        <v>0</v>
      </c>
      <c r="G19" s="99">
        <f t="shared" si="6"/>
        <v>0</v>
      </c>
      <c r="H19" s="99">
        <f t="shared" si="6"/>
        <v>0</v>
      </c>
      <c r="I19" s="99">
        <f t="shared" si="6"/>
        <v>0</v>
      </c>
      <c r="J19" s="99">
        <f t="shared" si="6"/>
        <v>0</v>
      </c>
      <c r="K19" s="99">
        <f t="shared" si="6"/>
        <v>0</v>
      </c>
      <c r="L19" s="99">
        <f t="shared" si="6"/>
        <v>500</v>
      </c>
      <c r="M19" s="99">
        <f t="shared" si="6"/>
        <v>500</v>
      </c>
      <c r="N19" s="99">
        <f t="shared" si="6"/>
        <v>500</v>
      </c>
      <c r="O19" s="99">
        <f t="shared" si="6"/>
        <v>500</v>
      </c>
      <c r="P19" s="99">
        <f t="shared" si="6"/>
        <v>500</v>
      </c>
      <c r="Q19" s="99">
        <f t="shared" si="6"/>
        <v>500</v>
      </c>
      <c r="R19" s="99">
        <f t="shared" si="6"/>
        <v>500</v>
      </c>
      <c r="S19" s="99">
        <f t="shared" si="6"/>
        <v>500</v>
      </c>
      <c r="T19" s="99">
        <f t="shared" si="6"/>
        <v>500</v>
      </c>
      <c r="U19" s="99">
        <f t="shared" si="6"/>
        <v>500</v>
      </c>
      <c r="V19" s="99">
        <f t="shared" si="6"/>
        <v>0</v>
      </c>
      <c r="W19" s="99">
        <f t="shared" si="6"/>
        <v>0</v>
      </c>
      <c r="X19" s="80"/>
      <c r="Y19" s="80"/>
      <c r="Z19" s="80"/>
      <c r="AA19" s="80"/>
      <c r="AB19" s="80"/>
      <c r="AC19" s="80"/>
      <c r="AD19" s="80"/>
      <c r="AE19" s="80"/>
      <c r="AF19" s="80"/>
      <c r="AG19" s="80"/>
    </row>
    <row r="20" spans="2:33" ht="11.25" customHeight="1" x14ac:dyDescent="0.2">
      <c r="B20" s="318"/>
      <c r="C20" s="97">
        <f t="shared" si="4"/>
        <v>1000</v>
      </c>
      <c r="D20" s="98">
        <v>2000</v>
      </c>
      <c r="E20" s="80"/>
      <c r="F20" s="99">
        <f t="shared" ref="F20:W20" si="7">IF(F$15&gt;$D20,$D20-$C20,IF(AND($C20&lt;F$15,F$15&lt;$D20),F$15-$C20,IF(F$15=$D20,$D20-$C20,0)))</f>
        <v>0</v>
      </c>
      <c r="G20" s="99">
        <f t="shared" si="7"/>
        <v>0</v>
      </c>
      <c r="H20" s="99">
        <f t="shared" si="7"/>
        <v>0</v>
      </c>
      <c r="I20" s="99">
        <f t="shared" si="7"/>
        <v>0</v>
      </c>
      <c r="J20" s="99">
        <f t="shared" si="7"/>
        <v>0</v>
      </c>
      <c r="K20" s="99">
        <f t="shared" si="7"/>
        <v>0</v>
      </c>
      <c r="L20" s="99">
        <f t="shared" si="7"/>
        <v>1000</v>
      </c>
      <c r="M20" s="99">
        <f t="shared" si="7"/>
        <v>1000</v>
      </c>
      <c r="N20" s="99">
        <f t="shared" si="7"/>
        <v>1000</v>
      </c>
      <c r="O20" s="99">
        <f t="shared" si="7"/>
        <v>1000</v>
      </c>
      <c r="P20" s="99">
        <f t="shared" si="7"/>
        <v>1000</v>
      </c>
      <c r="Q20" s="99">
        <f t="shared" si="7"/>
        <v>1000</v>
      </c>
      <c r="R20" s="99">
        <f t="shared" si="7"/>
        <v>1000</v>
      </c>
      <c r="S20" s="99">
        <f t="shared" si="7"/>
        <v>1000</v>
      </c>
      <c r="T20" s="99">
        <f t="shared" si="7"/>
        <v>1000</v>
      </c>
      <c r="U20" s="99">
        <f t="shared" si="7"/>
        <v>1000</v>
      </c>
      <c r="V20" s="99">
        <f t="shared" si="7"/>
        <v>0</v>
      </c>
      <c r="W20" s="99">
        <f t="shared" si="7"/>
        <v>0</v>
      </c>
      <c r="X20" s="80"/>
      <c r="Y20" s="80"/>
      <c r="Z20" s="80"/>
      <c r="AA20" s="80"/>
      <c r="AB20" s="80"/>
      <c r="AC20" s="80"/>
      <c r="AD20" s="80"/>
      <c r="AE20" s="80"/>
      <c r="AF20" s="80"/>
      <c r="AG20" s="80"/>
    </row>
    <row r="21" spans="2:33" ht="11.25" customHeight="1" x14ac:dyDescent="0.2">
      <c r="B21" s="318"/>
      <c r="C21" s="97">
        <f t="shared" si="4"/>
        <v>2000</v>
      </c>
      <c r="D21" s="98">
        <v>3000</v>
      </c>
      <c r="E21" s="80"/>
      <c r="F21" s="99">
        <f t="shared" ref="F21:W21" si="8">IF(F$15&gt;$D21,$D21-$C21,IF(AND($C21&lt;F$15,F$15&lt;$D21),F$15-$C21,IF(F$15=$D21,$D21-$C21,0)))</f>
        <v>0</v>
      </c>
      <c r="G21" s="99">
        <f t="shared" si="8"/>
        <v>0</v>
      </c>
      <c r="H21" s="99">
        <f t="shared" si="8"/>
        <v>0</v>
      </c>
      <c r="I21" s="99">
        <f t="shared" si="8"/>
        <v>0</v>
      </c>
      <c r="J21" s="99">
        <f t="shared" si="8"/>
        <v>0</v>
      </c>
      <c r="K21" s="99">
        <f t="shared" si="8"/>
        <v>0</v>
      </c>
      <c r="L21" s="99">
        <f t="shared" si="8"/>
        <v>1000</v>
      </c>
      <c r="M21" s="99">
        <f t="shared" si="8"/>
        <v>1000</v>
      </c>
      <c r="N21" s="99">
        <f t="shared" si="8"/>
        <v>1000</v>
      </c>
      <c r="O21" s="99">
        <f t="shared" si="8"/>
        <v>1000</v>
      </c>
      <c r="P21" s="99">
        <f t="shared" si="8"/>
        <v>1000</v>
      </c>
      <c r="Q21" s="99">
        <f t="shared" si="8"/>
        <v>1000</v>
      </c>
      <c r="R21" s="99">
        <f t="shared" si="8"/>
        <v>1000</v>
      </c>
      <c r="S21" s="99">
        <f t="shared" si="8"/>
        <v>1000</v>
      </c>
      <c r="T21" s="99">
        <f t="shared" si="8"/>
        <v>1000</v>
      </c>
      <c r="U21" s="99">
        <f t="shared" si="8"/>
        <v>1000</v>
      </c>
      <c r="V21" s="99">
        <f t="shared" si="8"/>
        <v>0</v>
      </c>
      <c r="W21" s="99">
        <f t="shared" si="8"/>
        <v>0</v>
      </c>
      <c r="X21" s="80"/>
      <c r="Y21" s="80"/>
      <c r="Z21" s="80"/>
      <c r="AA21" s="80"/>
      <c r="AB21" s="80"/>
      <c r="AC21" s="80"/>
      <c r="AD21" s="80"/>
      <c r="AE21" s="80"/>
      <c r="AF21" s="80"/>
      <c r="AG21" s="80"/>
    </row>
    <row r="22" spans="2:33" ht="11.25" customHeight="1" x14ac:dyDescent="0.2">
      <c r="B22" s="318"/>
      <c r="C22" s="97">
        <f t="shared" si="4"/>
        <v>3000</v>
      </c>
      <c r="D22" s="98">
        <v>6000</v>
      </c>
      <c r="E22" s="80"/>
      <c r="F22" s="99">
        <f t="shared" ref="F22:W22" si="9">IF(F$15&gt;$D22,$D22-$C22,IF(AND($C22&lt;F$15,F$15&lt;$D22),F$15-$C22,IF(F$15=$D22,$D22-$C22,0)))</f>
        <v>0</v>
      </c>
      <c r="G22" s="99">
        <f t="shared" si="9"/>
        <v>0</v>
      </c>
      <c r="H22" s="99">
        <f t="shared" si="9"/>
        <v>0</v>
      </c>
      <c r="I22" s="99">
        <f t="shared" si="9"/>
        <v>0</v>
      </c>
      <c r="J22" s="99">
        <f t="shared" si="9"/>
        <v>0</v>
      </c>
      <c r="K22" s="99">
        <f t="shared" si="9"/>
        <v>0</v>
      </c>
      <c r="L22" s="99">
        <f t="shared" si="9"/>
        <v>3000</v>
      </c>
      <c r="M22" s="99">
        <f t="shared" si="9"/>
        <v>3000</v>
      </c>
      <c r="N22" s="99">
        <f t="shared" si="9"/>
        <v>3000</v>
      </c>
      <c r="O22" s="99">
        <f t="shared" si="9"/>
        <v>3000</v>
      </c>
      <c r="P22" s="99">
        <f t="shared" si="9"/>
        <v>3000</v>
      </c>
      <c r="Q22" s="99">
        <f t="shared" si="9"/>
        <v>3000</v>
      </c>
      <c r="R22" s="99">
        <f t="shared" si="9"/>
        <v>3000</v>
      </c>
      <c r="S22" s="99">
        <f t="shared" si="9"/>
        <v>3000</v>
      </c>
      <c r="T22" s="99">
        <f t="shared" si="9"/>
        <v>3000</v>
      </c>
      <c r="U22" s="99">
        <f t="shared" si="9"/>
        <v>3000</v>
      </c>
      <c r="V22" s="99">
        <f t="shared" si="9"/>
        <v>0</v>
      </c>
      <c r="W22" s="99">
        <f t="shared" si="9"/>
        <v>0</v>
      </c>
      <c r="X22" s="80"/>
      <c r="Y22" s="80"/>
      <c r="Z22" s="80"/>
      <c r="AA22" s="80"/>
      <c r="AB22" s="80"/>
      <c r="AC22" s="80"/>
      <c r="AD22" s="80"/>
      <c r="AE22" s="80"/>
      <c r="AF22" s="80"/>
      <c r="AG22" s="80"/>
    </row>
    <row r="23" spans="2:33" ht="11.25" customHeight="1" x14ac:dyDescent="0.2">
      <c r="B23" s="318"/>
      <c r="C23" s="97">
        <f t="shared" si="4"/>
        <v>6000</v>
      </c>
      <c r="D23" s="98">
        <v>9000</v>
      </c>
      <c r="E23" s="80"/>
      <c r="F23" s="99">
        <f t="shared" ref="F23:W23" si="10">IF(F$15&gt;$D23,$D23-$C23,IF(AND($C23&lt;F$15,F$15&lt;$D23),F$15-$C23,IF(F$15=$D23,$D23-$C23,0)))</f>
        <v>0</v>
      </c>
      <c r="G23" s="99">
        <f t="shared" si="10"/>
        <v>0</v>
      </c>
      <c r="H23" s="99">
        <f t="shared" si="10"/>
        <v>0</v>
      </c>
      <c r="I23" s="99">
        <f t="shared" si="10"/>
        <v>0</v>
      </c>
      <c r="J23" s="99">
        <f t="shared" si="10"/>
        <v>0</v>
      </c>
      <c r="K23" s="99">
        <f t="shared" si="10"/>
        <v>0</v>
      </c>
      <c r="L23" s="99">
        <f t="shared" si="10"/>
        <v>3000</v>
      </c>
      <c r="M23" s="99">
        <f t="shared" si="10"/>
        <v>3000</v>
      </c>
      <c r="N23" s="99">
        <f t="shared" si="10"/>
        <v>3000</v>
      </c>
      <c r="O23" s="99">
        <f t="shared" si="10"/>
        <v>3000</v>
      </c>
      <c r="P23" s="99">
        <f t="shared" si="10"/>
        <v>3000</v>
      </c>
      <c r="Q23" s="99">
        <f t="shared" si="10"/>
        <v>3000</v>
      </c>
      <c r="R23" s="99">
        <f t="shared" si="10"/>
        <v>3000</v>
      </c>
      <c r="S23" s="99">
        <f t="shared" si="10"/>
        <v>3000</v>
      </c>
      <c r="T23" s="99">
        <f t="shared" si="10"/>
        <v>3000</v>
      </c>
      <c r="U23" s="99">
        <f t="shared" si="10"/>
        <v>3000</v>
      </c>
      <c r="V23" s="99">
        <f t="shared" si="10"/>
        <v>0</v>
      </c>
      <c r="W23" s="99">
        <f t="shared" si="10"/>
        <v>0</v>
      </c>
      <c r="X23" s="80"/>
      <c r="Y23" s="80"/>
      <c r="Z23" s="80"/>
      <c r="AA23" s="80"/>
      <c r="AB23" s="80"/>
      <c r="AC23" s="80"/>
      <c r="AD23" s="80"/>
      <c r="AE23" s="80"/>
      <c r="AF23" s="80"/>
      <c r="AG23" s="80"/>
    </row>
    <row r="24" spans="2:33" ht="11.25" customHeight="1" x14ac:dyDescent="0.2">
      <c r="B24" s="318"/>
      <c r="C24" s="97">
        <f t="shared" si="4"/>
        <v>9000</v>
      </c>
      <c r="D24" s="98">
        <v>12000</v>
      </c>
      <c r="E24" s="80"/>
      <c r="F24" s="99">
        <f t="shared" ref="F24:W24" si="11">IF(F$15&gt;$D24,$D24-$C24,IF(AND($C24&lt;F$15,F$15&lt;$D24),F$15-$C24,IF(F$15=$D24,$D24-$C24,0)))</f>
        <v>0</v>
      </c>
      <c r="G24" s="99">
        <f t="shared" si="11"/>
        <v>0</v>
      </c>
      <c r="H24" s="99">
        <f t="shared" si="11"/>
        <v>0</v>
      </c>
      <c r="I24" s="99">
        <f t="shared" si="11"/>
        <v>0</v>
      </c>
      <c r="J24" s="99">
        <f t="shared" si="11"/>
        <v>0</v>
      </c>
      <c r="K24" s="99">
        <f t="shared" si="11"/>
        <v>0</v>
      </c>
      <c r="L24" s="99">
        <f t="shared" si="11"/>
        <v>3000</v>
      </c>
      <c r="M24" s="99">
        <f t="shared" si="11"/>
        <v>3000</v>
      </c>
      <c r="N24" s="99">
        <f t="shared" si="11"/>
        <v>3000</v>
      </c>
      <c r="O24" s="99">
        <f t="shared" si="11"/>
        <v>3000</v>
      </c>
      <c r="P24" s="99">
        <f t="shared" si="11"/>
        <v>3000</v>
      </c>
      <c r="Q24" s="99">
        <f t="shared" si="11"/>
        <v>3000</v>
      </c>
      <c r="R24" s="99">
        <f t="shared" si="11"/>
        <v>3000</v>
      </c>
      <c r="S24" s="99">
        <f t="shared" si="11"/>
        <v>3000</v>
      </c>
      <c r="T24" s="99">
        <f t="shared" si="11"/>
        <v>3000</v>
      </c>
      <c r="U24" s="99">
        <f t="shared" si="11"/>
        <v>3000</v>
      </c>
      <c r="V24" s="99">
        <f t="shared" si="11"/>
        <v>0</v>
      </c>
      <c r="W24" s="99">
        <f t="shared" si="11"/>
        <v>0</v>
      </c>
      <c r="X24" s="80"/>
      <c r="Y24" s="80"/>
      <c r="Z24" s="80"/>
      <c r="AA24" s="80"/>
      <c r="AB24" s="80"/>
      <c r="AC24" s="80"/>
      <c r="AD24" s="80"/>
      <c r="AE24" s="80"/>
      <c r="AF24" s="80"/>
      <c r="AG24" s="80"/>
    </row>
    <row r="25" spans="2:33" ht="11.25" customHeight="1" x14ac:dyDescent="0.2">
      <c r="B25" s="318"/>
      <c r="C25" s="97">
        <f t="shared" si="4"/>
        <v>12000</v>
      </c>
      <c r="D25" s="98">
        <v>15000</v>
      </c>
      <c r="E25" s="80"/>
      <c r="F25" s="99">
        <f t="shared" ref="F25:W25" si="12">IF(F$15&gt;$D25,$D25-$C25,IF(AND($C25&lt;F$15,F$15&lt;$D25),F$15-$C25,IF(F$15=$D25,$D25-$C25,0)))</f>
        <v>0</v>
      </c>
      <c r="G25" s="99">
        <f t="shared" si="12"/>
        <v>0</v>
      </c>
      <c r="H25" s="99">
        <f t="shared" si="12"/>
        <v>0</v>
      </c>
      <c r="I25" s="99">
        <f t="shared" si="12"/>
        <v>0</v>
      </c>
      <c r="J25" s="99">
        <f t="shared" si="12"/>
        <v>0</v>
      </c>
      <c r="K25" s="99">
        <f t="shared" si="12"/>
        <v>0</v>
      </c>
      <c r="L25" s="99">
        <f t="shared" si="12"/>
        <v>3000</v>
      </c>
      <c r="M25" s="99">
        <f t="shared" si="12"/>
        <v>3000</v>
      </c>
      <c r="N25" s="99">
        <f t="shared" si="12"/>
        <v>3000</v>
      </c>
      <c r="O25" s="99">
        <f t="shared" si="12"/>
        <v>3000</v>
      </c>
      <c r="P25" s="99">
        <f t="shared" si="12"/>
        <v>3000</v>
      </c>
      <c r="Q25" s="99">
        <f t="shared" si="12"/>
        <v>3000</v>
      </c>
      <c r="R25" s="99">
        <f t="shared" si="12"/>
        <v>3000</v>
      </c>
      <c r="S25" s="99">
        <f t="shared" si="12"/>
        <v>3000</v>
      </c>
      <c r="T25" s="99">
        <f t="shared" si="12"/>
        <v>3000</v>
      </c>
      <c r="U25" s="99">
        <f t="shared" si="12"/>
        <v>3000</v>
      </c>
      <c r="V25" s="99">
        <f t="shared" si="12"/>
        <v>0</v>
      </c>
      <c r="W25" s="99">
        <f t="shared" si="12"/>
        <v>0</v>
      </c>
      <c r="X25" s="80"/>
      <c r="Y25" s="80"/>
      <c r="Z25" s="80"/>
      <c r="AA25" s="80"/>
      <c r="AB25" s="80"/>
      <c r="AC25" s="80"/>
      <c r="AD25" s="80"/>
      <c r="AE25" s="80"/>
      <c r="AF25" s="80"/>
      <c r="AG25" s="80"/>
    </row>
    <row r="26" spans="2:33" ht="11.25" customHeight="1" x14ac:dyDescent="0.2">
      <c r="B26" s="318"/>
      <c r="C26" s="97">
        <f t="shared" si="4"/>
        <v>15000</v>
      </c>
      <c r="D26" s="100">
        <v>200000</v>
      </c>
      <c r="E26" s="80"/>
      <c r="F26" s="99">
        <f t="shared" ref="F26:W26" si="13">IF(F$15&gt;$D26,$D26-$C26,IF(AND($C26&lt;F$15,F$15&lt;$D26),F$15-$C26,IF(F$15&gt;$C26,F$15-$C26,IF(F$15=$D26,$D26-$C26,0))))</f>
        <v>0</v>
      </c>
      <c r="G26" s="99">
        <f t="shared" si="13"/>
        <v>0</v>
      </c>
      <c r="H26" s="99">
        <f t="shared" si="13"/>
        <v>0</v>
      </c>
      <c r="I26" s="99">
        <f t="shared" si="13"/>
        <v>0</v>
      </c>
      <c r="J26" s="99">
        <f t="shared" si="13"/>
        <v>0</v>
      </c>
      <c r="K26" s="99">
        <f t="shared" si="13"/>
        <v>0</v>
      </c>
      <c r="L26" s="99">
        <f t="shared" si="13"/>
        <v>10394</v>
      </c>
      <c r="M26" s="99">
        <f t="shared" si="13"/>
        <v>8403</v>
      </c>
      <c r="N26" s="99">
        <f t="shared" si="13"/>
        <v>12858</v>
      </c>
      <c r="O26" s="99">
        <f t="shared" si="13"/>
        <v>12100</v>
      </c>
      <c r="P26" s="99">
        <f t="shared" si="13"/>
        <v>11336</v>
      </c>
      <c r="Q26" s="99">
        <f t="shared" si="13"/>
        <v>15971</v>
      </c>
      <c r="R26" s="99">
        <f t="shared" si="13"/>
        <v>13672</v>
      </c>
      <c r="S26" s="99">
        <f t="shared" si="13"/>
        <v>14048</v>
      </c>
      <c r="T26" s="99">
        <f t="shared" si="13"/>
        <v>16677</v>
      </c>
      <c r="U26" s="99">
        <f t="shared" si="13"/>
        <v>17850</v>
      </c>
      <c r="V26" s="99">
        <f t="shared" si="13"/>
        <v>0</v>
      </c>
      <c r="W26" s="99">
        <f t="shared" si="13"/>
        <v>0</v>
      </c>
      <c r="X26" s="80"/>
      <c r="Y26" s="80"/>
      <c r="Z26" s="80"/>
      <c r="AA26" s="80"/>
      <c r="AB26" s="80"/>
      <c r="AC26" s="80"/>
      <c r="AD26" s="80"/>
      <c r="AE26" s="80"/>
      <c r="AF26" s="80"/>
      <c r="AG26" s="80"/>
    </row>
    <row r="27" spans="2:33" ht="11.25" customHeight="1" x14ac:dyDescent="0.2">
      <c r="B27" s="318"/>
      <c r="C27" s="101"/>
      <c r="D27" s="102"/>
      <c r="E27" s="80"/>
      <c r="F27" s="103">
        <f t="shared" ref="F27:W27" si="14">F9</f>
        <v>0</v>
      </c>
      <c r="G27" s="103">
        <f t="shared" si="14"/>
        <v>0</v>
      </c>
      <c r="H27" s="103">
        <f t="shared" si="14"/>
        <v>0</v>
      </c>
      <c r="I27" s="103">
        <f t="shared" si="14"/>
        <v>0</v>
      </c>
      <c r="J27" s="103">
        <f t="shared" si="14"/>
        <v>0</v>
      </c>
      <c r="K27" s="103">
        <f t="shared" si="14"/>
        <v>0</v>
      </c>
      <c r="L27" s="244">
        <f>L9</f>
        <v>47063</v>
      </c>
      <c r="M27" s="244">
        <f t="shared" si="14"/>
        <v>43318</v>
      </c>
      <c r="N27" s="244">
        <f t="shared" si="14"/>
        <v>46180</v>
      </c>
      <c r="O27" s="244">
        <f t="shared" si="14"/>
        <v>35777</v>
      </c>
      <c r="P27" s="244">
        <f t="shared" si="14"/>
        <v>49883</v>
      </c>
      <c r="Q27" s="244">
        <f t="shared" si="14"/>
        <v>49084</v>
      </c>
      <c r="R27" s="244">
        <f t="shared" si="14"/>
        <v>44750</v>
      </c>
      <c r="S27" s="244">
        <f t="shared" si="14"/>
        <v>43567</v>
      </c>
      <c r="T27" s="244">
        <f t="shared" si="14"/>
        <v>50964</v>
      </c>
      <c r="U27" s="244">
        <f t="shared" si="14"/>
        <v>55284</v>
      </c>
      <c r="V27" s="244">
        <f t="shared" si="14"/>
        <v>0</v>
      </c>
      <c r="W27" s="244">
        <f t="shared" si="14"/>
        <v>0</v>
      </c>
      <c r="X27" s="80"/>
      <c r="Y27" s="80"/>
      <c r="Z27" s="80"/>
      <c r="AA27" s="80"/>
      <c r="AB27" s="80"/>
      <c r="AC27" s="80"/>
      <c r="AD27" s="80"/>
      <c r="AE27" s="80"/>
      <c r="AF27" s="80"/>
      <c r="AG27" s="80"/>
    </row>
    <row r="28" spans="2:33" ht="11.25" customHeight="1" x14ac:dyDescent="0.2">
      <c r="B28" s="318"/>
      <c r="C28" s="306" t="s">
        <v>91</v>
      </c>
      <c r="D28" s="307"/>
      <c r="E28" s="80"/>
      <c r="F28" s="323" t="s">
        <v>92</v>
      </c>
      <c r="G28" s="322"/>
      <c r="H28" s="322"/>
      <c r="I28" s="322"/>
      <c r="J28" s="322"/>
      <c r="K28" s="322"/>
      <c r="L28" s="322"/>
      <c r="M28" s="322"/>
      <c r="N28" s="322"/>
      <c r="O28" s="322"/>
      <c r="P28" s="322"/>
      <c r="Q28" s="322"/>
      <c r="R28" s="322"/>
      <c r="S28" s="322"/>
      <c r="T28" s="322"/>
      <c r="U28" s="322"/>
      <c r="V28" s="322"/>
      <c r="W28" s="307"/>
      <c r="X28" s="80"/>
      <c r="Y28" s="80"/>
      <c r="Z28" s="80"/>
      <c r="AA28" s="80"/>
      <c r="AB28" s="80"/>
      <c r="AC28" s="80"/>
      <c r="AD28" s="80"/>
      <c r="AE28" s="80"/>
      <c r="AF28" s="80"/>
      <c r="AG28" s="80"/>
    </row>
    <row r="29" spans="2:33" ht="11.25" customHeight="1" x14ac:dyDescent="0.2">
      <c r="B29" s="318"/>
      <c r="C29" s="97">
        <v>0</v>
      </c>
      <c r="D29" s="98">
        <v>4000</v>
      </c>
      <c r="E29" s="80"/>
      <c r="F29" s="99">
        <f t="shared" ref="F29:W29" si="15">IF(F$27&gt;$D29,$D29-$C29,IF(AND($C29&lt;F$27,F$27&lt;$D29),F$27-$C29,IF(F$27=$D29,$D29-$C29,0)))</f>
        <v>0</v>
      </c>
      <c r="G29" s="99">
        <f t="shared" si="15"/>
        <v>0</v>
      </c>
      <c r="H29" s="99">
        <f t="shared" si="15"/>
        <v>0</v>
      </c>
      <c r="I29" s="99">
        <f t="shared" si="15"/>
        <v>0</v>
      </c>
      <c r="J29" s="99">
        <f t="shared" si="15"/>
        <v>0</v>
      </c>
      <c r="K29" s="99">
        <f t="shared" si="15"/>
        <v>0</v>
      </c>
      <c r="L29" s="99">
        <f t="shared" si="15"/>
        <v>4000</v>
      </c>
      <c r="M29" s="99">
        <f t="shared" si="15"/>
        <v>4000</v>
      </c>
      <c r="N29" s="99">
        <f t="shared" si="15"/>
        <v>4000</v>
      </c>
      <c r="O29" s="99">
        <f t="shared" si="15"/>
        <v>4000</v>
      </c>
      <c r="P29" s="99">
        <f t="shared" si="15"/>
        <v>4000</v>
      </c>
      <c r="Q29" s="99">
        <f t="shared" si="15"/>
        <v>4000</v>
      </c>
      <c r="R29" s="99">
        <f t="shared" si="15"/>
        <v>4000</v>
      </c>
      <c r="S29" s="99">
        <f t="shared" si="15"/>
        <v>4000</v>
      </c>
      <c r="T29" s="99">
        <f t="shared" si="15"/>
        <v>4000</v>
      </c>
      <c r="U29" s="99">
        <f t="shared" si="15"/>
        <v>4000</v>
      </c>
      <c r="V29" s="99">
        <f t="shared" si="15"/>
        <v>0</v>
      </c>
      <c r="W29" s="98">
        <f t="shared" si="15"/>
        <v>0</v>
      </c>
      <c r="X29" s="80"/>
      <c r="Y29" s="80"/>
      <c r="Z29" s="80"/>
      <c r="AA29" s="80"/>
      <c r="AB29" s="80"/>
      <c r="AC29" s="80"/>
      <c r="AD29" s="80"/>
      <c r="AE29" s="80"/>
      <c r="AF29" s="80"/>
      <c r="AG29" s="80"/>
    </row>
    <row r="30" spans="2:33" ht="11.25" customHeight="1" x14ac:dyDescent="0.2">
      <c r="B30" s="318"/>
      <c r="C30" s="97">
        <f t="shared" ref="C30:C31" si="16">D29</f>
        <v>4000</v>
      </c>
      <c r="D30" s="98">
        <v>20000</v>
      </c>
      <c r="E30" s="80"/>
      <c r="F30" s="99">
        <f t="shared" ref="F30:W30" si="17">IF(F$27&gt;$D30,$D30-$C30,IF(AND($C30&lt;F$27,F$27&lt;$D30),F$27-$C30,IF(F$27=$D30,$D30-$C30,0)))</f>
        <v>0</v>
      </c>
      <c r="G30" s="99">
        <f t="shared" si="17"/>
        <v>0</v>
      </c>
      <c r="H30" s="99">
        <f t="shared" si="17"/>
        <v>0</v>
      </c>
      <c r="I30" s="99">
        <f t="shared" si="17"/>
        <v>0</v>
      </c>
      <c r="J30" s="99">
        <f t="shared" si="17"/>
        <v>0</v>
      </c>
      <c r="K30" s="99">
        <f t="shared" si="17"/>
        <v>0</v>
      </c>
      <c r="L30" s="99">
        <f t="shared" si="17"/>
        <v>16000</v>
      </c>
      <c r="M30" s="99">
        <f t="shared" si="17"/>
        <v>16000</v>
      </c>
      <c r="N30" s="99">
        <f t="shared" si="17"/>
        <v>16000</v>
      </c>
      <c r="O30" s="99">
        <f t="shared" si="17"/>
        <v>16000</v>
      </c>
      <c r="P30" s="99">
        <f t="shared" si="17"/>
        <v>16000</v>
      </c>
      <c r="Q30" s="99">
        <f t="shared" si="17"/>
        <v>16000</v>
      </c>
      <c r="R30" s="99">
        <f t="shared" si="17"/>
        <v>16000</v>
      </c>
      <c r="S30" s="99">
        <f t="shared" si="17"/>
        <v>16000</v>
      </c>
      <c r="T30" s="99">
        <f t="shared" si="17"/>
        <v>16000</v>
      </c>
      <c r="U30" s="99">
        <f t="shared" si="17"/>
        <v>16000</v>
      </c>
      <c r="V30" s="99">
        <f t="shared" si="17"/>
        <v>0</v>
      </c>
      <c r="W30" s="98">
        <f t="shared" si="17"/>
        <v>0</v>
      </c>
      <c r="X30" s="80"/>
      <c r="Y30" s="80"/>
      <c r="Z30" s="80"/>
      <c r="AA30" s="80"/>
      <c r="AB30" s="80"/>
      <c r="AC30" s="80"/>
      <c r="AD30" s="80"/>
      <c r="AE30" s="80"/>
      <c r="AF30" s="80"/>
      <c r="AG30" s="80"/>
    </row>
    <row r="31" spans="2:33" ht="11.25" customHeight="1" x14ac:dyDescent="0.2">
      <c r="B31" s="319"/>
      <c r="C31" s="104">
        <f t="shared" si="16"/>
        <v>20000</v>
      </c>
      <c r="D31" s="105">
        <v>200000</v>
      </c>
      <c r="E31" s="106"/>
      <c r="F31" s="107">
        <f>IF(F$27&gt;$D31,$D31-$C31,IF(AND($C31&lt;F$27,F$27&lt;$D31),F$27-$C31,IF(F$27&gt;$C31,F$27-$C31,IF(F$27=$D31,$D31-$C31,0))))</f>
        <v>0</v>
      </c>
      <c r="G31" s="107"/>
      <c r="H31" s="107"/>
      <c r="I31" s="107"/>
      <c r="J31" s="107">
        <f t="shared" ref="J31:W31" si="18">IF(J$27&gt;$D31,$D31-$C31,IF(AND($C31&lt;J$27,J$27&lt;$D31),J$27-$C31,IF(J$27&gt;$C31,J$27-$C31,IF(J$27=$D31,$D31-$C31,0))))</f>
        <v>0</v>
      </c>
      <c r="K31" s="107">
        <f t="shared" si="18"/>
        <v>0</v>
      </c>
      <c r="L31" s="107">
        <f t="shared" si="18"/>
        <v>27063</v>
      </c>
      <c r="M31" s="107">
        <f t="shared" si="18"/>
        <v>23318</v>
      </c>
      <c r="N31" s="107">
        <f t="shared" si="18"/>
        <v>26180</v>
      </c>
      <c r="O31" s="107">
        <f t="shared" si="18"/>
        <v>15777</v>
      </c>
      <c r="P31" s="107">
        <f t="shared" si="18"/>
        <v>29883</v>
      </c>
      <c r="Q31" s="107">
        <f t="shared" si="18"/>
        <v>29084</v>
      </c>
      <c r="R31" s="107">
        <f t="shared" si="18"/>
        <v>24750</v>
      </c>
      <c r="S31" s="107">
        <f t="shared" si="18"/>
        <v>23567</v>
      </c>
      <c r="T31" s="107">
        <f t="shared" si="18"/>
        <v>30964</v>
      </c>
      <c r="U31" s="107">
        <f t="shared" si="18"/>
        <v>35284</v>
      </c>
      <c r="V31" s="107">
        <f t="shared" si="18"/>
        <v>0</v>
      </c>
      <c r="W31" s="108">
        <f t="shared" si="18"/>
        <v>0</v>
      </c>
      <c r="X31" s="80"/>
      <c r="Y31" s="80"/>
      <c r="Z31" s="80"/>
      <c r="AA31" s="80"/>
      <c r="AB31" s="80"/>
      <c r="AC31" s="80"/>
      <c r="AD31" s="80"/>
      <c r="AE31" s="80"/>
      <c r="AF31" s="80"/>
      <c r="AG31" s="80"/>
    </row>
    <row r="32" spans="2:33" ht="11.25" customHeight="1" x14ac:dyDescent="0.2">
      <c r="B32" s="80"/>
      <c r="C32" s="80"/>
      <c r="D32" s="80"/>
      <c r="E32" s="80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80"/>
      <c r="Y32" s="80"/>
      <c r="Z32" s="80"/>
      <c r="AA32" s="80"/>
      <c r="AB32" s="80"/>
      <c r="AC32" s="80"/>
      <c r="AD32" s="80"/>
      <c r="AE32" s="80"/>
      <c r="AF32" s="80"/>
      <c r="AG32" s="80"/>
    </row>
    <row r="33" spans="2:33" ht="11.25" customHeight="1" x14ac:dyDescent="0.2">
      <c r="B33" s="324"/>
      <c r="C33" s="325" t="s">
        <v>93</v>
      </c>
      <c r="D33" s="326"/>
      <c r="E33" s="80"/>
      <c r="F33" s="323" t="s">
        <v>92</v>
      </c>
      <c r="G33" s="322"/>
      <c r="H33" s="322"/>
      <c r="I33" s="322"/>
      <c r="J33" s="322"/>
      <c r="K33" s="322"/>
      <c r="L33" s="322"/>
      <c r="M33" s="322"/>
      <c r="N33" s="322"/>
      <c r="O33" s="322"/>
      <c r="P33" s="322"/>
      <c r="Q33" s="322"/>
      <c r="R33" s="322"/>
      <c r="S33" s="322"/>
      <c r="T33" s="322"/>
      <c r="U33" s="322"/>
      <c r="V33" s="322"/>
      <c r="W33" s="307"/>
      <c r="X33" s="80"/>
      <c r="Y33" s="80"/>
      <c r="Z33" s="80"/>
      <c r="AA33" s="80"/>
      <c r="AB33" s="80"/>
      <c r="AC33" s="80"/>
      <c r="AD33" s="80"/>
      <c r="AE33" s="80"/>
      <c r="AF33" s="80"/>
      <c r="AG33" s="80"/>
    </row>
    <row r="34" spans="2:33" ht="11.25" customHeight="1" x14ac:dyDescent="0.2">
      <c r="B34" s="319"/>
      <c r="C34" s="110"/>
      <c r="D34" s="111">
        <f>+IFERROR(SUM(L37:L46)/L8,0)</f>
        <v>5.7601639037036296</v>
      </c>
      <c r="E34" s="80"/>
      <c r="F34" s="112">
        <f t="shared" ref="F34:K34" si="19">IF(F$31&lt;50,0,$D34)*F$31</f>
        <v>0</v>
      </c>
      <c r="G34" s="112">
        <f t="shared" si="19"/>
        <v>0</v>
      </c>
      <c r="H34" s="112">
        <f t="shared" si="19"/>
        <v>0</v>
      </c>
      <c r="I34" s="112">
        <f t="shared" si="19"/>
        <v>0</v>
      </c>
      <c r="J34" s="112">
        <f t="shared" si="19"/>
        <v>0</v>
      </c>
      <c r="K34" s="112">
        <f t="shared" si="19"/>
        <v>0</v>
      </c>
      <c r="L34" s="113">
        <f>+IFERROR(D34*L8,0)</f>
        <v>146273.60217064997</v>
      </c>
      <c r="M34" s="113">
        <f>+IFERROR(D34*M8,0)</f>
        <v>134805.11583837605</v>
      </c>
      <c r="N34" s="113">
        <f>+IFERROR(D34*N8,0)</f>
        <v>160466.64602937573</v>
      </c>
      <c r="O34" s="113">
        <f>+IFERROR(D34*O8,0)</f>
        <v>156100.44179036835</v>
      </c>
      <c r="P34" s="113">
        <f>+IFERROR(D34*P8,0)</f>
        <v>151699.67656793879</v>
      </c>
      <c r="Q34" s="114">
        <f>+IFERROR(D34*Q8,0)</f>
        <v>178398.0362616051</v>
      </c>
      <c r="R34" s="114">
        <f>+IFERROR(D34*R8,0)</f>
        <v>165155.41944699048</v>
      </c>
      <c r="S34" s="114">
        <f>+IFERROR(D34*S8,0)</f>
        <v>167321.24107478303</v>
      </c>
      <c r="T34" s="113">
        <f>+IFERROR(D34*T8,0)</f>
        <v>182464.71197761988</v>
      </c>
      <c r="U34" s="113">
        <f>+IFERROR(D34*U8,0)</f>
        <v>189221.38423666422</v>
      </c>
      <c r="V34" s="113">
        <f t="shared" ref="V34:W34" si="20">+IFERROR(N34*V8,0)</f>
        <v>0</v>
      </c>
      <c r="W34" s="113">
        <f t="shared" si="20"/>
        <v>0</v>
      </c>
      <c r="X34" s="80"/>
      <c r="Y34" s="80"/>
      <c r="Z34" s="80"/>
      <c r="AA34" s="80"/>
      <c r="AB34" s="80"/>
      <c r="AC34" s="80"/>
      <c r="AD34" s="80"/>
      <c r="AE34" s="80"/>
      <c r="AF34" s="80"/>
      <c r="AG34" s="80"/>
    </row>
    <row r="35" spans="2:33" ht="11.25" customHeight="1" x14ac:dyDescent="0.2">
      <c r="B35" s="80"/>
      <c r="C35" s="80"/>
      <c r="D35" s="80"/>
      <c r="E35" s="80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80"/>
      <c r="Y35" s="80"/>
      <c r="Z35" s="80"/>
      <c r="AA35" s="80"/>
      <c r="AB35" s="80"/>
      <c r="AC35" s="80"/>
      <c r="AD35" s="80"/>
      <c r="AE35" s="80"/>
      <c r="AF35" s="80"/>
      <c r="AG35" s="80"/>
    </row>
    <row r="36" spans="2:33" ht="15" customHeight="1" x14ac:dyDescent="0.2">
      <c r="B36" s="317" t="s">
        <v>94</v>
      </c>
      <c r="C36" s="325" t="s">
        <v>95</v>
      </c>
      <c r="D36" s="326"/>
      <c r="E36" s="95"/>
      <c r="F36" s="327" t="s">
        <v>90</v>
      </c>
      <c r="G36" s="328"/>
      <c r="H36" s="328"/>
      <c r="I36" s="328"/>
      <c r="J36" s="328"/>
      <c r="K36" s="328"/>
      <c r="L36" s="328"/>
      <c r="M36" s="328"/>
      <c r="N36" s="328"/>
      <c r="O36" s="328"/>
      <c r="P36" s="328"/>
      <c r="Q36" s="328"/>
      <c r="R36" s="328"/>
      <c r="S36" s="328"/>
      <c r="T36" s="328"/>
      <c r="U36" s="328"/>
      <c r="V36" s="328"/>
      <c r="W36" s="326"/>
      <c r="X36" s="80"/>
      <c r="Y36" s="80"/>
      <c r="Z36" s="80"/>
      <c r="AA36" s="80"/>
      <c r="AB36" s="80"/>
      <c r="AC36" s="80"/>
      <c r="AD36" s="80"/>
      <c r="AE36" s="80"/>
      <c r="AF36" s="80"/>
      <c r="AG36" s="80"/>
    </row>
    <row r="37" spans="2:33" ht="11.25" customHeight="1" x14ac:dyDescent="0.2">
      <c r="B37" s="318"/>
      <c r="C37" s="115"/>
      <c r="D37" s="115">
        <v>3434</v>
      </c>
      <c r="E37" s="80"/>
      <c r="F37" s="112">
        <f t="shared" ref="F37:W37" si="21">IF(F$17&lt;1,0,$D$37)</f>
        <v>0</v>
      </c>
      <c r="G37" s="112">
        <f t="shared" si="21"/>
        <v>0</v>
      </c>
      <c r="H37" s="112">
        <f t="shared" si="21"/>
        <v>0</v>
      </c>
      <c r="I37" s="112">
        <f t="shared" si="21"/>
        <v>0</v>
      </c>
      <c r="J37" s="112">
        <f t="shared" si="21"/>
        <v>0</v>
      </c>
      <c r="K37" s="112">
        <f t="shared" si="21"/>
        <v>0</v>
      </c>
      <c r="L37" s="112">
        <f t="shared" si="21"/>
        <v>3434</v>
      </c>
      <c r="M37" s="112">
        <f t="shared" si="21"/>
        <v>3434</v>
      </c>
      <c r="N37" s="112">
        <f t="shared" si="21"/>
        <v>3434</v>
      </c>
      <c r="O37" s="112">
        <f t="shared" si="21"/>
        <v>3434</v>
      </c>
      <c r="P37" s="112">
        <f t="shared" si="21"/>
        <v>3434</v>
      </c>
      <c r="Q37" s="112">
        <f t="shared" si="21"/>
        <v>3434</v>
      </c>
      <c r="R37" s="112">
        <f t="shared" si="21"/>
        <v>3434</v>
      </c>
      <c r="S37" s="112">
        <f t="shared" si="21"/>
        <v>3434</v>
      </c>
      <c r="T37" s="112">
        <f t="shared" si="21"/>
        <v>3434</v>
      </c>
      <c r="U37" s="112">
        <f t="shared" si="21"/>
        <v>3434</v>
      </c>
      <c r="V37" s="112">
        <f t="shared" si="21"/>
        <v>0</v>
      </c>
      <c r="W37" s="112">
        <f t="shared" si="21"/>
        <v>0</v>
      </c>
      <c r="X37" s="80"/>
      <c r="Y37" s="80"/>
      <c r="Z37" s="80"/>
      <c r="AA37" s="80"/>
      <c r="AB37" s="80"/>
      <c r="AC37" s="80"/>
      <c r="AD37" s="80"/>
      <c r="AE37" s="80"/>
      <c r="AF37" s="80"/>
      <c r="AG37" s="80"/>
    </row>
    <row r="38" spans="2:33" ht="11.25" customHeight="1" x14ac:dyDescent="0.2">
      <c r="B38" s="318"/>
      <c r="C38" s="115"/>
      <c r="D38" s="115">
        <f>10.5145425*X5</f>
        <v>11.513424037499998</v>
      </c>
      <c r="E38" s="80"/>
      <c r="F38" s="112">
        <f t="shared" ref="F38:W38" si="22">IF(F$18=0,0,$D38)*F$18</f>
        <v>0</v>
      </c>
      <c r="G38" s="112">
        <f t="shared" si="22"/>
        <v>0</v>
      </c>
      <c r="H38" s="112">
        <f t="shared" si="22"/>
        <v>0</v>
      </c>
      <c r="I38" s="112">
        <f t="shared" si="22"/>
        <v>0</v>
      </c>
      <c r="J38" s="112">
        <f t="shared" si="22"/>
        <v>0</v>
      </c>
      <c r="K38" s="112">
        <f t="shared" si="22"/>
        <v>0</v>
      </c>
      <c r="L38" s="112">
        <f t="shared" si="22"/>
        <v>5181.0408168749991</v>
      </c>
      <c r="M38" s="112">
        <f t="shared" si="22"/>
        <v>5181.0408168749991</v>
      </c>
      <c r="N38" s="112">
        <f t="shared" si="22"/>
        <v>5181.0408168749991</v>
      </c>
      <c r="O38" s="112">
        <f t="shared" si="22"/>
        <v>5181.0408168749991</v>
      </c>
      <c r="P38" s="112">
        <f t="shared" si="22"/>
        <v>5181.0408168749991</v>
      </c>
      <c r="Q38" s="112">
        <f t="shared" si="22"/>
        <v>5181.0408168749991</v>
      </c>
      <c r="R38" s="112">
        <f t="shared" si="22"/>
        <v>5181.0408168749991</v>
      </c>
      <c r="S38" s="112">
        <f t="shared" si="22"/>
        <v>5181.0408168749991</v>
      </c>
      <c r="T38" s="112">
        <f t="shared" si="22"/>
        <v>5181.0408168749991</v>
      </c>
      <c r="U38" s="112">
        <f t="shared" si="22"/>
        <v>5181.0408168749991</v>
      </c>
      <c r="V38" s="112">
        <f t="shared" si="22"/>
        <v>0</v>
      </c>
      <c r="W38" s="112">
        <f t="shared" si="22"/>
        <v>0</v>
      </c>
      <c r="X38" s="80"/>
      <c r="Y38" s="80"/>
      <c r="Z38" s="80"/>
      <c r="AA38" s="80"/>
      <c r="AB38" s="80"/>
      <c r="AC38" s="80"/>
      <c r="AD38" s="80"/>
      <c r="AE38" s="80"/>
      <c r="AF38" s="80"/>
      <c r="AG38" s="80"/>
    </row>
    <row r="39" spans="2:33" ht="11.25" customHeight="1" x14ac:dyDescent="0.2">
      <c r="B39" s="318"/>
      <c r="C39" s="115"/>
      <c r="D39" s="115">
        <f>9.2775375*X5</f>
        <v>10.158903562499999</v>
      </c>
      <c r="E39" s="80"/>
      <c r="F39" s="112">
        <f t="shared" ref="F39:W39" si="23">IF(F$19=0,0,$D39)*F$19</f>
        <v>0</v>
      </c>
      <c r="G39" s="112">
        <f t="shared" si="23"/>
        <v>0</v>
      </c>
      <c r="H39" s="112">
        <f t="shared" si="23"/>
        <v>0</v>
      </c>
      <c r="I39" s="112">
        <f t="shared" si="23"/>
        <v>0</v>
      </c>
      <c r="J39" s="112">
        <f t="shared" si="23"/>
        <v>0</v>
      </c>
      <c r="K39" s="112">
        <f t="shared" si="23"/>
        <v>0</v>
      </c>
      <c r="L39" s="112">
        <f t="shared" si="23"/>
        <v>5079.4517812499998</v>
      </c>
      <c r="M39" s="112">
        <f t="shared" si="23"/>
        <v>5079.4517812499998</v>
      </c>
      <c r="N39" s="112">
        <f t="shared" si="23"/>
        <v>5079.4517812499998</v>
      </c>
      <c r="O39" s="112">
        <f t="shared" si="23"/>
        <v>5079.4517812499998</v>
      </c>
      <c r="P39" s="112">
        <f t="shared" si="23"/>
        <v>5079.4517812499998</v>
      </c>
      <c r="Q39" s="112">
        <f t="shared" si="23"/>
        <v>5079.4517812499998</v>
      </c>
      <c r="R39" s="112">
        <f t="shared" si="23"/>
        <v>5079.4517812499998</v>
      </c>
      <c r="S39" s="112">
        <f t="shared" si="23"/>
        <v>5079.4517812499998</v>
      </c>
      <c r="T39" s="112">
        <f t="shared" si="23"/>
        <v>5079.4517812499998</v>
      </c>
      <c r="U39" s="112">
        <f t="shared" si="23"/>
        <v>5079.4517812499998</v>
      </c>
      <c r="V39" s="112">
        <f t="shared" si="23"/>
        <v>0</v>
      </c>
      <c r="W39" s="112">
        <f t="shared" si="23"/>
        <v>0</v>
      </c>
      <c r="X39" s="80"/>
      <c r="Y39" s="80"/>
      <c r="Z39" s="80"/>
      <c r="AA39" s="80"/>
      <c r="AB39" s="80"/>
      <c r="AC39" s="80"/>
      <c r="AD39" s="80"/>
      <c r="AE39" s="80"/>
      <c r="AF39" s="80"/>
      <c r="AG39" s="80"/>
    </row>
    <row r="40" spans="2:33" ht="11.25" customHeight="1" x14ac:dyDescent="0.2">
      <c r="B40" s="318"/>
      <c r="C40" s="115"/>
      <c r="D40" s="115">
        <f>8.0405325*X5</f>
        <v>8.8043830874999998</v>
      </c>
      <c r="E40" s="80"/>
      <c r="F40" s="112">
        <f t="shared" ref="F40:W40" si="24">IF(F$20=0,0,$D40)*F$20</f>
        <v>0</v>
      </c>
      <c r="G40" s="112">
        <f t="shared" si="24"/>
        <v>0</v>
      </c>
      <c r="H40" s="112">
        <f t="shared" si="24"/>
        <v>0</v>
      </c>
      <c r="I40" s="112">
        <f t="shared" si="24"/>
        <v>0</v>
      </c>
      <c r="J40" s="112">
        <f t="shared" si="24"/>
        <v>0</v>
      </c>
      <c r="K40" s="112">
        <f t="shared" si="24"/>
        <v>0</v>
      </c>
      <c r="L40" s="112">
        <f t="shared" si="24"/>
        <v>8804.3830875000003</v>
      </c>
      <c r="M40" s="112">
        <f t="shared" si="24"/>
        <v>8804.3830875000003</v>
      </c>
      <c r="N40" s="112">
        <f t="shared" si="24"/>
        <v>8804.3830875000003</v>
      </c>
      <c r="O40" s="112">
        <f t="shared" si="24"/>
        <v>8804.3830875000003</v>
      </c>
      <c r="P40" s="112">
        <f t="shared" si="24"/>
        <v>8804.3830875000003</v>
      </c>
      <c r="Q40" s="112">
        <f t="shared" si="24"/>
        <v>8804.3830875000003</v>
      </c>
      <c r="R40" s="112">
        <f t="shared" si="24"/>
        <v>8804.3830875000003</v>
      </c>
      <c r="S40" s="112">
        <f t="shared" si="24"/>
        <v>8804.3830875000003</v>
      </c>
      <c r="T40" s="112">
        <f t="shared" si="24"/>
        <v>8804.3830875000003</v>
      </c>
      <c r="U40" s="112">
        <f t="shared" si="24"/>
        <v>8804.3830875000003</v>
      </c>
      <c r="V40" s="112">
        <f t="shared" si="24"/>
        <v>0</v>
      </c>
      <c r="W40" s="112">
        <f t="shared" si="24"/>
        <v>0</v>
      </c>
      <c r="X40" s="80"/>
      <c r="Y40" s="80"/>
      <c r="Z40" s="80"/>
      <c r="AA40" s="80"/>
      <c r="AB40" s="80"/>
      <c r="AC40" s="80"/>
      <c r="AD40" s="80"/>
      <c r="AE40" s="80"/>
      <c r="AF40" s="80"/>
      <c r="AG40" s="80"/>
    </row>
    <row r="41" spans="2:33" ht="11.25" customHeight="1" x14ac:dyDescent="0.2">
      <c r="B41" s="318"/>
      <c r="C41" s="115"/>
      <c r="D41" s="115">
        <f>6.8035275*X5</f>
        <v>7.4498626125000005</v>
      </c>
      <c r="E41" s="80"/>
      <c r="F41" s="112">
        <f t="shared" ref="F41:W41" si="25">IF(F$21=0,0,$D41)*F$21</f>
        <v>0</v>
      </c>
      <c r="G41" s="112">
        <f t="shared" si="25"/>
        <v>0</v>
      </c>
      <c r="H41" s="112">
        <f t="shared" si="25"/>
        <v>0</v>
      </c>
      <c r="I41" s="112">
        <f t="shared" si="25"/>
        <v>0</v>
      </c>
      <c r="J41" s="112">
        <f t="shared" si="25"/>
        <v>0</v>
      </c>
      <c r="K41" s="112">
        <f t="shared" si="25"/>
        <v>0</v>
      </c>
      <c r="L41" s="112">
        <f t="shared" si="25"/>
        <v>7449.8626125000001</v>
      </c>
      <c r="M41" s="112">
        <f t="shared" si="25"/>
        <v>7449.8626125000001</v>
      </c>
      <c r="N41" s="112">
        <f t="shared" si="25"/>
        <v>7449.8626125000001</v>
      </c>
      <c r="O41" s="112">
        <f t="shared" si="25"/>
        <v>7449.8626125000001</v>
      </c>
      <c r="P41" s="112">
        <f t="shared" si="25"/>
        <v>7449.8626125000001</v>
      </c>
      <c r="Q41" s="112">
        <f t="shared" si="25"/>
        <v>7449.8626125000001</v>
      </c>
      <c r="R41" s="112">
        <f t="shared" si="25"/>
        <v>7449.8626125000001</v>
      </c>
      <c r="S41" s="112">
        <f t="shared" si="25"/>
        <v>7449.8626125000001</v>
      </c>
      <c r="T41" s="112">
        <f t="shared" si="25"/>
        <v>7449.8626125000001</v>
      </c>
      <c r="U41" s="112">
        <f t="shared" si="25"/>
        <v>7449.8626125000001</v>
      </c>
      <c r="V41" s="112">
        <f t="shared" si="25"/>
        <v>0</v>
      </c>
      <c r="W41" s="112">
        <f t="shared" si="25"/>
        <v>0</v>
      </c>
      <c r="X41" s="80"/>
      <c r="Y41" s="80"/>
      <c r="Z41" s="80"/>
      <c r="AA41" s="80"/>
      <c r="AB41" s="80"/>
      <c r="AC41" s="80"/>
      <c r="AD41" s="80"/>
      <c r="AE41" s="80"/>
      <c r="AF41" s="80"/>
      <c r="AG41" s="80"/>
    </row>
    <row r="42" spans="2:33" ht="11.25" customHeight="1" x14ac:dyDescent="0.2">
      <c r="B42" s="318"/>
      <c r="C42" s="115"/>
      <c r="D42" s="115">
        <f>5.5665225*X5</f>
        <v>6.0953421374999994</v>
      </c>
      <c r="E42" s="80"/>
      <c r="F42" s="112">
        <f t="shared" ref="F42:W42" si="26">IF(F$22=0,0,$D42)*F$22</f>
        <v>0</v>
      </c>
      <c r="G42" s="112">
        <f t="shared" si="26"/>
        <v>0</v>
      </c>
      <c r="H42" s="112">
        <f t="shared" si="26"/>
        <v>0</v>
      </c>
      <c r="I42" s="112">
        <f t="shared" si="26"/>
        <v>0</v>
      </c>
      <c r="J42" s="112">
        <f t="shared" si="26"/>
        <v>0</v>
      </c>
      <c r="K42" s="112">
        <f t="shared" si="26"/>
        <v>0</v>
      </c>
      <c r="L42" s="112">
        <f t="shared" si="26"/>
        <v>18286.026412499999</v>
      </c>
      <c r="M42" s="112">
        <f t="shared" si="26"/>
        <v>18286.026412499999</v>
      </c>
      <c r="N42" s="112">
        <f t="shared" si="26"/>
        <v>18286.026412499999</v>
      </c>
      <c r="O42" s="112">
        <f t="shared" si="26"/>
        <v>18286.026412499999</v>
      </c>
      <c r="P42" s="112">
        <f t="shared" si="26"/>
        <v>18286.026412499999</v>
      </c>
      <c r="Q42" s="112">
        <f t="shared" si="26"/>
        <v>18286.026412499999</v>
      </c>
      <c r="R42" s="112">
        <f t="shared" si="26"/>
        <v>18286.026412499999</v>
      </c>
      <c r="S42" s="112">
        <f t="shared" si="26"/>
        <v>18286.026412499999</v>
      </c>
      <c r="T42" s="112">
        <f t="shared" si="26"/>
        <v>18286.026412499999</v>
      </c>
      <c r="U42" s="112">
        <f t="shared" si="26"/>
        <v>18286.026412499999</v>
      </c>
      <c r="V42" s="112">
        <f t="shared" si="26"/>
        <v>0</v>
      </c>
      <c r="W42" s="112">
        <f t="shared" si="26"/>
        <v>0</v>
      </c>
      <c r="X42" s="80"/>
      <c r="Y42" s="80"/>
      <c r="Z42" s="80"/>
      <c r="AA42" s="80"/>
      <c r="AB42" s="80"/>
      <c r="AC42" s="80"/>
      <c r="AD42" s="80"/>
      <c r="AE42" s="80"/>
      <c r="AF42" s="80"/>
      <c r="AG42" s="80"/>
    </row>
    <row r="43" spans="2:33" ht="11.25" customHeight="1" x14ac:dyDescent="0.2">
      <c r="B43" s="318"/>
      <c r="C43" s="115"/>
      <c r="D43" s="115">
        <f>5.25727125*X5</f>
        <v>5.7567120187499992</v>
      </c>
      <c r="E43" s="80"/>
      <c r="F43" s="112">
        <f t="shared" ref="F43:W43" si="27">IF(F$23=0,0,$D43)*F$23</f>
        <v>0</v>
      </c>
      <c r="G43" s="112">
        <f t="shared" si="27"/>
        <v>0</v>
      </c>
      <c r="H43" s="112">
        <f t="shared" si="27"/>
        <v>0</v>
      </c>
      <c r="I43" s="112">
        <f t="shared" si="27"/>
        <v>0</v>
      </c>
      <c r="J43" s="112">
        <f t="shared" si="27"/>
        <v>0</v>
      </c>
      <c r="K43" s="112">
        <f t="shared" si="27"/>
        <v>0</v>
      </c>
      <c r="L43" s="112">
        <f t="shared" si="27"/>
        <v>17270.136056249998</v>
      </c>
      <c r="M43" s="112">
        <f t="shared" si="27"/>
        <v>17270.136056249998</v>
      </c>
      <c r="N43" s="112">
        <f t="shared" si="27"/>
        <v>17270.136056249998</v>
      </c>
      <c r="O43" s="112">
        <f t="shared" si="27"/>
        <v>17270.136056249998</v>
      </c>
      <c r="P43" s="112">
        <f t="shared" si="27"/>
        <v>17270.136056249998</v>
      </c>
      <c r="Q43" s="112">
        <f t="shared" si="27"/>
        <v>17270.136056249998</v>
      </c>
      <c r="R43" s="112">
        <f t="shared" si="27"/>
        <v>17270.136056249998</v>
      </c>
      <c r="S43" s="112">
        <f t="shared" si="27"/>
        <v>17270.136056249998</v>
      </c>
      <c r="T43" s="112">
        <f t="shared" si="27"/>
        <v>17270.136056249998</v>
      </c>
      <c r="U43" s="112">
        <f t="shared" si="27"/>
        <v>17270.136056249998</v>
      </c>
      <c r="V43" s="112">
        <f t="shared" si="27"/>
        <v>0</v>
      </c>
      <c r="W43" s="112">
        <f t="shared" si="27"/>
        <v>0</v>
      </c>
      <c r="X43" s="80"/>
      <c r="Y43" s="80"/>
      <c r="Z43" s="80"/>
      <c r="AA43" s="80"/>
      <c r="AB43" s="80"/>
      <c r="AC43" s="80"/>
      <c r="AD43" s="80"/>
      <c r="AE43" s="80"/>
      <c r="AF43" s="80"/>
      <c r="AG43" s="80"/>
    </row>
    <row r="44" spans="2:33" ht="11.25" customHeight="1" x14ac:dyDescent="0.2">
      <c r="B44" s="318"/>
      <c r="C44" s="115"/>
      <c r="D44" s="115">
        <f>4.94802*X5</f>
        <v>5.4180818999999998</v>
      </c>
      <c r="E44" s="80"/>
      <c r="F44" s="112">
        <f t="shared" ref="F44:W44" si="28">IF(F$24=0,0,$D44)*F$24</f>
        <v>0</v>
      </c>
      <c r="G44" s="112">
        <f t="shared" si="28"/>
        <v>0</v>
      </c>
      <c r="H44" s="112">
        <f t="shared" si="28"/>
        <v>0</v>
      </c>
      <c r="I44" s="112">
        <f t="shared" si="28"/>
        <v>0</v>
      </c>
      <c r="J44" s="112">
        <f t="shared" si="28"/>
        <v>0</v>
      </c>
      <c r="K44" s="112">
        <f t="shared" si="28"/>
        <v>0</v>
      </c>
      <c r="L44" s="112">
        <f t="shared" si="28"/>
        <v>16254.245699999999</v>
      </c>
      <c r="M44" s="112">
        <f t="shared" si="28"/>
        <v>16254.245699999999</v>
      </c>
      <c r="N44" s="112">
        <f t="shared" si="28"/>
        <v>16254.245699999999</v>
      </c>
      <c r="O44" s="112">
        <f t="shared" si="28"/>
        <v>16254.245699999999</v>
      </c>
      <c r="P44" s="112">
        <f t="shared" si="28"/>
        <v>16254.245699999999</v>
      </c>
      <c r="Q44" s="112">
        <f t="shared" si="28"/>
        <v>16254.245699999999</v>
      </c>
      <c r="R44" s="112">
        <f t="shared" si="28"/>
        <v>16254.245699999999</v>
      </c>
      <c r="S44" s="112">
        <f t="shared" si="28"/>
        <v>16254.245699999999</v>
      </c>
      <c r="T44" s="112">
        <f t="shared" si="28"/>
        <v>16254.245699999999</v>
      </c>
      <c r="U44" s="112">
        <f t="shared" si="28"/>
        <v>16254.245699999999</v>
      </c>
      <c r="V44" s="112">
        <f t="shared" si="28"/>
        <v>0</v>
      </c>
      <c r="W44" s="112">
        <f t="shared" si="28"/>
        <v>0</v>
      </c>
      <c r="X44" s="80"/>
      <c r="Y44" s="80"/>
      <c r="Z44" s="80"/>
      <c r="AA44" s="80"/>
      <c r="AB44" s="80"/>
      <c r="AC44" s="80"/>
      <c r="AD44" s="80"/>
      <c r="AE44" s="80"/>
      <c r="AF44" s="80"/>
      <c r="AG44" s="80"/>
    </row>
    <row r="45" spans="2:33" ht="11.25" customHeight="1" x14ac:dyDescent="0.2">
      <c r="B45" s="318"/>
      <c r="C45" s="115"/>
      <c r="D45" s="115">
        <f>4.63876875*X5</f>
        <v>5.0794517812499995</v>
      </c>
      <c r="E45" s="80"/>
      <c r="F45" s="112">
        <f t="shared" ref="F45:W45" si="29">IF(F$25=0,0,$D45)*F$25</f>
        <v>0</v>
      </c>
      <c r="G45" s="112">
        <f t="shared" si="29"/>
        <v>0</v>
      </c>
      <c r="H45" s="112">
        <f t="shared" si="29"/>
        <v>0</v>
      </c>
      <c r="I45" s="112">
        <f t="shared" si="29"/>
        <v>0</v>
      </c>
      <c r="J45" s="112">
        <f t="shared" si="29"/>
        <v>0</v>
      </c>
      <c r="K45" s="112">
        <f t="shared" si="29"/>
        <v>0</v>
      </c>
      <c r="L45" s="112">
        <f t="shared" si="29"/>
        <v>15238.355343749998</v>
      </c>
      <c r="M45" s="112">
        <f t="shared" si="29"/>
        <v>15238.355343749998</v>
      </c>
      <c r="N45" s="112">
        <f t="shared" si="29"/>
        <v>15238.355343749998</v>
      </c>
      <c r="O45" s="112">
        <f t="shared" si="29"/>
        <v>15238.355343749998</v>
      </c>
      <c r="P45" s="112">
        <f t="shared" si="29"/>
        <v>15238.355343749998</v>
      </c>
      <c r="Q45" s="112">
        <f t="shared" si="29"/>
        <v>15238.355343749998</v>
      </c>
      <c r="R45" s="112">
        <f t="shared" si="29"/>
        <v>15238.355343749998</v>
      </c>
      <c r="S45" s="112">
        <f t="shared" si="29"/>
        <v>15238.355343749998</v>
      </c>
      <c r="T45" s="112">
        <f t="shared" si="29"/>
        <v>15238.355343749998</v>
      </c>
      <c r="U45" s="112">
        <f t="shared" si="29"/>
        <v>15238.355343749998</v>
      </c>
      <c r="V45" s="112">
        <f t="shared" si="29"/>
        <v>0</v>
      </c>
      <c r="W45" s="112">
        <f t="shared" si="29"/>
        <v>0</v>
      </c>
      <c r="X45" s="80"/>
      <c r="Y45" s="80"/>
      <c r="Z45" s="80"/>
      <c r="AA45" s="80"/>
      <c r="AB45" s="80"/>
      <c r="AC45" s="80"/>
      <c r="AD45" s="80"/>
      <c r="AE45" s="80"/>
      <c r="AF45" s="80"/>
      <c r="AG45" s="80"/>
    </row>
    <row r="46" spans="2:33" ht="11.25" customHeight="1" x14ac:dyDescent="0.2">
      <c r="B46" s="318"/>
      <c r="C46" s="115"/>
      <c r="D46" s="115">
        <f>4.3295175*X5</f>
        <v>4.7408216624999993</v>
      </c>
      <c r="E46" s="80"/>
      <c r="F46" s="112">
        <f t="shared" ref="F46:W46" si="30">IF(F$26=0,0,$D46)*F$26</f>
        <v>0</v>
      </c>
      <c r="G46" s="112">
        <f t="shared" si="30"/>
        <v>0</v>
      </c>
      <c r="H46" s="112">
        <f t="shared" si="30"/>
        <v>0</v>
      </c>
      <c r="I46" s="112">
        <f t="shared" si="30"/>
        <v>0</v>
      </c>
      <c r="J46" s="112">
        <f t="shared" si="30"/>
        <v>0</v>
      </c>
      <c r="K46" s="112">
        <f t="shared" si="30"/>
        <v>0</v>
      </c>
      <c r="L46" s="112">
        <f t="shared" si="30"/>
        <v>49276.10036002499</v>
      </c>
      <c r="M46" s="112">
        <f t="shared" si="30"/>
        <v>39837.124429987496</v>
      </c>
      <c r="N46" s="112">
        <f t="shared" si="30"/>
        <v>60957.484936424989</v>
      </c>
      <c r="O46" s="112">
        <f t="shared" si="30"/>
        <v>57363.942116249993</v>
      </c>
      <c r="P46" s="112">
        <f t="shared" si="30"/>
        <v>53741.954366099992</v>
      </c>
      <c r="Q46" s="112">
        <f t="shared" si="30"/>
        <v>75715.662771787494</v>
      </c>
      <c r="R46" s="112">
        <f t="shared" si="30"/>
        <v>64816.513769699988</v>
      </c>
      <c r="S46" s="112">
        <f t="shared" si="30"/>
        <v>66599.062714799991</v>
      </c>
      <c r="T46" s="112">
        <f t="shared" si="30"/>
        <v>79062.682865512485</v>
      </c>
      <c r="U46" s="112">
        <f t="shared" si="30"/>
        <v>84623.666675624991</v>
      </c>
      <c r="V46" s="112">
        <f t="shared" si="30"/>
        <v>0</v>
      </c>
      <c r="W46" s="112">
        <f t="shared" si="30"/>
        <v>0</v>
      </c>
      <c r="X46" s="80"/>
      <c r="Y46" s="80"/>
      <c r="Z46" s="80"/>
      <c r="AA46" s="80"/>
      <c r="AB46" s="80"/>
      <c r="AC46" s="80"/>
      <c r="AD46" s="80"/>
      <c r="AE46" s="80"/>
      <c r="AF46" s="80"/>
      <c r="AG46" s="80"/>
    </row>
    <row r="47" spans="2:33" ht="11.25" customHeight="1" x14ac:dyDescent="0.2">
      <c r="B47" s="318"/>
      <c r="C47" s="115"/>
      <c r="D47" s="102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</row>
    <row r="48" spans="2:33" ht="11.25" customHeight="1" x14ac:dyDescent="0.2">
      <c r="B48" s="318"/>
      <c r="C48" s="306" t="s">
        <v>96</v>
      </c>
      <c r="D48" s="307"/>
      <c r="E48" s="80"/>
      <c r="F48" s="323" t="s">
        <v>92</v>
      </c>
      <c r="G48" s="322"/>
      <c r="H48" s="322"/>
      <c r="I48" s="322"/>
      <c r="J48" s="322"/>
      <c r="K48" s="322"/>
      <c r="L48" s="322"/>
      <c r="M48" s="322"/>
      <c r="N48" s="322"/>
      <c r="O48" s="322"/>
      <c r="P48" s="322"/>
      <c r="Q48" s="322"/>
      <c r="R48" s="322"/>
      <c r="S48" s="322"/>
      <c r="T48" s="322"/>
      <c r="U48" s="322"/>
      <c r="V48" s="322"/>
      <c r="W48" s="307"/>
      <c r="X48" s="80"/>
      <c r="Y48" s="80"/>
      <c r="Z48" s="80"/>
      <c r="AA48" s="80"/>
      <c r="AB48" s="80"/>
      <c r="AC48" s="80"/>
      <c r="AD48" s="80"/>
      <c r="AE48" s="80"/>
      <c r="AF48" s="80"/>
      <c r="AG48" s="80"/>
    </row>
    <row r="49" spans="2:33" ht="11.25" customHeight="1" x14ac:dyDescent="0.2">
      <c r="B49" s="318"/>
      <c r="C49" s="115"/>
      <c r="D49" s="116">
        <f>0.80405325*X5</f>
        <v>0.88043830875000006</v>
      </c>
      <c r="E49" s="80"/>
      <c r="F49" s="112">
        <f t="shared" ref="F49:W49" si="31">IF(F$29&lt;50,0,$D49)*F$29</f>
        <v>0</v>
      </c>
      <c r="G49" s="112">
        <f t="shared" si="31"/>
        <v>0</v>
      </c>
      <c r="H49" s="112">
        <f t="shared" si="31"/>
        <v>0</v>
      </c>
      <c r="I49" s="112">
        <f t="shared" si="31"/>
        <v>0</v>
      </c>
      <c r="J49" s="112">
        <f t="shared" si="31"/>
        <v>0</v>
      </c>
      <c r="K49" s="112">
        <f t="shared" si="31"/>
        <v>0</v>
      </c>
      <c r="L49" s="112">
        <f t="shared" si="31"/>
        <v>3521.7532350000001</v>
      </c>
      <c r="M49" s="112">
        <f t="shared" si="31"/>
        <v>3521.7532350000001</v>
      </c>
      <c r="N49" s="112">
        <f t="shared" si="31"/>
        <v>3521.7532350000001</v>
      </c>
      <c r="O49" s="112">
        <f t="shared" si="31"/>
        <v>3521.7532350000001</v>
      </c>
      <c r="P49" s="112">
        <f t="shared" si="31"/>
        <v>3521.7532350000001</v>
      </c>
      <c r="Q49" s="112">
        <f t="shared" si="31"/>
        <v>3521.7532350000001</v>
      </c>
      <c r="R49" s="112">
        <f t="shared" si="31"/>
        <v>3521.7532350000001</v>
      </c>
      <c r="S49" s="112">
        <f t="shared" si="31"/>
        <v>3521.7532350000001</v>
      </c>
      <c r="T49" s="112">
        <f t="shared" si="31"/>
        <v>3521.7532350000001</v>
      </c>
      <c r="U49" s="112">
        <f t="shared" si="31"/>
        <v>3521.7532350000001</v>
      </c>
      <c r="V49" s="112">
        <f t="shared" si="31"/>
        <v>0</v>
      </c>
      <c r="W49" s="112">
        <f t="shared" si="31"/>
        <v>0</v>
      </c>
      <c r="X49" s="80"/>
      <c r="Y49" s="80"/>
      <c r="Z49" s="80"/>
      <c r="AA49" s="80"/>
      <c r="AB49" s="80"/>
      <c r="AC49" s="80"/>
      <c r="AD49" s="80"/>
      <c r="AE49" s="80"/>
      <c r="AF49" s="80"/>
      <c r="AG49" s="80"/>
    </row>
    <row r="50" spans="2:33" ht="11.25" customHeight="1" x14ac:dyDescent="0.2">
      <c r="B50" s="318"/>
      <c r="C50" s="115"/>
      <c r="D50" s="116">
        <f>0.3711015*X5</f>
        <v>0.40635614249999996</v>
      </c>
      <c r="E50" s="80"/>
      <c r="F50" s="112">
        <f t="shared" ref="F50:W50" si="32">IF(F$30=0,0,$D50)*F$30</f>
        <v>0</v>
      </c>
      <c r="G50" s="112">
        <f t="shared" si="32"/>
        <v>0</v>
      </c>
      <c r="H50" s="112">
        <f t="shared" si="32"/>
        <v>0</v>
      </c>
      <c r="I50" s="112">
        <f t="shared" si="32"/>
        <v>0</v>
      </c>
      <c r="J50" s="112">
        <f t="shared" si="32"/>
        <v>0</v>
      </c>
      <c r="K50" s="112">
        <f t="shared" si="32"/>
        <v>0</v>
      </c>
      <c r="L50" s="112">
        <f t="shared" si="32"/>
        <v>6501.6982799999996</v>
      </c>
      <c r="M50" s="112">
        <f t="shared" si="32"/>
        <v>6501.6982799999996</v>
      </c>
      <c r="N50" s="112">
        <f t="shared" si="32"/>
        <v>6501.6982799999996</v>
      </c>
      <c r="O50" s="112">
        <f t="shared" si="32"/>
        <v>6501.6982799999996</v>
      </c>
      <c r="P50" s="112">
        <f t="shared" si="32"/>
        <v>6501.6982799999996</v>
      </c>
      <c r="Q50" s="112">
        <f t="shared" si="32"/>
        <v>6501.6982799999996</v>
      </c>
      <c r="R50" s="112">
        <f t="shared" si="32"/>
        <v>6501.6982799999996</v>
      </c>
      <c r="S50" s="112">
        <f t="shared" si="32"/>
        <v>6501.6982799999996</v>
      </c>
      <c r="T50" s="112">
        <f t="shared" si="32"/>
        <v>6501.6982799999996</v>
      </c>
      <c r="U50" s="112">
        <f t="shared" si="32"/>
        <v>6501.6982799999996</v>
      </c>
      <c r="V50" s="112">
        <f t="shared" si="32"/>
        <v>0</v>
      </c>
      <c r="W50" s="112">
        <f t="shared" si="32"/>
        <v>0</v>
      </c>
      <c r="X50" s="80"/>
      <c r="Y50" s="80"/>
      <c r="Z50" s="80"/>
      <c r="AA50" s="80"/>
      <c r="AB50" s="80"/>
      <c r="AC50" s="80"/>
      <c r="AD50" s="80"/>
      <c r="AE50" s="80"/>
      <c r="AF50" s="80"/>
      <c r="AG50" s="80"/>
    </row>
    <row r="51" spans="2:33" ht="11.25" customHeight="1" x14ac:dyDescent="0.2">
      <c r="B51" s="319"/>
      <c r="C51" s="115"/>
      <c r="D51" s="117">
        <f>0.18555075*X5</f>
        <v>0.20317807124999998</v>
      </c>
      <c r="E51" s="106"/>
      <c r="F51" s="113">
        <f t="shared" ref="F51:W51" si="33">IF(F$31=0,0,$D51)*F$31</f>
        <v>0</v>
      </c>
      <c r="G51" s="113">
        <f t="shared" si="33"/>
        <v>0</v>
      </c>
      <c r="H51" s="113">
        <f t="shared" si="33"/>
        <v>0</v>
      </c>
      <c r="I51" s="113">
        <f t="shared" si="33"/>
        <v>0</v>
      </c>
      <c r="J51" s="113">
        <f t="shared" si="33"/>
        <v>0</v>
      </c>
      <c r="K51" s="113">
        <f t="shared" si="33"/>
        <v>0</v>
      </c>
      <c r="L51" s="113">
        <f t="shared" si="33"/>
        <v>5498.6081422387497</v>
      </c>
      <c r="M51" s="113">
        <f t="shared" si="33"/>
        <v>4737.7062654074998</v>
      </c>
      <c r="N51" s="113">
        <f t="shared" si="33"/>
        <v>5319.2019053249996</v>
      </c>
      <c r="O51" s="113">
        <f t="shared" si="33"/>
        <v>3205.5404301112499</v>
      </c>
      <c r="P51" s="113">
        <f t="shared" si="33"/>
        <v>6071.5703031637495</v>
      </c>
      <c r="Q51" s="113">
        <f t="shared" si="33"/>
        <v>5909.2310242349995</v>
      </c>
      <c r="R51" s="113">
        <f t="shared" si="33"/>
        <v>5028.6572634374998</v>
      </c>
      <c r="S51" s="113">
        <f t="shared" si="33"/>
        <v>4788.2976051487494</v>
      </c>
      <c r="T51" s="113">
        <f t="shared" si="33"/>
        <v>6291.2057981849994</v>
      </c>
      <c r="U51" s="113">
        <f t="shared" si="33"/>
        <v>7168.9350659849997</v>
      </c>
      <c r="V51" s="113">
        <f t="shared" si="33"/>
        <v>0</v>
      </c>
      <c r="W51" s="113">
        <f t="shared" si="33"/>
        <v>0</v>
      </c>
      <c r="X51" s="80"/>
      <c r="Y51" s="80"/>
      <c r="Z51" s="80"/>
      <c r="AA51" s="80"/>
      <c r="AB51" s="80"/>
      <c r="AC51" s="80"/>
      <c r="AD51" s="80"/>
      <c r="AE51" s="80"/>
      <c r="AF51" s="80"/>
      <c r="AG51" s="80"/>
    </row>
    <row r="52" spans="2:33" ht="11.25" customHeight="1" x14ac:dyDescent="0.2"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</row>
    <row r="53" spans="2:33" ht="11.25" customHeight="1" x14ac:dyDescent="0.2">
      <c r="B53" s="324"/>
      <c r="C53" s="306" t="s">
        <v>87</v>
      </c>
      <c r="D53" s="307"/>
      <c r="E53" s="80"/>
      <c r="F53" s="323" t="s">
        <v>92</v>
      </c>
      <c r="G53" s="322"/>
      <c r="H53" s="322"/>
      <c r="I53" s="322"/>
      <c r="J53" s="322"/>
      <c r="K53" s="322"/>
      <c r="L53" s="322"/>
      <c r="M53" s="322"/>
      <c r="N53" s="322"/>
      <c r="O53" s="322"/>
      <c r="P53" s="322"/>
      <c r="Q53" s="322"/>
      <c r="R53" s="322"/>
      <c r="S53" s="322"/>
      <c r="T53" s="322"/>
      <c r="U53" s="322"/>
      <c r="V53" s="322"/>
      <c r="W53" s="307"/>
      <c r="X53" s="80"/>
      <c r="Y53" s="80"/>
      <c r="Z53" s="80"/>
      <c r="AA53" s="80"/>
      <c r="AB53" s="80"/>
      <c r="AC53" s="80"/>
      <c r="AD53" s="80"/>
      <c r="AE53" s="80"/>
      <c r="AF53" s="80"/>
      <c r="AG53" s="80"/>
    </row>
    <row r="54" spans="2:33" ht="11.25" customHeight="1" x14ac:dyDescent="0.2">
      <c r="B54" s="319"/>
      <c r="C54" s="115"/>
      <c r="D54" s="117">
        <f>2.47*X5</f>
        <v>2.70465</v>
      </c>
      <c r="E54" s="80"/>
      <c r="F54" s="112">
        <f t="shared" ref="F54:K54" si="34">IF(F$31&lt;50,0,$D54)*F$31</f>
        <v>0</v>
      </c>
      <c r="G54" s="112">
        <f t="shared" si="34"/>
        <v>0</v>
      </c>
      <c r="H54" s="112">
        <f t="shared" si="34"/>
        <v>0</v>
      </c>
      <c r="I54" s="112">
        <f t="shared" si="34"/>
        <v>0</v>
      </c>
      <c r="J54" s="112">
        <f t="shared" si="34"/>
        <v>0</v>
      </c>
      <c r="K54" s="112">
        <f t="shared" si="34"/>
        <v>0</v>
      </c>
      <c r="L54" s="113">
        <f>+L10*$D$54</f>
        <v>19373.407950000001</v>
      </c>
      <c r="M54" s="113">
        <f t="shared" ref="M54:W54" si="35">+M10*$D$54</f>
        <v>19770.9915</v>
      </c>
      <c r="N54" s="113">
        <f t="shared" si="35"/>
        <v>19148.921999999999</v>
      </c>
      <c r="O54" s="113">
        <f t="shared" si="35"/>
        <v>20257.8285</v>
      </c>
      <c r="P54" s="113">
        <f t="shared" si="35"/>
        <v>19102.942950000001</v>
      </c>
      <c r="Q54" s="113">
        <f t="shared" si="35"/>
        <v>15995.3001</v>
      </c>
      <c r="R54" s="113">
        <f t="shared" si="35"/>
        <v>10380.4467</v>
      </c>
      <c r="S54" s="113">
        <f t="shared" si="35"/>
        <v>10085.63985</v>
      </c>
      <c r="T54" s="113">
        <f t="shared" si="35"/>
        <v>11608.3578</v>
      </c>
      <c r="U54" s="113">
        <f>+U10*$D$54</f>
        <v>14605.11</v>
      </c>
      <c r="V54" s="113">
        <f t="shared" si="35"/>
        <v>0</v>
      </c>
      <c r="W54" s="113">
        <f t="shared" si="35"/>
        <v>0</v>
      </c>
      <c r="X54" s="80"/>
      <c r="Y54" s="80"/>
      <c r="Z54" s="80"/>
      <c r="AA54" s="80"/>
      <c r="AB54" s="80"/>
      <c r="AC54" s="80"/>
      <c r="AD54" s="80"/>
      <c r="AE54" s="80"/>
      <c r="AF54" s="80"/>
      <c r="AG54" s="80"/>
    </row>
    <row r="55" spans="2:33" ht="11.25" customHeight="1" x14ac:dyDescent="0.2"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</row>
    <row r="56" spans="2:33" ht="11.25" customHeight="1" x14ac:dyDescent="0.2"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</row>
    <row r="57" spans="2:33" ht="11.25" customHeight="1" x14ac:dyDescent="0.2"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</row>
    <row r="58" spans="2:33" ht="11.25" customHeight="1" x14ac:dyDescent="0.2">
      <c r="B58" s="300" t="s">
        <v>97</v>
      </c>
      <c r="C58" s="301"/>
      <c r="D58" s="87" t="s">
        <v>85</v>
      </c>
      <c r="E58" s="80"/>
      <c r="F58" s="118">
        <f t="shared" ref="F58:W58" si="36">SUM(F37:F46)</f>
        <v>0</v>
      </c>
      <c r="G58" s="118">
        <f t="shared" si="36"/>
        <v>0</v>
      </c>
      <c r="H58" s="118">
        <f t="shared" si="36"/>
        <v>0</v>
      </c>
      <c r="I58" s="118">
        <f t="shared" si="36"/>
        <v>0</v>
      </c>
      <c r="J58" s="118">
        <f t="shared" si="36"/>
        <v>0</v>
      </c>
      <c r="K58" s="118">
        <f t="shared" si="36"/>
        <v>0</v>
      </c>
      <c r="L58" s="118">
        <f t="shared" si="36"/>
        <v>146273.60217064997</v>
      </c>
      <c r="M58" s="118">
        <f t="shared" si="36"/>
        <v>136834.62624061247</v>
      </c>
      <c r="N58" s="118">
        <f t="shared" si="36"/>
        <v>157954.98674704999</v>
      </c>
      <c r="O58" s="118">
        <f t="shared" si="36"/>
        <v>154361.44392687498</v>
      </c>
      <c r="P58" s="118">
        <f t="shared" si="36"/>
        <v>150739.45617672498</v>
      </c>
      <c r="Q58" s="118">
        <f t="shared" si="36"/>
        <v>172713.16458241249</v>
      </c>
      <c r="R58" s="118">
        <f t="shared" si="36"/>
        <v>161814.01558032498</v>
      </c>
      <c r="S58" s="118">
        <f t="shared" si="36"/>
        <v>163596.56452542497</v>
      </c>
      <c r="T58" s="118">
        <f t="shared" si="36"/>
        <v>176060.18467613746</v>
      </c>
      <c r="U58" s="118">
        <f>SUM(U37:U46)</f>
        <v>181621.16848624998</v>
      </c>
      <c r="V58" s="118">
        <f t="shared" si="36"/>
        <v>0</v>
      </c>
      <c r="W58" s="118">
        <f t="shared" si="36"/>
        <v>0</v>
      </c>
      <c r="X58" s="80"/>
      <c r="Y58" s="80"/>
      <c r="Z58" s="80"/>
      <c r="AA58" s="80"/>
      <c r="AB58" s="80"/>
      <c r="AC58" s="80"/>
      <c r="AD58" s="80"/>
      <c r="AE58" s="80"/>
      <c r="AF58" s="80"/>
      <c r="AG58" s="80"/>
    </row>
    <row r="59" spans="2:33" ht="11.25" customHeight="1" x14ac:dyDescent="0.2">
      <c r="B59" s="302"/>
      <c r="C59" s="303"/>
      <c r="D59" s="87" t="s">
        <v>86</v>
      </c>
      <c r="E59" s="80"/>
      <c r="F59" s="118">
        <f t="shared" ref="F59:W59" si="37">SUM(F49:F51)</f>
        <v>0</v>
      </c>
      <c r="G59" s="118">
        <f t="shared" si="37"/>
        <v>0</v>
      </c>
      <c r="H59" s="118">
        <f t="shared" si="37"/>
        <v>0</v>
      </c>
      <c r="I59" s="118">
        <f t="shared" si="37"/>
        <v>0</v>
      </c>
      <c r="J59" s="118">
        <f t="shared" si="37"/>
        <v>0</v>
      </c>
      <c r="K59" s="118">
        <f t="shared" si="37"/>
        <v>0</v>
      </c>
      <c r="L59" s="118">
        <f t="shared" si="37"/>
        <v>15522.059657238751</v>
      </c>
      <c r="M59" s="118">
        <f t="shared" si="37"/>
        <v>14761.1577804075</v>
      </c>
      <c r="N59" s="118">
        <f t="shared" si="37"/>
        <v>15342.653420325001</v>
      </c>
      <c r="O59" s="118">
        <f t="shared" si="37"/>
        <v>13228.991945111251</v>
      </c>
      <c r="P59" s="118">
        <f t="shared" si="37"/>
        <v>16095.02181816375</v>
      </c>
      <c r="Q59" s="118">
        <f t="shared" si="37"/>
        <v>15932.682539235</v>
      </c>
      <c r="R59" s="118">
        <f t="shared" si="37"/>
        <v>15052.108778437501</v>
      </c>
      <c r="S59" s="118">
        <f t="shared" si="37"/>
        <v>14811.74912014875</v>
      </c>
      <c r="T59" s="118">
        <f t="shared" si="37"/>
        <v>16314.657313185</v>
      </c>
      <c r="U59" s="118">
        <f>SUM(U49:U51)</f>
        <v>17192.386580984999</v>
      </c>
      <c r="V59" s="118">
        <f t="shared" si="37"/>
        <v>0</v>
      </c>
      <c r="W59" s="118">
        <f t="shared" si="37"/>
        <v>0</v>
      </c>
      <c r="X59" s="80"/>
      <c r="Y59" s="80"/>
      <c r="Z59" s="80"/>
      <c r="AA59" s="80"/>
      <c r="AB59" s="80"/>
      <c r="AC59" s="80"/>
      <c r="AD59" s="80"/>
      <c r="AE59" s="80"/>
      <c r="AF59" s="80"/>
      <c r="AG59" s="80"/>
    </row>
    <row r="60" spans="2:33" ht="11.25" customHeight="1" x14ac:dyDescent="0.2">
      <c r="B60" s="304"/>
      <c r="C60" s="305"/>
      <c r="D60" s="87" t="s">
        <v>87</v>
      </c>
      <c r="E60" s="80"/>
      <c r="F60" s="118">
        <f t="shared" ref="F60:K60" si="38">F10*2*1.05</f>
        <v>0</v>
      </c>
      <c r="G60" s="118">
        <f t="shared" si="38"/>
        <v>0</v>
      </c>
      <c r="H60" s="118">
        <f t="shared" si="38"/>
        <v>0</v>
      </c>
      <c r="I60" s="118">
        <f t="shared" si="38"/>
        <v>0</v>
      </c>
      <c r="J60" s="118">
        <f t="shared" si="38"/>
        <v>0</v>
      </c>
      <c r="K60" s="118">
        <f t="shared" si="38"/>
        <v>0</v>
      </c>
      <c r="L60" s="118">
        <f t="shared" ref="L60:W60" si="39">+L54</f>
        <v>19373.407950000001</v>
      </c>
      <c r="M60" s="118">
        <f t="shared" si="39"/>
        <v>19770.9915</v>
      </c>
      <c r="N60" s="118">
        <f t="shared" si="39"/>
        <v>19148.921999999999</v>
      </c>
      <c r="O60" s="118">
        <f t="shared" si="39"/>
        <v>20257.8285</v>
      </c>
      <c r="P60" s="118">
        <f t="shared" si="39"/>
        <v>19102.942950000001</v>
      </c>
      <c r="Q60" s="118">
        <f t="shared" si="39"/>
        <v>15995.3001</v>
      </c>
      <c r="R60" s="118">
        <f t="shared" si="39"/>
        <v>10380.4467</v>
      </c>
      <c r="S60" s="118">
        <f t="shared" si="39"/>
        <v>10085.63985</v>
      </c>
      <c r="T60" s="118">
        <f t="shared" si="39"/>
        <v>11608.3578</v>
      </c>
      <c r="U60" s="118">
        <f t="shared" si="39"/>
        <v>14605.11</v>
      </c>
      <c r="V60" s="118">
        <f t="shared" si="39"/>
        <v>0</v>
      </c>
      <c r="W60" s="118">
        <f t="shared" si="39"/>
        <v>0</v>
      </c>
      <c r="X60" s="80"/>
      <c r="Y60" s="80"/>
      <c r="Z60" s="80"/>
      <c r="AA60" s="80"/>
      <c r="AB60" s="80"/>
      <c r="AC60" s="80"/>
      <c r="AD60" s="80"/>
      <c r="AE60" s="80"/>
      <c r="AF60" s="80"/>
      <c r="AG60" s="80"/>
    </row>
    <row r="61" spans="2:33" ht="11.25" customHeight="1" x14ac:dyDescent="0.2">
      <c r="B61" s="80"/>
      <c r="C61" s="80"/>
      <c r="D61" s="119" t="s">
        <v>98</v>
      </c>
      <c r="E61" s="120"/>
      <c r="F61" s="121">
        <f t="shared" ref="F61:W61" si="40">SUM(F58:F60)</f>
        <v>0</v>
      </c>
      <c r="G61" s="121">
        <f t="shared" si="40"/>
        <v>0</v>
      </c>
      <c r="H61" s="121">
        <f t="shared" si="40"/>
        <v>0</v>
      </c>
      <c r="I61" s="121">
        <f t="shared" si="40"/>
        <v>0</v>
      </c>
      <c r="J61" s="121">
        <f t="shared" si="40"/>
        <v>0</v>
      </c>
      <c r="K61" s="121">
        <f t="shared" si="40"/>
        <v>0</v>
      </c>
      <c r="L61" s="121">
        <f>SUM(L58:L60)</f>
        <v>181169.06977788871</v>
      </c>
      <c r="M61" s="121">
        <f t="shared" si="40"/>
        <v>171366.77552101997</v>
      </c>
      <c r="N61" s="121">
        <f t="shared" si="40"/>
        <v>192446.56216737497</v>
      </c>
      <c r="O61" s="121">
        <f t="shared" si="40"/>
        <v>187848.26437198624</v>
      </c>
      <c r="P61" s="121">
        <f t="shared" si="40"/>
        <v>185937.42094488873</v>
      </c>
      <c r="Q61" s="121">
        <f t="shared" si="40"/>
        <v>204641.14722164749</v>
      </c>
      <c r="R61" s="121">
        <f t="shared" si="40"/>
        <v>187246.57105876249</v>
      </c>
      <c r="S61" s="121">
        <f t="shared" si="40"/>
        <v>188493.95349557372</v>
      </c>
      <c r="T61" s="121">
        <f t="shared" si="40"/>
        <v>203983.19978932245</v>
      </c>
      <c r="U61" s="121">
        <f t="shared" si="40"/>
        <v>213418.66506723501</v>
      </c>
      <c r="V61" s="121">
        <f t="shared" si="40"/>
        <v>0</v>
      </c>
      <c r="W61" s="121">
        <f t="shared" si="40"/>
        <v>0</v>
      </c>
      <c r="X61" s="122"/>
      <c r="Y61" s="80"/>
      <c r="Z61" s="103"/>
      <c r="AA61" s="80"/>
      <c r="AB61" s="103"/>
      <c r="AC61" s="80"/>
      <c r="AD61" s="80"/>
      <c r="AE61" s="80"/>
      <c r="AF61" s="80"/>
      <c r="AG61" s="80"/>
    </row>
    <row r="62" spans="2:33" ht="11.25" customHeight="1" x14ac:dyDescent="0.2"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80"/>
      <c r="Z62" s="80"/>
      <c r="AA62" s="80"/>
      <c r="AB62" s="80"/>
      <c r="AC62" s="80"/>
      <c r="AD62" s="80"/>
      <c r="AE62" s="80"/>
      <c r="AF62" s="80"/>
      <c r="AG62" s="80"/>
    </row>
    <row r="63" spans="2:33" ht="11.25" customHeight="1" x14ac:dyDescent="0.2"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122"/>
      <c r="Y63" s="80"/>
      <c r="Z63" s="80"/>
      <c r="AA63" s="80"/>
      <c r="AB63" s="80"/>
      <c r="AC63" s="80"/>
      <c r="AD63" s="80"/>
      <c r="AE63" s="80"/>
      <c r="AF63" s="80"/>
      <c r="AG63" s="80"/>
    </row>
    <row r="64" spans="2:33" ht="11.25" customHeight="1" x14ac:dyDescent="0.2"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122"/>
      <c r="Y64" s="80"/>
      <c r="Z64" s="80"/>
      <c r="AA64" s="80"/>
      <c r="AB64" s="80"/>
      <c r="AC64" s="80"/>
      <c r="AD64" s="80"/>
      <c r="AE64" s="80"/>
      <c r="AF64" s="80"/>
      <c r="AG64" s="80"/>
    </row>
    <row r="65" spans="2:33" ht="11.25" customHeight="1" x14ac:dyDescent="0.2">
      <c r="B65" s="80"/>
      <c r="C65" s="80"/>
      <c r="D65" s="80"/>
      <c r="E65" s="80"/>
      <c r="F65" s="122"/>
      <c r="G65" s="122"/>
      <c r="H65" s="80"/>
      <c r="I65" s="80"/>
      <c r="J65" s="80"/>
      <c r="K65" s="122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122"/>
      <c r="Y65" s="80"/>
      <c r="Z65" s="80"/>
      <c r="AA65" s="80"/>
      <c r="AB65" s="80"/>
      <c r="AC65" s="80"/>
      <c r="AD65" s="80"/>
      <c r="AE65" s="80"/>
      <c r="AF65" s="80"/>
      <c r="AG65" s="80"/>
    </row>
    <row r="66" spans="2:33" ht="11.25" hidden="1" customHeight="1" x14ac:dyDescent="0.2">
      <c r="B66" s="80"/>
      <c r="C66" s="80"/>
      <c r="D66" s="80"/>
      <c r="E66" s="80"/>
      <c r="F66" s="122" t="s">
        <v>210</v>
      </c>
      <c r="G66" s="122" t="s">
        <v>210</v>
      </c>
      <c r="H66" s="122" t="s">
        <v>210</v>
      </c>
      <c r="I66" s="122" t="s">
        <v>210</v>
      </c>
      <c r="J66" s="122" t="s">
        <v>210</v>
      </c>
      <c r="K66" s="122" t="s">
        <v>210</v>
      </c>
      <c r="L66" s="122" t="s">
        <v>210</v>
      </c>
      <c r="M66" s="122" t="s">
        <v>210</v>
      </c>
      <c r="N66" s="122" t="s">
        <v>210</v>
      </c>
      <c r="O66" s="122" t="s">
        <v>210</v>
      </c>
      <c r="P66" s="122" t="s">
        <v>210</v>
      </c>
      <c r="Q66" s="122" t="s">
        <v>210</v>
      </c>
      <c r="R66" s="122" t="s">
        <v>210</v>
      </c>
      <c r="S66" s="122" t="s">
        <v>210</v>
      </c>
      <c r="T66" s="122" t="s">
        <v>210</v>
      </c>
      <c r="U66" s="122" t="s">
        <v>210</v>
      </c>
      <c r="V66" s="122" t="s">
        <v>210</v>
      </c>
      <c r="W66" s="122" t="s">
        <v>210</v>
      </c>
      <c r="X66" s="80"/>
      <c r="Y66" s="80"/>
      <c r="Z66" s="80"/>
      <c r="AA66" s="80"/>
      <c r="AB66" s="80"/>
      <c r="AC66" s="80"/>
      <c r="AD66" s="80"/>
      <c r="AE66" s="80"/>
      <c r="AF66" s="80"/>
      <c r="AG66" s="80"/>
    </row>
    <row r="67" spans="2:33" ht="11.25" customHeight="1" x14ac:dyDescent="0.2">
      <c r="B67" s="80"/>
      <c r="C67" s="80"/>
      <c r="D67" s="80"/>
      <c r="E67" s="80"/>
      <c r="F67" s="122"/>
      <c r="G67" s="122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</row>
    <row r="68" spans="2:33" ht="11.25" customHeight="1" x14ac:dyDescent="0.2">
      <c r="B68" s="80"/>
      <c r="C68" s="80"/>
      <c r="D68" s="80"/>
      <c r="E68" s="80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80"/>
      <c r="Y68" s="80"/>
      <c r="Z68" s="80"/>
      <c r="AA68" s="80"/>
      <c r="AB68" s="80"/>
      <c r="AC68" s="80"/>
      <c r="AD68" s="80"/>
      <c r="AE68" s="80"/>
      <c r="AF68" s="80"/>
      <c r="AG68" s="80"/>
    </row>
    <row r="69" spans="2:33" ht="11.25" customHeight="1" x14ac:dyDescent="0.2"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</row>
    <row r="70" spans="2:33" ht="11.25" customHeight="1" x14ac:dyDescent="0.2">
      <c r="B70" s="80"/>
      <c r="C70" s="80"/>
      <c r="D70" s="80"/>
      <c r="E70" s="80"/>
      <c r="F70" s="92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</row>
    <row r="71" spans="2:33" ht="11.25" customHeight="1" x14ac:dyDescent="0.2">
      <c r="B71" s="80"/>
      <c r="C71" s="80"/>
      <c r="D71" s="80"/>
      <c r="E71" s="80"/>
      <c r="F71" s="92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</row>
    <row r="72" spans="2:33" ht="11.25" customHeight="1" x14ac:dyDescent="0.2"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</row>
    <row r="73" spans="2:33" ht="11.25" customHeight="1" x14ac:dyDescent="0.2"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</row>
    <row r="74" spans="2:33" ht="11.25" customHeight="1" x14ac:dyDescent="0.2"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</row>
    <row r="75" spans="2:33" ht="11.25" customHeight="1" x14ac:dyDescent="0.2"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</row>
    <row r="76" spans="2:33" ht="11.25" customHeight="1" x14ac:dyDescent="0.2"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</row>
    <row r="77" spans="2:33" ht="11.25" customHeight="1" x14ac:dyDescent="0.2"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</row>
    <row r="78" spans="2:33" ht="11.25" customHeight="1" x14ac:dyDescent="0.2"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</row>
    <row r="79" spans="2:33" ht="11.25" customHeight="1" x14ac:dyDescent="0.2"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</row>
    <row r="80" spans="2:33" ht="11.25" customHeight="1" x14ac:dyDescent="0.2"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</row>
    <row r="81" spans="2:33" ht="11.25" customHeight="1" x14ac:dyDescent="0.2"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</row>
    <row r="82" spans="2:33" ht="11.25" customHeight="1" x14ac:dyDescent="0.2"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</row>
    <row r="83" spans="2:33" ht="11.25" customHeight="1" x14ac:dyDescent="0.2"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</row>
    <row r="84" spans="2:33" ht="11.25" customHeight="1" x14ac:dyDescent="0.2"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</row>
    <row r="85" spans="2:33" ht="11.25" customHeight="1" x14ac:dyDescent="0.2"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</row>
    <row r="86" spans="2:33" ht="11.25" customHeight="1" x14ac:dyDescent="0.2"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</row>
    <row r="87" spans="2:33" ht="11.25" customHeight="1" x14ac:dyDescent="0.2"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</row>
    <row r="88" spans="2:33" ht="11.25" customHeight="1" x14ac:dyDescent="0.2"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</row>
    <row r="89" spans="2:33" ht="11.25" customHeight="1" x14ac:dyDescent="0.2"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</row>
    <row r="90" spans="2:33" ht="11.25" customHeight="1" x14ac:dyDescent="0.2"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</row>
    <row r="91" spans="2:33" ht="11.25" customHeight="1" x14ac:dyDescent="0.2"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</row>
    <row r="92" spans="2:33" ht="11.25" customHeight="1" x14ac:dyDescent="0.2"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</row>
    <row r="93" spans="2:33" ht="11.25" customHeight="1" x14ac:dyDescent="0.2"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</row>
    <row r="94" spans="2:33" ht="11.25" customHeight="1" x14ac:dyDescent="0.2"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</row>
    <row r="95" spans="2:33" ht="11.25" customHeight="1" x14ac:dyDescent="0.2"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</row>
    <row r="96" spans="2:33" ht="11.25" customHeight="1" x14ac:dyDescent="0.2"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</row>
    <row r="97" spans="2:33" ht="11.25" customHeight="1" x14ac:dyDescent="0.2"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</row>
    <row r="98" spans="2:33" ht="11.25" customHeight="1" x14ac:dyDescent="0.2"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</row>
    <row r="99" spans="2:33" ht="11.25" customHeight="1" x14ac:dyDescent="0.2"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</row>
    <row r="100" spans="2:33" ht="11.25" customHeight="1" x14ac:dyDescent="0.2"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</row>
    <row r="101" spans="2:33" ht="11.25" customHeight="1" x14ac:dyDescent="0.2"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</row>
    <row r="102" spans="2:33" ht="11.25" customHeight="1" x14ac:dyDescent="0.2"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</row>
    <row r="103" spans="2:33" ht="11.25" customHeight="1" x14ac:dyDescent="0.2"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</row>
    <row r="104" spans="2:33" ht="11.25" customHeight="1" x14ac:dyDescent="0.2"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</row>
    <row r="105" spans="2:33" ht="11.25" customHeight="1" x14ac:dyDescent="0.2"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</row>
    <row r="106" spans="2:33" ht="11.25" customHeight="1" x14ac:dyDescent="0.2"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</row>
    <row r="107" spans="2:33" ht="11.25" customHeight="1" x14ac:dyDescent="0.2"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</row>
    <row r="108" spans="2:33" ht="11.25" customHeight="1" x14ac:dyDescent="0.2"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</row>
    <row r="109" spans="2:33" ht="11.25" customHeight="1" x14ac:dyDescent="0.2"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</row>
    <row r="110" spans="2:33" ht="11.25" customHeight="1" x14ac:dyDescent="0.2"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</row>
    <row r="111" spans="2:33" ht="11.25" customHeight="1" x14ac:dyDescent="0.2"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</row>
    <row r="112" spans="2:33" ht="11.25" customHeight="1" x14ac:dyDescent="0.2"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</row>
    <row r="113" spans="2:33" ht="11.25" customHeight="1" x14ac:dyDescent="0.2"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</row>
    <row r="114" spans="2:33" ht="11.25" customHeight="1" x14ac:dyDescent="0.2"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</row>
    <row r="115" spans="2:33" ht="11.25" customHeight="1" x14ac:dyDescent="0.2"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</row>
    <row r="116" spans="2:33" ht="11.25" customHeight="1" x14ac:dyDescent="0.2"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</row>
    <row r="117" spans="2:33" ht="11.25" customHeight="1" x14ac:dyDescent="0.2"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</row>
    <row r="118" spans="2:33" ht="11.25" customHeight="1" x14ac:dyDescent="0.2"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</row>
    <row r="119" spans="2:33" ht="11.25" customHeight="1" x14ac:dyDescent="0.2"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</row>
    <row r="120" spans="2:33" ht="11.25" customHeight="1" x14ac:dyDescent="0.2"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</row>
    <row r="121" spans="2:33" ht="11.25" customHeight="1" x14ac:dyDescent="0.2"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</row>
    <row r="122" spans="2:33" ht="11.25" customHeight="1" x14ac:dyDescent="0.2"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</row>
    <row r="123" spans="2:33" ht="11.25" customHeight="1" x14ac:dyDescent="0.2"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</row>
    <row r="124" spans="2:33" ht="11.25" customHeight="1" x14ac:dyDescent="0.2"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</row>
    <row r="125" spans="2:33" ht="11.25" customHeight="1" x14ac:dyDescent="0.2"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</row>
    <row r="126" spans="2:33" ht="11.25" customHeight="1" x14ac:dyDescent="0.2"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</row>
    <row r="127" spans="2:33" ht="11.25" customHeight="1" x14ac:dyDescent="0.2"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</row>
    <row r="128" spans="2:33" ht="11.25" customHeight="1" x14ac:dyDescent="0.2"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</row>
    <row r="129" spans="2:33" ht="11.25" customHeight="1" x14ac:dyDescent="0.2"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</row>
    <row r="130" spans="2:33" ht="11.25" customHeight="1" x14ac:dyDescent="0.2"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</row>
    <row r="131" spans="2:33" ht="11.25" customHeight="1" x14ac:dyDescent="0.2"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</row>
    <row r="132" spans="2:33" ht="11.25" customHeight="1" x14ac:dyDescent="0.2"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</row>
    <row r="133" spans="2:33" ht="11.25" customHeight="1" x14ac:dyDescent="0.2"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</row>
    <row r="134" spans="2:33" ht="11.25" customHeight="1" x14ac:dyDescent="0.2"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</row>
    <row r="135" spans="2:33" ht="11.25" customHeight="1" x14ac:dyDescent="0.2"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</row>
    <row r="136" spans="2:33" ht="11.25" customHeight="1" x14ac:dyDescent="0.2"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</row>
    <row r="137" spans="2:33" ht="11.25" customHeight="1" x14ac:dyDescent="0.2"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</row>
    <row r="138" spans="2:33" ht="11.25" customHeight="1" x14ac:dyDescent="0.2"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</row>
    <row r="139" spans="2:33" ht="11.25" customHeight="1" x14ac:dyDescent="0.2"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</row>
    <row r="140" spans="2:33" ht="11.25" customHeight="1" x14ac:dyDescent="0.2"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</row>
    <row r="141" spans="2:33" ht="11.25" customHeight="1" x14ac:dyDescent="0.2"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</row>
    <row r="142" spans="2:33" ht="11.25" customHeight="1" x14ac:dyDescent="0.2"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</row>
    <row r="143" spans="2:33" ht="11.25" customHeight="1" x14ac:dyDescent="0.2"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</row>
    <row r="144" spans="2:33" ht="11.25" customHeight="1" x14ac:dyDescent="0.2"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</row>
    <row r="145" spans="2:33" ht="11.25" customHeight="1" x14ac:dyDescent="0.2"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</row>
    <row r="146" spans="2:33" ht="11.25" customHeight="1" x14ac:dyDescent="0.2"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</row>
    <row r="147" spans="2:33" ht="11.25" customHeight="1" x14ac:dyDescent="0.2"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</row>
    <row r="148" spans="2:33" ht="11.25" customHeight="1" x14ac:dyDescent="0.2"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</row>
    <row r="149" spans="2:33" ht="11.25" customHeight="1" x14ac:dyDescent="0.2"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</row>
    <row r="150" spans="2:33" ht="11.25" customHeight="1" x14ac:dyDescent="0.2"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</row>
    <row r="151" spans="2:33" ht="11.25" customHeight="1" x14ac:dyDescent="0.2"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</row>
    <row r="152" spans="2:33" ht="11.25" customHeight="1" x14ac:dyDescent="0.2"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</row>
    <row r="153" spans="2:33" ht="11.25" customHeight="1" x14ac:dyDescent="0.2"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</row>
    <row r="154" spans="2:33" ht="11.25" customHeight="1" x14ac:dyDescent="0.2"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</row>
    <row r="155" spans="2:33" ht="11.25" customHeight="1" x14ac:dyDescent="0.2"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</row>
    <row r="156" spans="2:33" ht="11.25" customHeight="1" x14ac:dyDescent="0.2"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</row>
    <row r="157" spans="2:33" ht="11.25" customHeight="1" x14ac:dyDescent="0.2"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</row>
    <row r="158" spans="2:33" ht="11.25" customHeight="1" x14ac:dyDescent="0.2"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</row>
    <row r="159" spans="2:33" ht="11.25" customHeight="1" x14ac:dyDescent="0.2"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</row>
    <row r="160" spans="2:33" ht="11.25" customHeight="1" x14ac:dyDescent="0.2"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</row>
    <row r="161" spans="2:33" ht="11.25" customHeight="1" x14ac:dyDescent="0.2"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</row>
    <row r="162" spans="2:33" ht="11.25" customHeight="1" x14ac:dyDescent="0.2"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</row>
    <row r="163" spans="2:33" ht="11.25" customHeight="1" x14ac:dyDescent="0.2"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</row>
    <row r="164" spans="2:33" ht="11.25" customHeight="1" x14ac:dyDescent="0.2"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</row>
    <row r="165" spans="2:33" ht="11.25" customHeight="1" x14ac:dyDescent="0.2"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</row>
    <row r="166" spans="2:33" ht="11.25" customHeight="1" x14ac:dyDescent="0.2"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</row>
    <row r="167" spans="2:33" ht="11.25" customHeight="1" x14ac:dyDescent="0.2"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</row>
    <row r="168" spans="2:33" ht="11.25" customHeight="1" x14ac:dyDescent="0.2"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</row>
    <row r="169" spans="2:33" ht="11.25" customHeight="1" x14ac:dyDescent="0.2"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</row>
    <row r="170" spans="2:33" ht="11.25" customHeight="1" x14ac:dyDescent="0.2"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</row>
    <row r="171" spans="2:33" ht="11.25" customHeight="1" x14ac:dyDescent="0.2"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</row>
    <row r="172" spans="2:33" ht="11.25" customHeight="1" x14ac:dyDescent="0.2"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</row>
    <row r="173" spans="2:33" ht="11.25" customHeight="1" x14ac:dyDescent="0.2"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</row>
    <row r="174" spans="2:33" ht="11.25" customHeight="1" x14ac:dyDescent="0.2"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</row>
    <row r="175" spans="2:33" ht="11.25" customHeight="1" x14ac:dyDescent="0.2"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</row>
    <row r="176" spans="2:33" ht="11.25" customHeight="1" x14ac:dyDescent="0.2"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</row>
    <row r="177" spans="2:33" ht="11.25" customHeight="1" x14ac:dyDescent="0.2"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</row>
    <row r="178" spans="2:33" ht="11.25" customHeight="1" x14ac:dyDescent="0.2"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</row>
    <row r="179" spans="2:33" ht="11.25" customHeight="1" x14ac:dyDescent="0.2"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</row>
    <row r="180" spans="2:33" ht="11.25" customHeight="1" x14ac:dyDescent="0.2"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</row>
    <row r="181" spans="2:33" ht="11.25" customHeight="1" x14ac:dyDescent="0.2"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</row>
    <row r="182" spans="2:33" ht="11.25" customHeight="1" x14ac:dyDescent="0.2"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</row>
    <row r="183" spans="2:33" ht="11.25" customHeight="1" x14ac:dyDescent="0.2"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</row>
    <row r="184" spans="2:33" ht="11.25" customHeight="1" x14ac:dyDescent="0.2"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</row>
    <row r="185" spans="2:33" ht="11.25" customHeight="1" x14ac:dyDescent="0.2"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</row>
    <row r="186" spans="2:33" ht="11.25" customHeight="1" x14ac:dyDescent="0.2"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</row>
    <row r="187" spans="2:33" ht="11.25" customHeight="1" x14ac:dyDescent="0.2"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</row>
    <row r="188" spans="2:33" ht="11.25" customHeight="1" x14ac:dyDescent="0.2"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</row>
    <row r="189" spans="2:33" ht="11.25" customHeight="1" x14ac:dyDescent="0.2"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</row>
    <row r="190" spans="2:33" ht="11.25" customHeight="1" x14ac:dyDescent="0.2"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</row>
    <row r="191" spans="2:33" ht="11.25" customHeight="1" x14ac:dyDescent="0.2"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</row>
    <row r="192" spans="2:33" ht="11.25" customHeight="1" x14ac:dyDescent="0.2"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</row>
    <row r="193" spans="2:33" ht="11.25" customHeight="1" x14ac:dyDescent="0.2"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</row>
    <row r="194" spans="2:33" ht="11.25" customHeight="1" x14ac:dyDescent="0.2"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</row>
    <row r="195" spans="2:33" ht="11.25" customHeight="1" x14ac:dyDescent="0.2"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</row>
    <row r="196" spans="2:33" ht="11.25" customHeight="1" x14ac:dyDescent="0.2"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</row>
    <row r="197" spans="2:33" ht="11.25" customHeight="1" x14ac:dyDescent="0.2"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</row>
    <row r="198" spans="2:33" ht="11.25" customHeight="1" x14ac:dyDescent="0.2"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</row>
    <row r="199" spans="2:33" ht="11.25" customHeight="1" x14ac:dyDescent="0.2"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</row>
    <row r="200" spans="2:33" ht="11.25" customHeight="1" x14ac:dyDescent="0.2"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</row>
    <row r="201" spans="2:33" ht="11.25" customHeight="1" x14ac:dyDescent="0.2"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</row>
    <row r="202" spans="2:33" ht="11.25" customHeight="1" x14ac:dyDescent="0.2"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</row>
    <row r="203" spans="2:33" ht="11.25" customHeight="1" x14ac:dyDescent="0.2"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</row>
    <row r="204" spans="2:33" ht="11.25" customHeight="1" x14ac:dyDescent="0.2"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</row>
    <row r="205" spans="2:33" ht="11.25" customHeight="1" x14ac:dyDescent="0.2"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</row>
    <row r="206" spans="2:33" ht="11.25" customHeight="1" x14ac:dyDescent="0.2"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</row>
    <row r="207" spans="2:33" ht="11.25" customHeight="1" x14ac:dyDescent="0.2"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</row>
    <row r="208" spans="2:33" ht="11.25" customHeight="1" x14ac:dyDescent="0.2"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</row>
    <row r="209" spans="2:33" ht="11.25" customHeight="1" x14ac:dyDescent="0.2"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</row>
    <row r="210" spans="2:33" ht="11.25" customHeight="1" x14ac:dyDescent="0.2"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</row>
    <row r="211" spans="2:33" ht="11.25" customHeight="1" x14ac:dyDescent="0.2"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</row>
    <row r="212" spans="2:33" ht="11.25" customHeight="1" x14ac:dyDescent="0.2"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</row>
    <row r="213" spans="2:33" ht="11.25" customHeight="1" x14ac:dyDescent="0.2"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</row>
    <row r="214" spans="2:33" ht="11.25" customHeight="1" x14ac:dyDescent="0.2"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</row>
    <row r="215" spans="2:33" ht="11.25" customHeight="1" x14ac:dyDescent="0.2"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</row>
    <row r="216" spans="2:33" ht="11.25" customHeight="1" x14ac:dyDescent="0.2"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</row>
    <row r="217" spans="2:33" ht="11.25" customHeight="1" x14ac:dyDescent="0.2"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</row>
    <row r="218" spans="2:33" ht="11.25" customHeight="1" x14ac:dyDescent="0.2"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</row>
    <row r="219" spans="2:33" ht="11.25" customHeight="1" x14ac:dyDescent="0.2"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</row>
    <row r="220" spans="2:33" ht="11.25" customHeight="1" x14ac:dyDescent="0.2"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</row>
    <row r="221" spans="2:33" ht="11.25" customHeight="1" x14ac:dyDescent="0.2"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</row>
    <row r="222" spans="2:33" ht="11.25" customHeight="1" x14ac:dyDescent="0.2"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</row>
    <row r="223" spans="2:33" ht="11.25" customHeight="1" x14ac:dyDescent="0.2"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</row>
    <row r="224" spans="2:33" ht="11.25" customHeight="1" x14ac:dyDescent="0.2"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</row>
    <row r="225" spans="2:33" ht="11.25" customHeight="1" x14ac:dyDescent="0.2"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</row>
    <row r="226" spans="2:33" ht="11.25" customHeight="1" x14ac:dyDescent="0.2"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</row>
    <row r="227" spans="2:33" ht="11.25" customHeight="1" x14ac:dyDescent="0.2"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</row>
    <row r="228" spans="2:33" ht="11.25" customHeight="1" x14ac:dyDescent="0.2"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</row>
    <row r="229" spans="2:33" ht="11.25" customHeight="1" x14ac:dyDescent="0.2"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</row>
    <row r="230" spans="2:33" ht="11.25" customHeight="1" x14ac:dyDescent="0.2"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</row>
    <row r="231" spans="2:33" ht="11.25" customHeight="1" x14ac:dyDescent="0.2"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</row>
    <row r="232" spans="2:33" ht="11.25" customHeight="1" x14ac:dyDescent="0.2"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</row>
    <row r="233" spans="2:33" ht="11.25" customHeight="1" x14ac:dyDescent="0.2"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</row>
    <row r="234" spans="2:33" ht="11.25" customHeight="1" x14ac:dyDescent="0.2"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</row>
    <row r="235" spans="2:33" ht="11.25" customHeight="1" x14ac:dyDescent="0.2"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</row>
    <row r="236" spans="2:33" ht="11.25" customHeight="1" x14ac:dyDescent="0.2"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</row>
    <row r="237" spans="2:33" ht="11.25" customHeight="1" x14ac:dyDescent="0.2"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</row>
    <row r="238" spans="2:33" ht="11.25" customHeight="1" x14ac:dyDescent="0.2"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</row>
    <row r="239" spans="2:33" ht="11.25" customHeight="1" x14ac:dyDescent="0.2"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</row>
    <row r="240" spans="2:33" ht="11.25" customHeight="1" x14ac:dyDescent="0.2"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</row>
    <row r="241" spans="2:33" ht="11.25" customHeight="1" x14ac:dyDescent="0.2"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</row>
    <row r="242" spans="2:33" ht="11.25" customHeight="1" x14ac:dyDescent="0.2"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</row>
    <row r="243" spans="2:33" ht="11.25" customHeight="1" x14ac:dyDescent="0.2"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</row>
    <row r="244" spans="2:33" ht="11.25" customHeight="1" x14ac:dyDescent="0.2"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</row>
    <row r="245" spans="2:33" ht="11.25" customHeight="1" x14ac:dyDescent="0.2"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</row>
    <row r="246" spans="2:33" ht="11.25" customHeight="1" x14ac:dyDescent="0.2"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</row>
    <row r="247" spans="2:33" ht="11.25" customHeight="1" x14ac:dyDescent="0.2"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</row>
    <row r="248" spans="2:33" ht="11.25" customHeight="1" x14ac:dyDescent="0.2"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</row>
    <row r="249" spans="2:33" ht="11.25" customHeight="1" x14ac:dyDescent="0.2"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</row>
    <row r="250" spans="2:33" ht="11.25" customHeight="1" x14ac:dyDescent="0.2"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</row>
    <row r="251" spans="2:33" ht="11.25" customHeight="1" x14ac:dyDescent="0.2"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</row>
    <row r="252" spans="2:33" ht="11.25" customHeight="1" x14ac:dyDescent="0.2"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</row>
    <row r="253" spans="2:33" ht="11.25" customHeight="1" x14ac:dyDescent="0.2"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</row>
    <row r="254" spans="2:33" ht="11.25" customHeight="1" x14ac:dyDescent="0.2"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</row>
    <row r="255" spans="2:33" ht="11.25" customHeight="1" x14ac:dyDescent="0.2"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</row>
    <row r="256" spans="2:33" ht="11.25" customHeight="1" x14ac:dyDescent="0.2"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</row>
    <row r="257" spans="2:33" ht="11.25" customHeight="1" x14ac:dyDescent="0.2"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</row>
    <row r="258" spans="2:33" ht="11.25" customHeight="1" x14ac:dyDescent="0.2"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</row>
    <row r="259" spans="2:33" ht="11.25" customHeight="1" x14ac:dyDescent="0.2"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</row>
    <row r="260" spans="2:33" ht="11.25" customHeight="1" x14ac:dyDescent="0.2"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</row>
    <row r="261" spans="2:33" ht="11.25" customHeight="1" x14ac:dyDescent="0.2"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</row>
    <row r="262" spans="2:33" ht="11.25" customHeight="1" x14ac:dyDescent="0.2"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</row>
    <row r="263" spans="2:33" ht="11.25" customHeight="1" x14ac:dyDescent="0.2"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</row>
    <row r="264" spans="2:33" ht="11.25" customHeight="1" x14ac:dyDescent="0.2"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</row>
    <row r="265" spans="2:33" ht="11.25" customHeight="1" x14ac:dyDescent="0.2"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</row>
    <row r="266" spans="2:33" ht="11.25" customHeight="1" x14ac:dyDescent="0.2"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</row>
    <row r="267" spans="2:33" ht="11.25" customHeight="1" x14ac:dyDescent="0.2"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</row>
    <row r="268" spans="2:33" ht="11.25" customHeight="1" x14ac:dyDescent="0.2"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</row>
    <row r="269" spans="2:33" ht="11.25" customHeight="1" x14ac:dyDescent="0.2"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</row>
    <row r="270" spans="2:33" ht="11.25" customHeight="1" x14ac:dyDescent="0.2"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</row>
    <row r="271" spans="2:33" ht="11.25" customHeight="1" x14ac:dyDescent="0.2"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</row>
    <row r="272" spans="2:33" ht="11.25" customHeight="1" x14ac:dyDescent="0.2"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</row>
    <row r="273" spans="2:33" ht="11.25" customHeight="1" x14ac:dyDescent="0.2"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</row>
    <row r="274" spans="2:33" ht="11.25" customHeight="1" x14ac:dyDescent="0.2"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</row>
    <row r="275" spans="2:33" ht="11.25" customHeight="1" x14ac:dyDescent="0.2"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</row>
    <row r="276" spans="2:33" ht="11.25" customHeight="1" x14ac:dyDescent="0.2"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</row>
    <row r="277" spans="2:33" ht="11.25" customHeight="1" x14ac:dyDescent="0.2"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</row>
    <row r="278" spans="2:33" ht="11.25" customHeight="1" x14ac:dyDescent="0.2"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</row>
    <row r="279" spans="2:33" ht="11.25" customHeight="1" x14ac:dyDescent="0.2"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</row>
    <row r="280" spans="2:33" ht="11.25" customHeight="1" x14ac:dyDescent="0.2"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</row>
    <row r="281" spans="2:33" ht="11.25" customHeight="1" x14ac:dyDescent="0.2"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</row>
    <row r="282" spans="2:33" ht="11.25" customHeight="1" x14ac:dyDescent="0.2"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</row>
    <row r="283" spans="2:33" ht="11.25" customHeight="1" x14ac:dyDescent="0.2"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</row>
    <row r="284" spans="2:33" ht="11.25" customHeight="1" x14ac:dyDescent="0.2"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</row>
    <row r="285" spans="2:33" ht="11.25" customHeight="1" x14ac:dyDescent="0.2"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</row>
    <row r="286" spans="2:33" ht="11.25" customHeight="1" x14ac:dyDescent="0.2"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</row>
    <row r="287" spans="2:33" ht="11.25" customHeight="1" x14ac:dyDescent="0.2"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</row>
    <row r="288" spans="2:33" ht="11.25" customHeight="1" x14ac:dyDescent="0.2"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</row>
    <row r="289" spans="2:33" ht="11.25" customHeight="1" x14ac:dyDescent="0.2"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</row>
    <row r="290" spans="2:33" ht="11.25" customHeight="1" x14ac:dyDescent="0.2"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</row>
    <row r="291" spans="2:33" ht="11.25" customHeight="1" x14ac:dyDescent="0.2"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</row>
    <row r="292" spans="2:33" ht="11.25" customHeight="1" x14ac:dyDescent="0.2"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</row>
    <row r="293" spans="2:33" ht="11.25" customHeight="1" x14ac:dyDescent="0.2"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</row>
    <row r="294" spans="2:33" ht="11.25" customHeight="1" x14ac:dyDescent="0.2"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</row>
    <row r="295" spans="2:33" ht="11.25" customHeight="1" x14ac:dyDescent="0.2"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</row>
    <row r="296" spans="2:33" ht="11.25" customHeight="1" x14ac:dyDescent="0.2"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</row>
    <row r="297" spans="2:33" ht="11.25" customHeight="1" x14ac:dyDescent="0.2"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</row>
    <row r="298" spans="2:33" ht="11.25" customHeight="1" x14ac:dyDescent="0.2"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</row>
    <row r="299" spans="2:33" ht="11.25" customHeight="1" x14ac:dyDescent="0.2"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</row>
    <row r="300" spans="2:33" ht="11.25" customHeight="1" x14ac:dyDescent="0.2"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</row>
    <row r="301" spans="2:33" ht="11.25" customHeight="1" x14ac:dyDescent="0.2"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</row>
    <row r="302" spans="2:33" ht="11.25" customHeight="1" x14ac:dyDescent="0.2"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</row>
    <row r="303" spans="2:33" ht="11.25" customHeight="1" x14ac:dyDescent="0.2"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</row>
    <row r="304" spans="2:33" ht="11.25" customHeight="1" x14ac:dyDescent="0.2"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</row>
    <row r="305" spans="2:33" ht="11.25" customHeight="1" x14ac:dyDescent="0.2"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</row>
    <row r="306" spans="2:33" ht="11.25" customHeight="1" x14ac:dyDescent="0.2"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</row>
    <row r="307" spans="2:33" ht="11.25" customHeight="1" x14ac:dyDescent="0.2"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</row>
    <row r="308" spans="2:33" ht="11.25" customHeight="1" x14ac:dyDescent="0.2"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</row>
    <row r="309" spans="2:33" ht="11.25" customHeight="1" x14ac:dyDescent="0.2"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</row>
    <row r="310" spans="2:33" ht="11.25" customHeight="1" x14ac:dyDescent="0.2"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</row>
    <row r="311" spans="2:33" ht="11.25" customHeight="1" x14ac:dyDescent="0.2"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</row>
    <row r="312" spans="2:33" ht="11.25" customHeight="1" x14ac:dyDescent="0.2"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</row>
    <row r="313" spans="2:33" ht="11.25" customHeight="1" x14ac:dyDescent="0.2"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</row>
    <row r="314" spans="2:33" ht="11.25" customHeight="1" x14ac:dyDescent="0.2"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</row>
    <row r="315" spans="2:33" ht="11.25" customHeight="1" x14ac:dyDescent="0.2"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</row>
    <row r="316" spans="2:33" ht="11.25" customHeight="1" x14ac:dyDescent="0.2"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</row>
    <row r="317" spans="2:33" ht="11.25" customHeight="1" x14ac:dyDescent="0.2"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</row>
    <row r="318" spans="2:33" ht="11.25" customHeight="1" x14ac:dyDescent="0.2"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</row>
    <row r="319" spans="2:33" ht="11.25" customHeight="1" x14ac:dyDescent="0.2"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</row>
    <row r="320" spans="2:33" ht="11.25" customHeight="1" x14ac:dyDescent="0.2"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</row>
    <row r="321" spans="2:33" ht="11.25" customHeight="1" x14ac:dyDescent="0.2"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</row>
    <row r="322" spans="2:33" ht="11.25" customHeight="1" x14ac:dyDescent="0.2"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</row>
    <row r="323" spans="2:33" ht="11.25" customHeight="1" x14ac:dyDescent="0.2"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</row>
    <row r="324" spans="2:33" ht="11.25" customHeight="1" x14ac:dyDescent="0.2"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</row>
    <row r="325" spans="2:33" ht="11.25" customHeight="1" x14ac:dyDescent="0.2"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</row>
    <row r="326" spans="2:33" ht="11.25" customHeight="1" x14ac:dyDescent="0.2"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</row>
    <row r="327" spans="2:33" ht="11.25" customHeight="1" x14ac:dyDescent="0.2"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</row>
    <row r="328" spans="2:33" ht="11.25" customHeight="1" x14ac:dyDescent="0.2"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</row>
    <row r="329" spans="2:33" ht="11.25" customHeight="1" x14ac:dyDescent="0.2"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</row>
    <row r="330" spans="2:33" ht="11.25" customHeight="1" x14ac:dyDescent="0.2"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</row>
    <row r="331" spans="2:33" ht="11.25" customHeight="1" x14ac:dyDescent="0.2"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</row>
    <row r="332" spans="2:33" ht="11.25" customHeight="1" x14ac:dyDescent="0.2"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</row>
    <row r="333" spans="2:33" ht="11.25" customHeight="1" x14ac:dyDescent="0.2"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</row>
    <row r="334" spans="2:33" ht="11.25" customHeight="1" x14ac:dyDescent="0.2"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</row>
    <row r="335" spans="2:33" ht="11.25" customHeight="1" x14ac:dyDescent="0.2"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</row>
    <row r="336" spans="2:33" ht="11.25" customHeight="1" x14ac:dyDescent="0.2"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</row>
    <row r="337" spans="2:33" ht="11.25" customHeight="1" x14ac:dyDescent="0.2"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</row>
    <row r="338" spans="2:33" ht="11.25" customHeight="1" x14ac:dyDescent="0.2"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</row>
    <row r="339" spans="2:33" ht="11.25" customHeight="1" x14ac:dyDescent="0.2"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</row>
    <row r="340" spans="2:33" ht="11.25" customHeight="1" x14ac:dyDescent="0.2"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</row>
    <row r="341" spans="2:33" ht="11.25" customHeight="1" x14ac:dyDescent="0.2"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</row>
    <row r="342" spans="2:33" ht="11.25" customHeight="1" x14ac:dyDescent="0.2"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</row>
    <row r="343" spans="2:33" ht="11.25" customHeight="1" x14ac:dyDescent="0.2"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</row>
    <row r="344" spans="2:33" ht="11.25" customHeight="1" x14ac:dyDescent="0.2"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</row>
    <row r="345" spans="2:33" ht="11.25" customHeight="1" x14ac:dyDescent="0.2"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</row>
    <row r="346" spans="2:33" ht="11.25" customHeight="1" x14ac:dyDescent="0.2"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</row>
    <row r="347" spans="2:33" ht="11.25" customHeight="1" x14ac:dyDescent="0.2"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</row>
    <row r="348" spans="2:33" ht="11.25" customHeight="1" x14ac:dyDescent="0.2"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</row>
    <row r="349" spans="2:33" ht="11.25" customHeight="1" x14ac:dyDescent="0.2"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</row>
    <row r="350" spans="2:33" ht="11.25" customHeight="1" x14ac:dyDescent="0.2"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</row>
    <row r="351" spans="2:33" ht="11.25" customHeight="1" x14ac:dyDescent="0.2"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</row>
    <row r="352" spans="2:33" ht="11.25" customHeight="1" x14ac:dyDescent="0.2"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</row>
    <row r="353" spans="2:33" ht="11.25" customHeight="1" x14ac:dyDescent="0.2"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</row>
    <row r="354" spans="2:33" ht="11.25" customHeight="1" x14ac:dyDescent="0.2"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</row>
    <row r="355" spans="2:33" ht="11.25" customHeight="1" x14ac:dyDescent="0.2"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</row>
    <row r="356" spans="2:33" ht="11.25" customHeight="1" x14ac:dyDescent="0.2"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</row>
    <row r="357" spans="2:33" ht="11.25" customHeight="1" x14ac:dyDescent="0.2"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</row>
    <row r="358" spans="2:33" ht="11.25" customHeight="1" x14ac:dyDescent="0.2"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</row>
    <row r="359" spans="2:33" ht="11.25" customHeight="1" x14ac:dyDescent="0.2"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</row>
    <row r="360" spans="2:33" ht="11.25" customHeight="1" x14ac:dyDescent="0.2"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</row>
    <row r="361" spans="2:33" ht="11.25" customHeight="1" x14ac:dyDescent="0.2"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</row>
    <row r="362" spans="2:33" ht="11.25" customHeight="1" x14ac:dyDescent="0.2"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</row>
    <row r="363" spans="2:33" ht="11.25" customHeight="1" x14ac:dyDescent="0.2"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</row>
    <row r="364" spans="2:33" ht="11.25" customHeight="1" x14ac:dyDescent="0.2"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</row>
    <row r="365" spans="2:33" ht="11.25" customHeight="1" x14ac:dyDescent="0.2"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</row>
    <row r="366" spans="2:33" ht="11.25" customHeight="1" x14ac:dyDescent="0.2"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</row>
    <row r="367" spans="2:33" ht="11.25" customHeight="1" x14ac:dyDescent="0.2"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</row>
    <row r="368" spans="2:33" ht="11.25" customHeight="1" x14ac:dyDescent="0.2"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</row>
    <row r="369" spans="2:33" ht="11.25" customHeight="1" x14ac:dyDescent="0.2"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</row>
    <row r="370" spans="2:33" ht="11.25" customHeight="1" x14ac:dyDescent="0.2"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</row>
    <row r="371" spans="2:33" ht="11.25" customHeight="1" x14ac:dyDescent="0.2"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</row>
    <row r="372" spans="2:33" ht="11.25" customHeight="1" x14ac:dyDescent="0.2"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</row>
    <row r="373" spans="2:33" ht="11.25" customHeight="1" x14ac:dyDescent="0.2"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</row>
    <row r="374" spans="2:33" ht="11.25" customHeight="1" x14ac:dyDescent="0.2"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</row>
    <row r="375" spans="2:33" ht="11.25" customHeight="1" x14ac:dyDescent="0.2"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</row>
    <row r="376" spans="2:33" ht="11.25" customHeight="1" x14ac:dyDescent="0.2"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</row>
    <row r="377" spans="2:33" ht="11.25" customHeight="1" x14ac:dyDescent="0.2"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</row>
    <row r="378" spans="2:33" ht="11.25" customHeight="1" x14ac:dyDescent="0.2"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</row>
    <row r="379" spans="2:33" ht="11.25" customHeight="1" x14ac:dyDescent="0.2"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</row>
    <row r="380" spans="2:33" ht="11.25" customHeight="1" x14ac:dyDescent="0.2"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</row>
    <row r="381" spans="2:33" ht="11.25" customHeight="1" x14ac:dyDescent="0.2"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</row>
    <row r="382" spans="2:33" ht="11.25" customHeight="1" x14ac:dyDescent="0.2"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</row>
    <row r="383" spans="2:33" ht="11.25" customHeight="1" x14ac:dyDescent="0.2"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</row>
    <row r="384" spans="2:33" ht="11.25" customHeight="1" x14ac:dyDescent="0.2"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</row>
    <row r="385" spans="2:33" ht="11.25" customHeight="1" x14ac:dyDescent="0.2"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</row>
    <row r="386" spans="2:33" ht="11.25" customHeight="1" x14ac:dyDescent="0.2"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</row>
    <row r="387" spans="2:33" ht="11.25" customHeight="1" x14ac:dyDescent="0.2"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</row>
    <row r="388" spans="2:33" ht="11.25" customHeight="1" x14ac:dyDescent="0.2"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</row>
    <row r="389" spans="2:33" ht="11.25" customHeight="1" x14ac:dyDescent="0.2"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</row>
    <row r="390" spans="2:33" ht="11.25" customHeight="1" x14ac:dyDescent="0.2"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</row>
    <row r="391" spans="2:33" ht="11.25" customHeight="1" x14ac:dyDescent="0.2"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</row>
    <row r="392" spans="2:33" ht="11.25" customHeight="1" x14ac:dyDescent="0.2"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</row>
    <row r="393" spans="2:33" ht="11.25" customHeight="1" x14ac:dyDescent="0.2"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</row>
    <row r="394" spans="2:33" ht="11.25" customHeight="1" x14ac:dyDescent="0.2"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</row>
    <row r="395" spans="2:33" ht="11.25" customHeight="1" x14ac:dyDescent="0.2"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</row>
    <row r="396" spans="2:33" ht="11.25" customHeight="1" x14ac:dyDescent="0.2"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</row>
    <row r="397" spans="2:33" ht="11.25" customHeight="1" x14ac:dyDescent="0.2"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</row>
    <row r="398" spans="2:33" ht="11.25" customHeight="1" x14ac:dyDescent="0.2"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</row>
    <row r="399" spans="2:33" ht="11.25" customHeight="1" x14ac:dyDescent="0.2"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</row>
    <row r="400" spans="2:33" ht="11.25" customHeight="1" x14ac:dyDescent="0.2"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</row>
    <row r="401" spans="2:33" ht="11.25" customHeight="1" x14ac:dyDescent="0.2"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</row>
    <row r="402" spans="2:33" ht="11.25" customHeight="1" x14ac:dyDescent="0.2"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</row>
    <row r="403" spans="2:33" ht="11.25" customHeight="1" x14ac:dyDescent="0.2"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</row>
    <row r="404" spans="2:33" ht="11.25" customHeight="1" x14ac:dyDescent="0.2"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</row>
    <row r="405" spans="2:33" ht="11.25" customHeight="1" x14ac:dyDescent="0.2"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</row>
    <row r="406" spans="2:33" ht="11.25" customHeight="1" x14ac:dyDescent="0.2"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</row>
    <row r="407" spans="2:33" ht="11.25" customHeight="1" x14ac:dyDescent="0.2"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</row>
    <row r="408" spans="2:33" ht="11.25" customHeight="1" x14ac:dyDescent="0.2"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</row>
    <row r="409" spans="2:33" ht="11.25" customHeight="1" x14ac:dyDescent="0.2"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</row>
    <row r="410" spans="2:33" ht="11.25" customHeight="1" x14ac:dyDescent="0.2"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</row>
    <row r="411" spans="2:33" ht="11.25" customHeight="1" x14ac:dyDescent="0.2"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</row>
    <row r="412" spans="2:33" ht="11.25" customHeight="1" x14ac:dyDescent="0.2"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</row>
    <row r="413" spans="2:33" ht="11.25" customHeight="1" x14ac:dyDescent="0.2"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</row>
    <row r="414" spans="2:33" ht="11.25" customHeight="1" x14ac:dyDescent="0.2"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</row>
    <row r="415" spans="2:33" ht="11.25" customHeight="1" x14ac:dyDescent="0.2"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</row>
    <row r="416" spans="2:33" ht="11.25" customHeight="1" x14ac:dyDescent="0.2"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</row>
    <row r="417" spans="2:33" ht="11.25" customHeight="1" x14ac:dyDescent="0.2"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</row>
    <row r="418" spans="2:33" ht="11.25" customHeight="1" x14ac:dyDescent="0.2"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</row>
    <row r="419" spans="2:33" ht="11.25" customHeight="1" x14ac:dyDescent="0.2"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</row>
    <row r="420" spans="2:33" ht="11.25" customHeight="1" x14ac:dyDescent="0.2"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</row>
    <row r="421" spans="2:33" ht="11.25" customHeight="1" x14ac:dyDescent="0.2"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</row>
    <row r="422" spans="2:33" ht="11.25" customHeight="1" x14ac:dyDescent="0.2"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</row>
    <row r="423" spans="2:33" ht="11.25" customHeight="1" x14ac:dyDescent="0.2"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</row>
    <row r="424" spans="2:33" ht="11.25" customHeight="1" x14ac:dyDescent="0.2"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</row>
    <row r="425" spans="2:33" ht="11.25" customHeight="1" x14ac:dyDescent="0.2"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</row>
    <row r="426" spans="2:33" ht="11.25" customHeight="1" x14ac:dyDescent="0.2"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</row>
    <row r="427" spans="2:33" ht="11.25" customHeight="1" x14ac:dyDescent="0.2"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</row>
    <row r="428" spans="2:33" ht="11.25" customHeight="1" x14ac:dyDescent="0.2"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</row>
    <row r="429" spans="2:33" ht="11.25" customHeight="1" x14ac:dyDescent="0.2"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</row>
    <row r="430" spans="2:33" ht="11.25" customHeight="1" x14ac:dyDescent="0.2"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</row>
    <row r="431" spans="2:33" ht="11.25" customHeight="1" x14ac:dyDescent="0.2"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</row>
    <row r="432" spans="2:33" ht="11.25" customHeight="1" x14ac:dyDescent="0.2"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</row>
    <row r="433" spans="2:33" ht="11.25" customHeight="1" x14ac:dyDescent="0.2"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</row>
    <row r="434" spans="2:33" ht="11.25" customHeight="1" x14ac:dyDescent="0.2"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</row>
    <row r="435" spans="2:33" ht="11.25" customHeight="1" x14ac:dyDescent="0.2"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</row>
    <row r="436" spans="2:33" ht="11.25" customHeight="1" x14ac:dyDescent="0.2"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</row>
    <row r="437" spans="2:33" ht="11.25" customHeight="1" x14ac:dyDescent="0.2"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</row>
    <row r="438" spans="2:33" ht="11.25" customHeight="1" x14ac:dyDescent="0.2"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</row>
    <row r="439" spans="2:33" ht="11.25" customHeight="1" x14ac:dyDescent="0.2"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</row>
    <row r="440" spans="2:33" ht="11.25" customHeight="1" x14ac:dyDescent="0.2"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</row>
    <row r="441" spans="2:33" ht="11.25" customHeight="1" x14ac:dyDescent="0.2"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</row>
    <row r="442" spans="2:33" ht="11.25" customHeight="1" x14ac:dyDescent="0.2"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</row>
    <row r="443" spans="2:33" ht="11.25" customHeight="1" x14ac:dyDescent="0.2"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</row>
    <row r="444" spans="2:33" ht="11.25" customHeight="1" x14ac:dyDescent="0.2"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</row>
    <row r="445" spans="2:33" ht="11.25" customHeight="1" x14ac:dyDescent="0.2"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</row>
    <row r="446" spans="2:33" ht="11.25" customHeight="1" x14ac:dyDescent="0.2"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</row>
    <row r="447" spans="2:33" ht="11.25" customHeight="1" x14ac:dyDescent="0.2"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</row>
    <row r="448" spans="2:33" ht="11.25" customHeight="1" x14ac:dyDescent="0.2"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</row>
    <row r="449" spans="2:33" ht="11.25" customHeight="1" x14ac:dyDescent="0.2"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</row>
    <row r="450" spans="2:33" ht="11.25" customHeight="1" x14ac:dyDescent="0.2"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</row>
    <row r="451" spans="2:33" ht="11.25" customHeight="1" x14ac:dyDescent="0.2"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</row>
    <row r="452" spans="2:33" ht="11.25" customHeight="1" x14ac:dyDescent="0.2"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</row>
    <row r="453" spans="2:33" ht="11.25" customHeight="1" x14ac:dyDescent="0.2"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</row>
    <row r="454" spans="2:33" ht="11.25" customHeight="1" x14ac:dyDescent="0.2"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</row>
    <row r="455" spans="2:33" ht="11.25" customHeight="1" x14ac:dyDescent="0.2"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</row>
    <row r="456" spans="2:33" ht="11.25" customHeight="1" x14ac:dyDescent="0.2"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</row>
    <row r="457" spans="2:33" ht="11.25" customHeight="1" x14ac:dyDescent="0.2"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</row>
    <row r="458" spans="2:33" ht="11.25" customHeight="1" x14ac:dyDescent="0.2"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</row>
    <row r="459" spans="2:33" ht="11.25" customHeight="1" x14ac:dyDescent="0.2"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</row>
    <row r="460" spans="2:33" ht="11.25" customHeight="1" x14ac:dyDescent="0.2"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</row>
    <row r="461" spans="2:33" ht="11.25" customHeight="1" x14ac:dyDescent="0.2"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</row>
    <row r="462" spans="2:33" ht="11.25" customHeight="1" x14ac:dyDescent="0.2"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</row>
    <row r="463" spans="2:33" ht="11.25" customHeight="1" x14ac:dyDescent="0.2"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</row>
    <row r="464" spans="2:33" ht="11.25" customHeight="1" x14ac:dyDescent="0.2"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</row>
    <row r="465" spans="2:33" ht="11.25" customHeight="1" x14ac:dyDescent="0.2"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</row>
    <row r="466" spans="2:33" ht="11.25" customHeight="1" x14ac:dyDescent="0.2"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</row>
    <row r="467" spans="2:33" ht="11.25" customHeight="1" x14ac:dyDescent="0.2"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</row>
    <row r="468" spans="2:33" ht="11.25" customHeight="1" x14ac:dyDescent="0.2"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</row>
    <row r="469" spans="2:33" ht="11.25" customHeight="1" x14ac:dyDescent="0.2"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</row>
    <row r="470" spans="2:33" ht="11.25" customHeight="1" x14ac:dyDescent="0.2"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</row>
    <row r="471" spans="2:33" ht="11.25" customHeight="1" x14ac:dyDescent="0.2"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</row>
    <row r="472" spans="2:33" ht="11.25" customHeight="1" x14ac:dyDescent="0.2"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</row>
    <row r="473" spans="2:33" ht="11.25" customHeight="1" x14ac:dyDescent="0.2"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</row>
    <row r="474" spans="2:33" ht="11.25" customHeight="1" x14ac:dyDescent="0.2"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</row>
    <row r="475" spans="2:33" ht="11.25" customHeight="1" x14ac:dyDescent="0.2"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</row>
    <row r="476" spans="2:33" ht="11.25" customHeight="1" x14ac:dyDescent="0.2"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</row>
    <row r="477" spans="2:33" ht="11.25" customHeight="1" x14ac:dyDescent="0.2"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</row>
    <row r="478" spans="2:33" ht="11.25" customHeight="1" x14ac:dyDescent="0.2"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</row>
    <row r="479" spans="2:33" ht="11.25" customHeight="1" x14ac:dyDescent="0.2"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</row>
    <row r="480" spans="2:33" ht="11.25" customHeight="1" x14ac:dyDescent="0.2"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</row>
    <row r="481" spans="2:33" ht="11.25" customHeight="1" x14ac:dyDescent="0.2"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</row>
    <row r="482" spans="2:33" ht="11.25" customHeight="1" x14ac:dyDescent="0.2"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</row>
    <row r="483" spans="2:33" ht="11.25" customHeight="1" x14ac:dyDescent="0.2"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</row>
    <row r="484" spans="2:33" ht="11.25" customHeight="1" x14ac:dyDescent="0.2"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</row>
    <row r="485" spans="2:33" ht="11.25" customHeight="1" x14ac:dyDescent="0.2"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</row>
    <row r="486" spans="2:33" ht="11.25" customHeight="1" x14ac:dyDescent="0.2"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</row>
    <row r="487" spans="2:33" ht="11.25" customHeight="1" x14ac:dyDescent="0.2"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</row>
    <row r="488" spans="2:33" ht="11.25" customHeight="1" x14ac:dyDescent="0.2"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</row>
    <row r="489" spans="2:33" ht="11.25" customHeight="1" x14ac:dyDescent="0.2"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</row>
    <row r="490" spans="2:33" ht="11.25" customHeight="1" x14ac:dyDescent="0.2"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</row>
    <row r="491" spans="2:33" ht="11.25" customHeight="1" x14ac:dyDescent="0.2"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</row>
    <row r="492" spans="2:33" ht="11.25" customHeight="1" x14ac:dyDescent="0.2"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</row>
    <row r="493" spans="2:33" ht="11.25" customHeight="1" x14ac:dyDescent="0.2"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</row>
    <row r="494" spans="2:33" ht="11.25" customHeight="1" x14ac:dyDescent="0.2"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</row>
    <row r="495" spans="2:33" ht="11.25" customHeight="1" x14ac:dyDescent="0.2"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</row>
    <row r="496" spans="2:33" ht="11.25" customHeight="1" x14ac:dyDescent="0.2"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</row>
    <row r="497" spans="2:33" ht="11.25" customHeight="1" x14ac:dyDescent="0.2"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</row>
    <row r="498" spans="2:33" ht="11.25" customHeight="1" x14ac:dyDescent="0.2"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</row>
    <row r="499" spans="2:33" ht="11.25" customHeight="1" x14ac:dyDescent="0.2"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</row>
    <row r="500" spans="2:33" ht="11.25" customHeight="1" x14ac:dyDescent="0.2"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</row>
    <row r="501" spans="2:33" ht="11.25" customHeight="1" x14ac:dyDescent="0.2"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</row>
    <row r="502" spans="2:33" ht="11.25" customHeight="1" x14ac:dyDescent="0.2"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</row>
    <row r="503" spans="2:33" ht="11.25" customHeight="1" x14ac:dyDescent="0.2"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</row>
    <row r="504" spans="2:33" ht="11.25" customHeight="1" x14ac:dyDescent="0.2"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</row>
    <row r="505" spans="2:33" ht="11.25" customHeight="1" x14ac:dyDescent="0.2"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</row>
    <row r="506" spans="2:33" ht="11.25" customHeight="1" x14ac:dyDescent="0.2"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</row>
    <row r="507" spans="2:33" ht="11.25" customHeight="1" x14ac:dyDescent="0.2"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</row>
    <row r="508" spans="2:33" ht="11.25" customHeight="1" x14ac:dyDescent="0.2"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</row>
    <row r="509" spans="2:33" ht="11.25" customHeight="1" x14ac:dyDescent="0.2"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</row>
    <row r="510" spans="2:33" ht="11.25" customHeight="1" x14ac:dyDescent="0.2"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</row>
    <row r="511" spans="2:33" ht="11.25" customHeight="1" x14ac:dyDescent="0.2"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</row>
    <row r="512" spans="2:33" ht="11.25" customHeight="1" x14ac:dyDescent="0.2"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</row>
    <row r="513" spans="2:33" ht="11.25" customHeight="1" x14ac:dyDescent="0.2"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</row>
    <row r="514" spans="2:33" ht="11.25" customHeight="1" x14ac:dyDescent="0.2"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</row>
    <row r="515" spans="2:33" ht="11.25" customHeight="1" x14ac:dyDescent="0.2"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</row>
    <row r="516" spans="2:33" ht="11.25" customHeight="1" x14ac:dyDescent="0.2"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</row>
    <row r="517" spans="2:33" ht="11.25" customHeight="1" x14ac:dyDescent="0.2"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</row>
    <row r="518" spans="2:33" ht="11.25" customHeight="1" x14ac:dyDescent="0.2"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</row>
    <row r="519" spans="2:33" ht="11.25" customHeight="1" x14ac:dyDescent="0.2"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</row>
    <row r="520" spans="2:33" ht="11.25" customHeight="1" x14ac:dyDescent="0.2"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</row>
    <row r="521" spans="2:33" ht="11.25" customHeight="1" x14ac:dyDescent="0.2"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</row>
    <row r="522" spans="2:33" ht="11.25" customHeight="1" x14ac:dyDescent="0.2"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</row>
    <row r="523" spans="2:33" ht="11.25" customHeight="1" x14ac:dyDescent="0.2"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</row>
    <row r="524" spans="2:33" ht="11.25" customHeight="1" x14ac:dyDescent="0.2"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</row>
    <row r="525" spans="2:33" ht="11.25" customHeight="1" x14ac:dyDescent="0.2"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</row>
    <row r="526" spans="2:33" ht="11.25" customHeight="1" x14ac:dyDescent="0.2"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</row>
    <row r="527" spans="2:33" ht="11.25" customHeight="1" x14ac:dyDescent="0.2"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</row>
    <row r="528" spans="2:33" ht="11.25" customHeight="1" x14ac:dyDescent="0.2"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</row>
    <row r="529" spans="2:33" ht="11.25" customHeight="1" x14ac:dyDescent="0.2"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</row>
    <row r="530" spans="2:33" ht="11.25" customHeight="1" x14ac:dyDescent="0.2"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</row>
    <row r="531" spans="2:33" ht="11.25" customHeight="1" x14ac:dyDescent="0.2"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</row>
    <row r="532" spans="2:33" ht="11.25" customHeight="1" x14ac:dyDescent="0.2"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</row>
    <row r="533" spans="2:33" ht="11.25" customHeight="1" x14ac:dyDescent="0.2"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</row>
    <row r="534" spans="2:33" ht="11.25" customHeight="1" x14ac:dyDescent="0.2"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</row>
    <row r="535" spans="2:33" ht="11.25" customHeight="1" x14ac:dyDescent="0.2"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</row>
    <row r="536" spans="2:33" ht="11.25" customHeight="1" x14ac:dyDescent="0.2"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</row>
    <row r="537" spans="2:33" ht="11.25" customHeight="1" x14ac:dyDescent="0.2"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</row>
    <row r="538" spans="2:33" ht="11.25" customHeight="1" x14ac:dyDescent="0.2"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</row>
    <row r="539" spans="2:33" ht="11.25" customHeight="1" x14ac:dyDescent="0.2"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</row>
    <row r="540" spans="2:33" ht="11.25" customHeight="1" x14ac:dyDescent="0.2"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</row>
    <row r="541" spans="2:33" ht="11.25" customHeight="1" x14ac:dyDescent="0.2"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</row>
    <row r="542" spans="2:33" ht="11.25" customHeight="1" x14ac:dyDescent="0.2"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</row>
    <row r="543" spans="2:33" ht="11.25" customHeight="1" x14ac:dyDescent="0.2"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</row>
    <row r="544" spans="2:33" ht="11.25" customHeight="1" x14ac:dyDescent="0.2"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</row>
    <row r="545" spans="2:33" ht="11.25" customHeight="1" x14ac:dyDescent="0.2"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</row>
    <row r="546" spans="2:33" ht="11.25" customHeight="1" x14ac:dyDescent="0.2"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</row>
    <row r="547" spans="2:33" ht="11.25" customHeight="1" x14ac:dyDescent="0.2"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</row>
    <row r="548" spans="2:33" ht="11.25" customHeight="1" x14ac:dyDescent="0.2"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</row>
    <row r="549" spans="2:33" ht="11.25" customHeight="1" x14ac:dyDescent="0.2"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</row>
    <row r="550" spans="2:33" ht="11.25" customHeight="1" x14ac:dyDescent="0.2"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</row>
    <row r="551" spans="2:33" ht="11.25" customHeight="1" x14ac:dyDescent="0.2"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</row>
    <row r="552" spans="2:33" ht="11.25" customHeight="1" x14ac:dyDescent="0.2"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</row>
    <row r="553" spans="2:33" ht="11.25" customHeight="1" x14ac:dyDescent="0.2"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</row>
    <row r="554" spans="2:33" ht="11.25" customHeight="1" x14ac:dyDescent="0.2"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</row>
    <row r="555" spans="2:33" ht="11.25" customHeight="1" x14ac:dyDescent="0.2"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</row>
    <row r="556" spans="2:33" ht="11.25" customHeight="1" x14ac:dyDescent="0.2"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</row>
    <row r="557" spans="2:33" ht="11.25" customHeight="1" x14ac:dyDescent="0.2"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</row>
    <row r="558" spans="2:33" ht="11.25" customHeight="1" x14ac:dyDescent="0.2"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</row>
    <row r="559" spans="2:33" ht="11.25" customHeight="1" x14ac:dyDescent="0.2"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</row>
    <row r="560" spans="2:33" ht="11.25" customHeight="1" x14ac:dyDescent="0.2"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</row>
    <row r="561" spans="2:33" ht="11.25" customHeight="1" x14ac:dyDescent="0.2"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</row>
    <row r="562" spans="2:33" ht="11.25" customHeight="1" x14ac:dyDescent="0.2"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</row>
    <row r="563" spans="2:33" ht="11.25" customHeight="1" x14ac:dyDescent="0.2"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</row>
    <row r="564" spans="2:33" ht="11.25" customHeight="1" x14ac:dyDescent="0.2"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</row>
    <row r="565" spans="2:33" ht="11.25" customHeight="1" x14ac:dyDescent="0.2"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</row>
    <row r="566" spans="2:33" ht="11.25" customHeight="1" x14ac:dyDescent="0.2"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</row>
    <row r="567" spans="2:33" ht="11.25" customHeight="1" x14ac:dyDescent="0.2"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</row>
    <row r="568" spans="2:33" ht="11.25" customHeight="1" x14ac:dyDescent="0.2"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</row>
    <row r="569" spans="2:33" ht="11.25" customHeight="1" x14ac:dyDescent="0.2"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</row>
    <row r="570" spans="2:33" ht="11.25" customHeight="1" x14ac:dyDescent="0.2"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</row>
    <row r="571" spans="2:33" ht="11.25" customHeight="1" x14ac:dyDescent="0.2"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</row>
    <row r="572" spans="2:33" ht="11.25" customHeight="1" x14ac:dyDescent="0.2"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</row>
    <row r="573" spans="2:33" ht="11.25" customHeight="1" x14ac:dyDescent="0.2"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</row>
    <row r="574" spans="2:33" ht="11.25" customHeight="1" x14ac:dyDescent="0.2"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</row>
    <row r="575" spans="2:33" ht="11.25" customHeight="1" x14ac:dyDescent="0.2"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</row>
    <row r="576" spans="2:33" ht="11.25" customHeight="1" x14ac:dyDescent="0.2"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</row>
    <row r="577" spans="2:33" ht="11.25" customHeight="1" x14ac:dyDescent="0.2"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</row>
    <row r="578" spans="2:33" ht="11.25" customHeight="1" x14ac:dyDescent="0.2"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</row>
    <row r="579" spans="2:33" ht="11.25" customHeight="1" x14ac:dyDescent="0.2"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</row>
    <row r="580" spans="2:33" ht="11.25" customHeight="1" x14ac:dyDescent="0.2"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</row>
    <row r="581" spans="2:33" ht="11.25" customHeight="1" x14ac:dyDescent="0.2"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</row>
    <row r="582" spans="2:33" ht="11.25" customHeight="1" x14ac:dyDescent="0.2"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</row>
    <row r="583" spans="2:33" ht="11.25" customHeight="1" x14ac:dyDescent="0.2"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</row>
    <row r="584" spans="2:33" ht="11.25" customHeight="1" x14ac:dyDescent="0.2"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</row>
    <row r="585" spans="2:33" ht="11.25" customHeight="1" x14ac:dyDescent="0.2"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</row>
    <row r="586" spans="2:33" ht="11.25" customHeight="1" x14ac:dyDescent="0.2"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</row>
    <row r="587" spans="2:33" ht="11.25" customHeight="1" x14ac:dyDescent="0.2"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</row>
    <row r="588" spans="2:33" ht="11.25" customHeight="1" x14ac:dyDescent="0.2"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</row>
    <row r="589" spans="2:33" ht="11.25" customHeight="1" x14ac:dyDescent="0.2"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</row>
    <row r="590" spans="2:33" ht="11.25" customHeight="1" x14ac:dyDescent="0.2"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</row>
    <row r="591" spans="2:33" ht="11.25" customHeight="1" x14ac:dyDescent="0.2"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</row>
    <row r="592" spans="2:33" ht="11.25" customHeight="1" x14ac:dyDescent="0.2"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</row>
    <row r="593" spans="2:33" ht="11.25" customHeight="1" x14ac:dyDescent="0.2"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</row>
    <row r="594" spans="2:33" ht="11.25" customHeight="1" x14ac:dyDescent="0.2"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</row>
    <row r="595" spans="2:33" ht="11.25" customHeight="1" x14ac:dyDescent="0.2"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</row>
    <row r="596" spans="2:33" ht="11.25" customHeight="1" x14ac:dyDescent="0.2"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</row>
    <row r="597" spans="2:33" ht="11.25" customHeight="1" x14ac:dyDescent="0.2"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</row>
    <row r="598" spans="2:33" ht="11.25" customHeight="1" x14ac:dyDescent="0.2"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</row>
    <row r="599" spans="2:33" ht="11.25" customHeight="1" x14ac:dyDescent="0.2"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</row>
    <row r="600" spans="2:33" ht="11.25" customHeight="1" x14ac:dyDescent="0.2"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</row>
    <row r="601" spans="2:33" ht="11.25" customHeight="1" x14ac:dyDescent="0.2"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</row>
    <row r="602" spans="2:33" ht="11.25" customHeight="1" x14ac:dyDescent="0.2"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</row>
    <row r="603" spans="2:33" ht="11.25" customHeight="1" x14ac:dyDescent="0.2"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</row>
    <row r="604" spans="2:33" ht="11.25" customHeight="1" x14ac:dyDescent="0.2"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</row>
    <row r="605" spans="2:33" ht="11.25" customHeight="1" x14ac:dyDescent="0.2"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</row>
    <row r="606" spans="2:33" ht="11.25" customHeight="1" x14ac:dyDescent="0.2"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</row>
    <row r="607" spans="2:33" ht="11.25" customHeight="1" x14ac:dyDescent="0.2"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</row>
    <row r="608" spans="2:33" ht="11.25" customHeight="1" x14ac:dyDescent="0.2"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</row>
    <row r="609" spans="2:33" ht="11.25" customHeight="1" x14ac:dyDescent="0.2"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</row>
    <row r="610" spans="2:33" ht="11.25" customHeight="1" x14ac:dyDescent="0.2"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</row>
    <row r="611" spans="2:33" ht="11.25" customHeight="1" x14ac:dyDescent="0.2"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</row>
    <row r="612" spans="2:33" ht="11.25" customHeight="1" x14ac:dyDescent="0.2"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</row>
    <row r="613" spans="2:33" ht="11.25" customHeight="1" x14ac:dyDescent="0.2"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</row>
    <row r="614" spans="2:33" ht="11.25" customHeight="1" x14ac:dyDescent="0.2"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</row>
    <row r="615" spans="2:33" ht="11.25" customHeight="1" x14ac:dyDescent="0.2"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</row>
    <row r="616" spans="2:33" ht="11.25" customHeight="1" x14ac:dyDescent="0.2"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</row>
    <row r="617" spans="2:33" ht="11.25" customHeight="1" x14ac:dyDescent="0.2"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</row>
    <row r="618" spans="2:33" ht="11.25" customHeight="1" x14ac:dyDescent="0.2"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</row>
    <row r="619" spans="2:33" ht="11.25" customHeight="1" x14ac:dyDescent="0.2"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</row>
    <row r="620" spans="2:33" ht="11.25" customHeight="1" x14ac:dyDescent="0.2"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</row>
    <row r="621" spans="2:33" ht="11.25" customHeight="1" x14ac:dyDescent="0.2"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</row>
    <row r="622" spans="2:33" ht="11.25" customHeight="1" x14ac:dyDescent="0.2"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</row>
    <row r="623" spans="2:33" ht="11.25" customHeight="1" x14ac:dyDescent="0.2"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</row>
    <row r="624" spans="2:33" ht="11.25" customHeight="1" x14ac:dyDescent="0.2"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</row>
    <row r="625" spans="2:33" ht="11.25" customHeight="1" x14ac:dyDescent="0.2"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</row>
    <row r="626" spans="2:33" ht="11.25" customHeight="1" x14ac:dyDescent="0.2"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</row>
    <row r="627" spans="2:33" ht="11.25" customHeight="1" x14ac:dyDescent="0.2"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</row>
    <row r="628" spans="2:33" ht="11.25" customHeight="1" x14ac:dyDescent="0.2"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</row>
    <row r="629" spans="2:33" ht="11.25" customHeight="1" x14ac:dyDescent="0.2"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</row>
    <row r="630" spans="2:33" ht="11.25" customHeight="1" x14ac:dyDescent="0.2"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</row>
    <row r="631" spans="2:33" ht="11.25" customHeight="1" x14ac:dyDescent="0.2"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</row>
    <row r="632" spans="2:33" ht="11.25" customHeight="1" x14ac:dyDescent="0.2"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</row>
    <row r="633" spans="2:33" ht="11.25" customHeight="1" x14ac:dyDescent="0.2"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</row>
    <row r="634" spans="2:33" ht="11.25" customHeight="1" x14ac:dyDescent="0.2"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</row>
    <row r="635" spans="2:33" ht="11.25" customHeight="1" x14ac:dyDescent="0.2"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</row>
    <row r="636" spans="2:33" ht="11.25" customHeight="1" x14ac:dyDescent="0.2"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</row>
    <row r="637" spans="2:33" ht="11.25" customHeight="1" x14ac:dyDescent="0.2"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</row>
    <row r="638" spans="2:33" ht="11.25" customHeight="1" x14ac:dyDescent="0.2"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</row>
    <row r="639" spans="2:33" ht="11.25" customHeight="1" x14ac:dyDescent="0.2"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</row>
    <row r="640" spans="2:33" ht="11.25" customHeight="1" x14ac:dyDescent="0.2"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</row>
    <row r="641" spans="2:33" ht="11.25" customHeight="1" x14ac:dyDescent="0.2"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</row>
    <row r="642" spans="2:33" ht="11.25" customHeight="1" x14ac:dyDescent="0.2"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</row>
    <row r="643" spans="2:33" ht="11.25" customHeight="1" x14ac:dyDescent="0.2"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</row>
    <row r="644" spans="2:33" ht="11.25" customHeight="1" x14ac:dyDescent="0.2"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</row>
    <row r="645" spans="2:33" ht="11.25" customHeight="1" x14ac:dyDescent="0.2"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</row>
    <row r="646" spans="2:33" ht="11.25" customHeight="1" x14ac:dyDescent="0.2"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</row>
    <row r="647" spans="2:33" ht="11.25" customHeight="1" x14ac:dyDescent="0.2"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</row>
    <row r="648" spans="2:33" ht="11.25" customHeight="1" x14ac:dyDescent="0.2"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</row>
    <row r="649" spans="2:33" ht="11.25" customHeight="1" x14ac:dyDescent="0.2"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</row>
    <row r="650" spans="2:33" ht="11.25" customHeight="1" x14ac:dyDescent="0.2"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</row>
    <row r="651" spans="2:33" ht="11.25" customHeight="1" x14ac:dyDescent="0.2"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</row>
    <row r="652" spans="2:33" ht="11.25" customHeight="1" x14ac:dyDescent="0.2"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</row>
    <row r="653" spans="2:33" ht="11.25" customHeight="1" x14ac:dyDescent="0.2"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</row>
    <row r="654" spans="2:33" ht="11.25" customHeight="1" x14ac:dyDescent="0.2"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</row>
    <row r="655" spans="2:33" ht="11.25" customHeight="1" x14ac:dyDescent="0.2"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</row>
    <row r="656" spans="2:33" ht="11.25" customHeight="1" x14ac:dyDescent="0.2"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</row>
    <row r="657" spans="2:33" ht="11.25" customHeight="1" x14ac:dyDescent="0.2"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</row>
    <row r="658" spans="2:33" ht="11.25" customHeight="1" x14ac:dyDescent="0.2"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</row>
    <row r="659" spans="2:33" ht="11.25" customHeight="1" x14ac:dyDescent="0.2"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</row>
    <row r="660" spans="2:33" ht="11.25" customHeight="1" x14ac:dyDescent="0.2"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</row>
    <row r="661" spans="2:33" ht="11.25" customHeight="1" x14ac:dyDescent="0.2"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</row>
    <row r="662" spans="2:33" ht="11.25" customHeight="1" x14ac:dyDescent="0.2"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</row>
    <row r="663" spans="2:33" ht="11.25" customHeight="1" x14ac:dyDescent="0.2"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</row>
    <row r="664" spans="2:33" ht="11.25" customHeight="1" x14ac:dyDescent="0.2"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</row>
    <row r="665" spans="2:33" ht="11.25" customHeight="1" x14ac:dyDescent="0.2"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</row>
    <row r="666" spans="2:33" ht="11.25" customHeight="1" x14ac:dyDescent="0.2"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</row>
    <row r="667" spans="2:33" ht="11.25" customHeight="1" x14ac:dyDescent="0.2"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</row>
    <row r="668" spans="2:33" ht="11.25" customHeight="1" x14ac:dyDescent="0.2"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</row>
    <row r="669" spans="2:33" ht="11.25" customHeight="1" x14ac:dyDescent="0.2"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</row>
    <row r="670" spans="2:33" ht="11.25" customHeight="1" x14ac:dyDescent="0.2"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</row>
    <row r="671" spans="2:33" ht="11.25" customHeight="1" x14ac:dyDescent="0.2"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</row>
    <row r="672" spans="2:33" ht="11.25" customHeight="1" x14ac:dyDescent="0.2"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</row>
    <row r="673" spans="2:33" ht="11.25" customHeight="1" x14ac:dyDescent="0.2"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</row>
    <row r="674" spans="2:33" ht="11.25" customHeight="1" x14ac:dyDescent="0.2"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</row>
    <row r="675" spans="2:33" ht="11.25" customHeight="1" x14ac:dyDescent="0.2"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</row>
    <row r="676" spans="2:33" ht="11.25" customHeight="1" x14ac:dyDescent="0.2"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</row>
    <row r="677" spans="2:33" ht="11.25" customHeight="1" x14ac:dyDescent="0.2"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</row>
    <row r="678" spans="2:33" ht="11.25" customHeight="1" x14ac:dyDescent="0.2"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</row>
    <row r="679" spans="2:33" ht="11.25" customHeight="1" x14ac:dyDescent="0.2"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</row>
    <row r="680" spans="2:33" ht="11.25" customHeight="1" x14ac:dyDescent="0.2"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</row>
    <row r="681" spans="2:33" ht="11.25" customHeight="1" x14ac:dyDescent="0.2"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</row>
    <row r="682" spans="2:33" ht="11.25" customHeight="1" x14ac:dyDescent="0.2"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</row>
    <row r="683" spans="2:33" ht="11.25" customHeight="1" x14ac:dyDescent="0.2"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</row>
    <row r="684" spans="2:33" ht="11.25" customHeight="1" x14ac:dyDescent="0.2"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</row>
    <row r="685" spans="2:33" ht="11.25" customHeight="1" x14ac:dyDescent="0.2"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</row>
    <row r="686" spans="2:33" ht="11.25" customHeight="1" x14ac:dyDescent="0.2"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</row>
    <row r="687" spans="2:33" ht="11.25" customHeight="1" x14ac:dyDescent="0.2"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</row>
    <row r="688" spans="2:33" ht="11.25" customHeight="1" x14ac:dyDescent="0.2"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</row>
    <row r="689" spans="2:33" ht="11.25" customHeight="1" x14ac:dyDescent="0.2"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</row>
    <row r="690" spans="2:33" ht="11.25" customHeight="1" x14ac:dyDescent="0.2"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</row>
    <row r="691" spans="2:33" ht="11.25" customHeight="1" x14ac:dyDescent="0.2"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</row>
    <row r="692" spans="2:33" ht="11.25" customHeight="1" x14ac:dyDescent="0.2"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</row>
    <row r="693" spans="2:33" ht="11.25" customHeight="1" x14ac:dyDescent="0.2"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</row>
    <row r="694" spans="2:33" ht="11.25" customHeight="1" x14ac:dyDescent="0.2"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</row>
    <row r="695" spans="2:33" ht="11.25" customHeight="1" x14ac:dyDescent="0.2"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</row>
    <row r="696" spans="2:33" ht="11.25" customHeight="1" x14ac:dyDescent="0.2"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</row>
    <row r="697" spans="2:33" ht="11.25" customHeight="1" x14ac:dyDescent="0.2"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</row>
    <row r="698" spans="2:33" ht="11.25" customHeight="1" x14ac:dyDescent="0.2"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</row>
    <row r="699" spans="2:33" ht="11.25" customHeight="1" x14ac:dyDescent="0.2"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</row>
    <row r="700" spans="2:33" ht="11.25" customHeight="1" x14ac:dyDescent="0.2"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</row>
    <row r="701" spans="2:33" ht="11.25" customHeight="1" x14ac:dyDescent="0.2"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</row>
    <row r="702" spans="2:33" ht="11.25" customHeight="1" x14ac:dyDescent="0.2"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</row>
    <row r="703" spans="2:33" ht="11.25" customHeight="1" x14ac:dyDescent="0.2"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</row>
    <row r="704" spans="2:33" ht="11.25" customHeight="1" x14ac:dyDescent="0.2"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</row>
    <row r="705" spans="2:33" ht="11.25" customHeight="1" x14ac:dyDescent="0.2"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</row>
    <row r="706" spans="2:33" ht="11.25" customHeight="1" x14ac:dyDescent="0.2"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</row>
    <row r="707" spans="2:33" ht="11.25" customHeight="1" x14ac:dyDescent="0.2"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</row>
    <row r="708" spans="2:33" ht="11.25" customHeight="1" x14ac:dyDescent="0.2"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</row>
    <row r="709" spans="2:33" ht="11.25" customHeight="1" x14ac:dyDescent="0.2"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</row>
    <row r="710" spans="2:33" ht="11.25" customHeight="1" x14ac:dyDescent="0.2"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</row>
    <row r="711" spans="2:33" ht="11.25" customHeight="1" x14ac:dyDescent="0.2"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</row>
    <row r="712" spans="2:33" ht="11.25" customHeight="1" x14ac:dyDescent="0.2"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</row>
    <row r="713" spans="2:33" ht="11.25" customHeight="1" x14ac:dyDescent="0.2"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</row>
    <row r="714" spans="2:33" ht="11.25" customHeight="1" x14ac:dyDescent="0.2"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</row>
    <row r="715" spans="2:33" ht="11.25" customHeight="1" x14ac:dyDescent="0.2"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</row>
    <row r="716" spans="2:33" ht="11.25" customHeight="1" x14ac:dyDescent="0.2"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</row>
    <row r="717" spans="2:33" ht="11.25" customHeight="1" x14ac:dyDescent="0.2"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</row>
    <row r="718" spans="2:33" ht="11.25" customHeight="1" x14ac:dyDescent="0.2"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</row>
    <row r="719" spans="2:33" ht="11.25" customHeight="1" x14ac:dyDescent="0.2"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</row>
    <row r="720" spans="2:33" ht="11.25" customHeight="1" x14ac:dyDescent="0.2"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</row>
    <row r="721" spans="2:33" ht="11.25" customHeight="1" x14ac:dyDescent="0.2"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</row>
    <row r="722" spans="2:33" ht="11.25" customHeight="1" x14ac:dyDescent="0.2"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</row>
    <row r="723" spans="2:33" ht="11.25" customHeight="1" x14ac:dyDescent="0.2"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</row>
    <row r="724" spans="2:33" ht="11.25" customHeight="1" x14ac:dyDescent="0.2"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</row>
    <row r="725" spans="2:33" ht="11.25" customHeight="1" x14ac:dyDescent="0.2"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</row>
    <row r="726" spans="2:33" ht="11.25" customHeight="1" x14ac:dyDescent="0.2"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</row>
    <row r="727" spans="2:33" ht="11.25" customHeight="1" x14ac:dyDescent="0.2"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</row>
    <row r="728" spans="2:33" ht="11.25" customHeight="1" x14ac:dyDescent="0.2"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</row>
    <row r="729" spans="2:33" ht="11.25" customHeight="1" x14ac:dyDescent="0.2"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</row>
    <row r="730" spans="2:33" ht="11.25" customHeight="1" x14ac:dyDescent="0.2"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</row>
    <row r="731" spans="2:33" ht="11.25" customHeight="1" x14ac:dyDescent="0.2"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</row>
    <row r="732" spans="2:33" ht="11.25" customHeight="1" x14ac:dyDescent="0.2"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</row>
    <row r="733" spans="2:33" ht="11.25" customHeight="1" x14ac:dyDescent="0.2"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</row>
    <row r="734" spans="2:33" ht="11.25" customHeight="1" x14ac:dyDescent="0.2"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</row>
    <row r="735" spans="2:33" ht="11.25" customHeight="1" x14ac:dyDescent="0.2"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</row>
    <row r="736" spans="2:33" ht="11.25" customHeight="1" x14ac:dyDescent="0.2"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</row>
    <row r="737" spans="2:33" ht="11.25" customHeight="1" x14ac:dyDescent="0.2"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</row>
    <row r="738" spans="2:33" ht="11.25" customHeight="1" x14ac:dyDescent="0.2"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</row>
    <row r="739" spans="2:33" ht="11.25" customHeight="1" x14ac:dyDescent="0.2"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</row>
    <row r="740" spans="2:33" ht="11.25" customHeight="1" x14ac:dyDescent="0.2"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</row>
    <row r="741" spans="2:33" ht="11.25" customHeight="1" x14ac:dyDescent="0.2"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</row>
    <row r="742" spans="2:33" ht="11.25" customHeight="1" x14ac:dyDescent="0.2"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</row>
    <row r="743" spans="2:33" ht="11.25" customHeight="1" x14ac:dyDescent="0.2"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</row>
    <row r="744" spans="2:33" ht="11.25" customHeight="1" x14ac:dyDescent="0.2"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</row>
    <row r="745" spans="2:33" ht="11.25" customHeight="1" x14ac:dyDescent="0.2"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</row>
    <row r="746" spans="2:33" ht="11.25" customHeight="1" x14ac:dyDescent="0.2"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</row>
    <row r="747" spans="2:33" ht="11.25" customHeight="1" x14ac:dyDescent="0.2"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</row>
    <row r="748" spans="2:33" ht="11.25" customHeight="1" x14ac:dyDescent="0.2"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</row>
    <row r="749" spans="2:33" ht="11.25" customHeight="1" x14ac:dyDescent="0.2"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</row>
    <row r="750" spans="2:33" ht="11.25" customHeight="1" x14ac:dyDescent="0.2"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</row>
    <row r="751" spans="2:33" ht="11.25" customHeight="1" x14ac:dyDescent="0.2"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</row>
    <row r="752" spans="2:33" ht="11.25" customHeight="1" x14ac:dyDescent="0.2"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</row>
    <row r="753" spans="2:33" ht="11.25" customHeight="1" x14ac:dyDescent="0.2"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</row>
    <row r="754" spans="2:33" ht="11.25" customHeight="1" x14ac:dyDescent="0.2"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</row>
    <row r="755" spans="2:33" ht="11.25" customHeight="1" x14ac:dyDescent="0.2"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</row>
    <row r="756" spans="2:33" ht="11.25" customHeight="1" x14ac:dyDescent="0.2"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</row>
    <row r="757" spans="2:33" ht="11.25" customHeight="1" x14ac:dyDescent="0.2"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</row>
    <row r="758" spans="2:33" ht="11.25" customHeight="1" x14ac:dyDescent="0.2"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</row>
    <row r="759" spans="2:33" ht="11.25" customHeight="1" x14ac:dyDescent="0.2"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</row>
    <row r="760" spans="2:33" ht="11.25" customHeight="1" x14ac:dyDescent="0.2"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</row>
    <row r="761" spans="2:33" ht="11.25" customHeight="1" x14ac:dyDescent="0.2"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</row>
    <row r="762" spans="2:33" ht="11.25" customHeight="1" x14ac:dyDescent="0.2"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</row>
    <row r="763" spans="2:33" ht="11.25" customHeight="1" x14ac:dyDescent="0.2"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</row>
    <row r="764" spans="2:33" ht="11.25" customHeight="1" x14ac:dyDescent="0.2"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</row>
    <row r="765" spans="2:33" ht="11.25" customHeight="1" x14ac:dyDescent="0.2"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</row>
    <row r="766" spans="2:33" ht="11.25" customHeight="1" x14ac:dyDescent="0.2"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</row>
    <row r="767" spans="2:33" ht="11.25" customHeight="1" x14ac:dyDescent="0.2"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</row>
    <row r="768" spans="2:33" ht="11.25" customHeight="1" x14ac:dyDescent="0.2"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</row>
    <row r="769" spans="2:33" ht="11.25" customHeight="1" x14ac:dyDescent="0.2"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</row>
    <row r="770" spans="2:33" ht="11.25" customHeight="1" x14ac:dyDescent="0.2"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</row>
    <row r="771" spans="2:33" ht="11.25" customHeight="1" x14ac:dyDescent="0.2"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</row>
    <row r="772" spans="2:33" ht="11.25" customHeight="1" x14ac:dyDescent="0.2"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</row>
    <row r="773" spans="2:33" ht="11.25" customHeight="1" x14ac:dyDescent="0.2"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</row>
    <row r="774" spans="2:33" ht="11.25" customHeight="1" x14ac:dyDescent="0.2"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</row>
    <row r="775" spans="2:33" ht="11.25" customHeight="1" x14ac:dyDescent="0.2"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</row>
    <row r="776" spans="2:33" ht="11.25" customHeight="1" x14ac:dyDescent="0.2"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</row>
    <row r="777" spans="2:33" ht="11.25" customHeight="1" x14ac:dyDescent="0.2"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</row>
    <row r="778" spans="2:33" ht="11.25" customHeight="1" x14ac:dyDescent="0.2"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</row>
    <row r="779" spans="2:33" ht="11.25" customHeight="1" x14ac:dyDescent="0.2"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</row>
    <row r="780" spans="2:33" ht="11.25" customHeight="1" x14ac:dyDescent="0.2"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</row>
    <row r="781" spans="2:33" ht="11.25" customHeight="1" x14ac:dyDescent="0.2"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</row>
    <row r="782" spans="2:33" ht="11.25" customHeight="1" x14ac:dyDescent="0.2"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</row>
    <row r="783" spans="2:33" ht="11.25" customHeight="1" x14ac:dyDescent="0.2"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</row>
    <row r="784" spans="2:33" ht="11.25" customHeight="1" x14ac:dyDescent="0.2"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</row>
    <row r="785" spans="2:33" ht="11.25" customHeight="1" x14ac:dyDescent="0.2"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</row>
    <row r="786" spans="2:33" ht="11.25" customHeight="1" x14ac:dyDescent="0.2"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</row>
    <row r="787" spans="2:33" ht="11.25" customHeight="1" x14ac:dyDescent="0.2"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</row>
    <row r="788" spans="2:33" ht="11.25" customHeight="1" x14ac:dyDescent="0.2"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</row>
    <row r="789" spans="2:33" ht="11.25" customHeight="1" x14ac:dyDescent="0.2"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</row>
    <row r="790" spans="2:33" ht="11.25" customHeight="1" x14ac:dyDescent="0.2"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</row>
    <row r="791" spans="2:33" ht="11.25" customHeight="1" x14ac:dyDescent="0.2"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</row>
    <row r="792" spans="2:33" ht="11.25" customHeight="1" x14ac:dyDescent="0.2"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</row>
    <row r="793" spans="2:33" ht="11.25" customHeight="1" x14ac:dyDescent="0.2"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</row>
    <row r="794" spans="2:33" ht="11.25" customHeight="1" x14ac:dyDescent="0.2"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</row>
    <row r="795" spans="2:33" ht="11.25" customHeight="1" x14ac:dyDescent="0.2"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</row>
    <row r="796" spans="2:33" ht="11.25" customHeight="1" x14ac:dyDescent="0.2"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</row>
    <row r="797" spans="2:33" ht="11.25" customHeight="1" x14ac:dyDescent="0.2"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</row>
    <row r="798" spans="2:33" ht="11.25" customHeight="1" x14ac:dyDescent="0.2"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</row>
    <row r="799" spans="2:33" ht="11.25" customHeight="1" x14ac:dyDescent="0.2"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</row>
    <row r="800" spans="2:33" ht="11.25" customHeight="1" x14ac:dyDescent="0.2"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</row>
    <row r="801" spans="2:33" ht="11.25" customHeight="1" x14ac:dyDescent="0.2"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</row>
    <row r="802" spans="2:33" ht="11.25" customHeight="1" x14ac:dyDescent="0.2"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</row>
    <row r="803" spans="2:33" ht="11.25" customHeight="1" x14ac:dyDescent="0.2"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</row>
    <row r="804" spans="2:33" ht="11.25" customHeight="1" x14ac:dyDescent="0.2"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</row>
    <row r="805" spans="2:33" ht="11.25" customHeight="1" x14ac:dyDescent="0.2"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</row>
    <row r="806" spans="2:33" ht="11.25" customHeight="1" x14ac:dyDescent="0.2"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</row>
    <row r="807" spans="2:33" ht="11.25" customHeight="1" x14ac:dyDescent="0.2"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</row>
    <row r="808" spans="2:33" ht="11.25" customHeight="1" x14ac:dyDescent="0.2"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</row>
    <row r="809" spans="2:33" ht="11.25" customHeight="1" x14ac:dyDescent="0.2"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</row>
    <row r="810" spans="2:33" ht="11.25" customHeight="1" x14ac:dyDescent="0.2"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</row>
    <row r="811" spans="2:33" ht="11.25" customHeight="1" x14ac:dyDescent="0.2"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</row>
    <row r="812" spans="2:33" ht="11.25" customHeight="1" x14ac:dyDescent="0.2"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</row>
    <row r="813" spans="2:33" ht="11.25" customHeight="1" x14ac:dyDescent="0.2"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</row>
    <row r="814" spans="2:33" ht="11.25" customHeight="1" x14ac:dyDescent="0.2"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</row>
    <row r="815" spans="2:33" ht="11.25" customHeight="1" x14ac:dyDescent="0.2"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</row>
    <row r="816" spans="2:33" ht="11.25" customHeight="1" x14ac:dyDescent="0.2"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</row>
    <row r="817" spans="2:33" ht="11.25" customHeight="1" x14ac:dyDescent="0.2"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</row>
    <row r="818" spans="2:33" ht="11.25" customHeight="1" x14ac:dyDescent="0.2"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</row>
    <row r="819" spans="2:33" ht="11.25" customHeight="1" x14ac:dyDescent="0.2"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</row>
    <row r="820" spans="2:33" ht="11.25" customHeight="1" x14ac:dyDescent="0.2"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</row>
    <row r="821" spans="2:33" ht="11.25" customHeight="1" x14ac:dyDescent="0.2"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</row>
    <row r="822" spans="2:33" ht="11.25" customHeight="1" x14ac:dyDescent="0.2"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</row>
    <row r="823" spans="2:33" ht="11.25" customHeight="1" x14ac:dyDescent="0.2"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</row>
    <row r="824" spans="2:33" ht="11.25" customHeight="1" x14ac:dyDescent="0.2"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</row>
    <row r="825" spans="2:33" ht="11.25" customHeight="1" x14ac:dyDescent="0.2"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</row>
    <row r="826" spans="2:33" ht="11.25" customHeight="1" x14ac:dyDescent="0.2"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</row>
    <row r="827" spans="2:33" ht="11.25" customHeight="1" x14ac:dyDescent="0.2"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</row>
    <row r="828" spans="2:33" ht="11.25" customHeight="1" x14ac:dyDescent="0.2"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</row>
    <row r="829" spans="2:33" ht="11.25" customHeight="1" x14ac:dyDescent="0.2"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</row>
    <row r="830" spans="2:33" ht="11.25" customHeight="1" x14ac:dyDescent="0.2"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</row>
    <row r="831" spans="2:33" ht="11.25" customHeight="1" x14ac:dyDescent="0.2"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</row>
    <row r="832" spans="2:33" ht="11.25" customHeight="1" x14ac:dyDescent="0.2"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</row>
    <row r="833" spans="2:33" ht="11.25" customHeight="1" x14ac:dyDescent="0.2"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</row>
    <row r="834" spans="2:33" ht="11.25" customHeight="1" x14ac:dyDescent="0.2"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</row>
    <row r="835" spans="2:33" ht="11.25" customHeight="1" x14ac:dyDescent="0.2"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</row>
    <row r="836" spans="2:33" ht="11.25" customHeight="1" x14ac:dyDescent="0.2"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</row>
    <row r="837" spans="2:33" ht="11.25" customHeight="1" x14ac:dyDescent="0.2"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</row>
    <row r="838" spans="2:33" ht="11.25" customHeight="1" x14ac:dyDescent="0.2"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</row>
    <row r="839" spans="2:33" ht="11.25" customHeight="1" x14ac:dyDescent="0.2"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</row>
    <row r="840" spans="2:33" ht="11.25" customHeight="1" x14ac:dyDescent="0.2"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</row>
    <row r="841" spans="2:33" ht="11.25" customHeight="1" x14ac:dyDescent="0.2"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</row>
    <row r="842" spans="2:33" ht="11.25" customHeight="1" x14ac:dyDescent="0.2"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</row>
    <row r="843" spans="2:33" ht="11.25" customHeight="1" x14ac:dyDescent="0.2"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</row>
    <row r="844" spans="2:33" ht="11.25" customHeight="1" x14ac:dyDescent="0.2"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</row>
    <row r="845" spans="2:33" ht="11.25" customHeight="1" x14ac:dyDescent="0.2"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</row>
    <row r="846" spans="2:33" ht="11.25" customHeight="1" x14ac:dyDescent="0.2"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</row>
    <row r="847" spans="2:33" ht="11.25" customHeight="1" x14ac:dyDescent="0.2"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</row>
    <row r="848" spans="2:33" ht="11.25" customHeight="1" x14ac:dyDescent="0.2"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</row>
    <row r="849" spans="2:33" ht="11.25" customHeight="1" x14ac:dyDescent="0.2"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</row>
    <row r="850" spans="2:33" ht="11.25" customHeight="1" x14ac:dyDescent="0.2"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</row>
    <row r="851" spans="2:33" ht="11.25" customHeight="1" x14ac:dyDescent="0.2"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</row>
    <row r="852" spans="2:33" ht="11.25" customHeight="1" x14ac:dyDescent="0.2"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</row>
    <row r="853" spans="2:33" ht="11.25" customHeight="1" x14ac:dyDescent="0.2"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</row>
    <row r="854" spans="2:33" ht="11.25" customHeight="1" x14ac:dyDescent="0.2"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</row>
    <row r="855" spans="2:33" ht="11.25" customHeight="1" x14ac:dyDescent="0.2"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</row>
    <row r="856" spans="2:33" ht="11.25" customHeight="1" x14ac:dyDescent="0.2"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</row>
    <row r="857" spans="2:33" ht="11.25" customHeight="1" x14ac:dyDescent="0.2"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</row>
    <row r="858" spans="2:33" ht="11.25" customHeight="1" x14ac:dyDescent="0.2"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</row>
    <row r="859" spans="2:33" ht="11.25" customHeight="1" x14ac:dyDescent="0.2"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</row>
    <row r="860" spans="2:33" ht="11.25" customHeight="1" x14ac:dyDescent="0.2"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</row>
    <row r="861" spans="2:33" ht="11.25" customHeight="1" x14ac:dyDescent="0.2"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</row>
    <row r="862" spans="2:33" ht="11.25" customHeight="1" x14ac:dyDescent="0.2"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</row>
    <row r="863" spans="2:33" ht="11.25" customHeight="1" x14ac:dyDescent="0.2"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</row>
    <row r="864" spans="2:33" ht="11.25" customHeight="1" x14ac:dyDescent="0.2"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</row>
    <row r="865" spans="2:33" ht="11.25" customHeight="1" x14ac:dyDescent="0.2"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</row>
    <row r="866" spans="2:33" ht="11.25" customHeight="1" x14ac:dyDescent="0.2"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</row>
    <row r="867" spans="2:33" ht="11.25" customHeight="1" x14ac:dyDescent="0.2"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</row>
    <row r="868" spans="2:33" ht="11.25" customHeight="1" x14ac:dyDescent="0.2"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</row>
    <row r="869" spans="2:33" ht="11.25" customHeight="1" x14ac:dyDescent="0.2"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</row>
    <row r="870" spans="2:33" ht="11.25" customHeight="1" x14ac:dyDescent="0.2"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</row>
    <row r="871" spans="2:33" ht="11.25" customHeight="1" x14ac:dyDescent="0.2"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</row>
    <row r="872" spans="2:33" ht="11.25" customHeight="1" x14ac:dyDescent="0.2"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</row>
    <row r="873" spans="2:33" ht="11.25" customHeight="1" x14ac:dyDescent="0.2"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</row>
    <row r="874" spans="2:33" ht="11.25" customHeight="1" x14ac:dyDescent="0.2"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</row>
    <row r="875" spans="2:33" ht="11.25" customHeight="1" x14ac:dyDescent="0.2"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</row>
    <row r="876" spans="2:33" ht="11.25" customHeight="1" x14ac:dyDescent="0.2"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</row>
    <row r="877" spans="2:33" ht="11.25" customHeight="1" x14ac:dyDescent="0.2"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</row>
    <row r="878" spans="2:33" ht="11.25" customHeight="1" x14ac:dyDescent="0.2"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</row>
    <row r="879" spans="2:33" ht="11.25" customHeight="1" x14ac:dyDescent="0.2"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</row>
    <row r="880" spans="2:33" ht="11.25" customHeight="1" x14ac:dyDescent="0.2"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</row>
    <row r="881" spans="2:33" ht="11.25" customHeight="1" x14ac:dyDescent="0.2"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</row>
    <row r="882" spans="2:33" ht="11.25" customHeight="1" x14ac:dyDescent="0.2"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</row>
    <row r="883" spans="2:33" ht="11.25" customHeight="1" x14ac:dyDescent="0.2"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</row>
    <row r="884" spans="2:33" ht="11.25" customHeight="1" x14ac:dyDescent="0.2"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</row>
    <row r="885" spans="2:33" ht="11.25" customHeight="1" x14ac:dyDescent="0.2"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</row>
    <row r="886" spans="2:33" ht="11.25" customHeight="1" x14ac:dyDescent="0.2"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</row>
    <row r="887" spans="2:33" ht="11.25" customHeight="1" x14ac:dyDescent="0.2"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</row>
    <row r="888" spans="2:33" ht="11.25" customHeight="1" x14ac:dyDescent="0.2"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</row>
    <row r="889" spans="2:33" ht="11.25" customHeight="1" x14ac:dyDescent="0.2"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</row>
    <row r="890" spans="2:33" ht="11.25" customHeight="1" x14ac:dyDescent="0.2"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</row>
    <row r="891" spans="2:33" ht="11.25" customHeight="1" x14ac:dyDescent="0.2"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</row>
    <row r="892" spans="2:33" ht="11.25" customHeight="1" x14ac:dyDescent="0.2"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</row>
    <row r="893" spans="2:33" ht="11.25" customHeight="1" x14ac:dyDescent="0.2"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</row>
    <row r="894" spans="2:33" ht="11.25" customHeight="1" x14ac:dyDescent="0.2"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</row>
    <row r="895" spans="2:33" ht="11.25" customHeight="1" x14ac:dyDescent="0.2"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</row>
    <row r="896" spans="2:33" ht="11.25" customHeight="1" x14ac:dyDescent="0.2"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</row>
    <row r="897" spans="2:33" ht="11.25" customHeight="1" x14ac:dyDescent="0.2"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</row>
    <row r="898" spans="2:33" ht="11.25" customHeight="1" x14ac:dyDescent="0.2"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</row>
    <row r="899" spans="2:33" ht="11.25" customHeight="1" x14ac:dyDescent="0.2"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</row>
    <row r="900" spans="2:33" ht="11.25" customHeight="1" x14ac:dyDescent="0.2"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</row>
    <row r="901" spans="2:33" ht="11.25" customHeight="1" x14ac:dyDescent="0.2"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</row>
    <row r="902" spans="2:33" ht="11.25" customHeight="1" x14ac:dyDescent="0.2"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</row>
    <row r="903" spans="2:33" ht="11.25" customHeight="1" x14ac:dyDescent="0.2"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</row>
    <row r="904" spans="2:33" ht="11.25" customHeight="1" x14ac:dyDescent="0.2"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</row>
    <row r="905" spans="2:33" ht="11.25" customHeight="1" x14ac:dyDescent="0.2"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</row>
    <row r="906" spans="2:33" ht="11.25" customHeight="1" x14ac:dyDescent="0.2"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</row>
    <row r="907" spans="2:33" ht="11.25" customHeight="1" x14ac:dyDescent="0.2"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</row>
    <row r="908" spans="2:33" ht="11.25" customHeight="1" x14ac:dyDescent="0.2"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</row>
    <row r="909" spans="2:33" ht="11.25" customHeight="1" x14ac:dyDescent="0.2"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</row>
    <row r="910" spans="2:33" ht="11.25" customHeight="1" x14ac:dyDescent="0.2"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</row>
    <row r="911" spans="2:33" ht="11.25" customHeight="1" x14ac:dyDescent="0.2"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</row>
    <row r="912" spans="2:33" ht="11.25" customHeight="1" x14ac:dyDescent="0.2"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</row>
    <row r="913" spans="2:33" ht="11.25" customHeight="1" x14ac:dyDescent="0.2"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</row>
    <row r="914" spans="2:33" ht="11.25" customHeight="1" x14ac:dyDescent="0.2"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</row>
    <row r="915" spans="2:33" ht="11.25" customHeight="1" x14ac:dyDescent="0.2"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</row>
    <row r="916" spans="2:33" ht="11.25" customHeight="1" x14ac:dyDescent="0.2"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</row>
    <row r="917" spans="2:33" ht="11.25" customHeight="1" x14ac:dyDescent="0.2"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</row>
    <row r="918" spans="2:33" ht="11.25" customHeight="1" x14ac:dyDescent="0.2"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</row>
    <row r="919" spans="2:33" ht="11.25" customHeight="1" x14ac:dyDescent="0.2"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</row>
    <row r="920" spans="2:33" ht="11.25" customHeight="1" x14ac:dyDescent="0.2"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</row>
    <row r="921" spans="2:33" ht="11.25" customHeight="1" x14ac:dyDescent="0.2"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</row>
    <row r="922" spans="2:33" ht="11.25" customHeight="1" x14ac:dyDescent="0.2"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</row>
    <row r="923" spans="2:33" ht="11.25" customHeight="1" x14ac:dyDescent="0.2"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</row>
    <row r="924" spans="2:33" ht="11.25" customHeight="1" x14ac:dyDescent="0.2"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</row>
    <row r="925" spans="2:33" ht="11.25" customHeight="1" x14ac:dyDescent="0.2"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</row>
    <row r="926" spans="2:33" ht="11.25" customHeight="1" x14ac:dyDescent="0.2"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</row>
    <row r="927" spans="2:33" ht="11.25" customHeight="1" x14ac:dyDescent="0.2"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</row>
    <row r="928" spans="2:33" ht="11.25" customHeight="1" x14ac:dyDescent="0.2"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</row>
    <row r="929" spans="2:33" ht="11.25" customHeight="1" x14ac:dyDescent="0.2"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</row>
    <row r="930" spans="2:33" ht="11.25" customHeight="1" x14ac:dyDescent="0.2"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</row>
    <row r="931" spans="2:33" ht="11.25" customHeight="1" x14ac:dyDescent="0.2"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</row>
    <row r="932" spans="2:33" ht="11.25" customHeight="1" x14ac:dyDescent="0.2"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</row>
    <row r="933" spans="2:33" ht="11.25" customHeight="1" x14ac:dyDescent="0.2"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</row>
    <row r="934" spans="2:33" ht="11.25" customHeight="1" x14ac:dyDescent="0.2"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</row>
    <row r="935" spans="2:33" ht="11.25" customHeight="1" x14ac:dyDescent="0.2"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</row>
    <row r="936" spans="2:33" ht="11.25" customHeight="1" x14ac:dyDescent="0.2"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</row>
    <row r="937" spans="2:33" ht="11.25" customHeight="1" x14ac:dyDescent="0.2"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</row>
    <row r="938" spans="2:33" ht="11.25" customHeight="1" x14ac:dyDescent="0.2"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</row>
    <row r="939" spans="2:33" ht="11.25" customHeight="1" x14ac:dyDescent="0.2"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</row>
    <row r="940" spans="2:33" ht="11.25" customHeight="1" x14ac:dyDescent="0.2"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</row>
    <row r="941" spans="2:33" ht="11.25" customHeight="1" x14ac:dyDescent="0.2"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</row>
    <row r="942" spans="2:33" ht="11.25" customHeight="1" x14ac:dyDescent="0.2"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</row>
    <row r="943" spans="2:33" ht="11.25" customHeight="1" x14ac:dyDescent="0.2"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</row>
    <row r="944" spans="2:33" ht="11.25" customHeight="1" x14ac:dyDescent="0.2"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</row>
    <row r="945" spans="2:33" ht="11.25" customHeight="1" x14ac:dyDescent="0.2"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</row>
    <row r="946" spans="2:33" ht="11.25" customHeight="1" x14ac:dyDescent="0.2"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</row>
    <row r="947" spans="2:33" ht="11.25" customHeight="1" x14ac:dyDescent="0.2"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</row>
    <row r="948" spans="2:33" ht="11.25" customHeight="1" x14ac:dyDescent="0.2"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</row>
    <row r="949" spans="2:33" ht="11.25" customHeight="1" x14ac:dyDescent="0.2"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</row>
    <row r="950" spans="2:33" ht="11.25" customHeight="1" x14ac:dyDescent="0.2"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</row>
    <row r="951" spans="2:33" ht="11.25" customHeight="1" x14ac:dyDescent="0.2"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  <c r="AF951" s="80"/>
      <c r="AG951" s="80"/>
    </row>
    <row r="952" spans="2:33" ht="11.25" customHeight="1" x14ac:dyDescent="0.2"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</row>
    <row r="953" spans="2:33" ht="11.25" customHeight="1" x14ac:dyDescent="0.2"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  <c r="AF953" s="80"/>
      <c r="AG953" s="80"/>
    </row>
    <row r="954" spans="2:33" ht="11.25" customHeight="1" x14ac:dyDescent="0.2"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  <c r="AF954" s="80"/>
      <c r="AG954" s="80"/>
    </row>
    <row r="955" spans="2:33" ht="11.25" customHeight="1" x14ac:dyDescent="0.2"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  <c r="AF955" s="80"/>
      <c r="AG955" s="80"/>
    </row>
    <row r="956" spans="2:33" ht="11.25" customHeight="1" x14ac:dyDescent="0.2"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  <c r="AF956" s="80"/>
      <c r="AG956" s="80"/>
    </row>
    <row r="957" spans="2:33" ht="11.25" customHeight="1" x14ac:dyDescent="0.2"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  <c r="AF957" s="80"/>
      <c r="AG957" s="80"/>
    </row>
    <row r="958" spans="2:33" ht="11.25" customHeight="1" x14ac:dyDescent="0.2"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  <c r="AF958" s="80"/>
      <c r="AG958" s="80"/>
    </row>
    <row r="959" spans="2:33" ht="11.25" customHeight="1" x14ac:dyDescent="0.2"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</row>
    <row r="960" spans="2:33" ht="11.25" customHeight="1" x14ac:dyDescent="0.2"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</row>
    <row r="961" spans="2:33" ht="11.25" customHeight="1" x14ac:dyDescent="0.2"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  <c r="AF961" s="80"/>
      <c r="AG961" s="80"/>
    </row>
    <row r="962" spans="2:33" ht="11.25" customHeight="1" x14ac:dyDescent="0.2"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  <c r="AG962" s="80"/>
    </row>
    <row r="963" spans="2:33" ht="11.25" customHeight="1" x14ac:dyDescent="0.2"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</row>
    <row r="964" spans="2:33" ht="11.25" customHeight="1" x14ac:dyDescent="0.2"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</row>
    <row r="965" spans="2:33" ht="11.25" customHeight="1" x14ac:dyDescent="0.2"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  <c r="AF965" s="80"/>
      <c r="AG965" s="80"/>
    </row>
    <row r="966" spans="2:33" ht="11.25" customHeight="1" x14ac:dyDescent="0.2"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  <c r="AF966" s="80"/>
      <c r="AG966" s="80"/>
    </row>
    <row r="967" spans="2:33" ht="11.25" customHeight="1" x14ac:dyDescent="0.2"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  <c r="AF967" s="80"/>
      <c r="AG967" s="80"/>
    </row>
    <row r="968" spans="2:33" ht="11.25" customHeight="1" x14ac:dyDescent="0.2"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  <c r="AF968" s="80"/>
      <c r="AG968" s="80"/>
    </row>
    <row r="969" spans="2:33" ht="11.25" customHeight="1" x14ac:dyDescent="0.2"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  <c r="AF969" s="80"/>
      <c r="AG969" s="80"/>
    </row>
    <row r="970" spans="2:33" ht="11.25" customHeight="1" x14ac:dyDescent="0.2"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  <c r="AF970" s="80"/>
      <c r="AG970" s="80"/>
    </row>
    <row r="971" spans="2:33" ht="11.25" customHeight="1" x14ac:dyDescent="0.2"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</row>
    <row r="972" spans="2:33" ht="11.25" customHeight="1" x14ac:dyDescent="0.2"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  <c r="AF972" s="80"/>
      <c r="AG972" s="80"/>
    </row>
    <row r="973" spans="2:33" ht="11.25" customHeight="1" x14ac:dyDescent="0.2"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  <c r="AF973" s="80"/>
      <c r="AG973" s="80"/>
    </row>
    <row r="974" spans="2:33" ht="11.25" customHeight="1" x14ac:dyDescent="0.2"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  <c r="AF974" s="80"/>
      <c r="AG974" s="80"/>
    </row>
    <row r="975" spans="2:33" ht="11.25" customHeight="1" x14ac:dyDescent="0.2"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  <c r="AF975" s="80"/>
      <c r="AG975" s="80"/>
    </row>
    <row r="976" spans="2:33" ht="11.25" customHeight="1" x14ac:dyDescent="0.2"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  <c r="AE976" s="80"/>
      <c r="AF976" s="80"/>
      <c r="AG976" s="80"/>
    </row>
    <row r="977" spans="2:33" ht="11.25" customHeight="1" x14ac:dyDescent="0.2"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  <c r="AE977" s="80"/>
      <c r="AF977" s="80"/>
      <c r="AG977" s="80"/>
    </row>
    <row r="978" spans="2:33" ht="11.25" customHeight="1" x14ac:dyDescent="0.2"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  <c r="AE978" s="80"/>
      <c r="AF978" s="80"/>
      <c r="AG978" s="80"/>
    </row>
    <row r="979" spans="2:33" ht="11.25" customHeight="1" x14ac:dyDescent="0.2"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  <c r="AE979" s="80"/>
      <c r="AF979" s="80"/>
      <c r="AG979" s="80"/>
    </row>
    <row r="980" spans="2:33" ht="11.25" customHeight="1" x14ac:dyDescent="0.2"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  <c r="AE980" s="80"/>
      <c r="AF980" s="80"/>
      <c r="AG980" s="80"/>
    </row>
    <row r="981" spans="2:33" ht="11.25" customHeight="1" x14ac:dyDescent="0.2"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  <c r="AF981" s="80"/>
      <c r="AG981" s="80"/>
    </row>
    <row r="982" spans="2:33" ht="11.25" customHeight="1" x14ac:dyDescent="0.2"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  <c r="AF982" s="80"/>
      <c r="AG982" s="80"/>
    </row>
    <row r="983" spans="2:33" ht="11.25" customHeight="1" x14ac:dyDescent="0.2"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  <c r="AE983" s="80"/>
      <c r="AF983" s="80"/>
      <c r="AG983" s="80"/>
    </row>
    <row r="984" spans="2:33" ht="11.25" customHeight="1" x14ac:dyDescent="0.2"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  <c r="AF984" s="80"/>
      <c r="AG984" s="80"/>
    </row>
    <row r="985" spans="2:33" ht="11.25" customHeight="1" x14ac:dyDescent="0.2"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  <c r="AF985" s="80"/>
      <c r="AG985" s="80"/>
    </row>
    <row r="986" spans="2:33" ht="11.25" customHeight="1" x14ac:dyDescent="0.2"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  <c r="AF986" s="80"/>
      <c r="AG986" s="80"/>
    </row>
    <row r="987" spans="2:33" ht="11.25" customHeight="1" x14ac:dyDescent="0.2"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  <c r="AF987" s="80"/>
      <c r="AG987" s="80"/>
    </row>
    <row r="988" spans="2:33" ht="11.25" customHeight="1" x14ac:dyDescent="0.2"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  <c r="AF988" s="80"/>
      <c r="AG988" s="80"/>
    </row>
    <row r="989" spans="2:33" ht="11.25" customHeight="1" x14ac:dyDescent="0.2"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  <c r="AE989" s="80"/>
      <c r="AF989" s="80"/>
      <c r="AG989" s="80"/>
    </row>
    <row r="990" spans="2:33" ht="11.25" customHeight="1" x14ac:dyDescent="0.2"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  <c r="AE990" s="80"/>
      <c r="AF990" s="80"/>
      <c r="AG990" s="80"/>
    </row>
    <row r="991" spans="2:33" ht="11.25" customHeight="1" x14ac:dyDescent="0.2"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  <c r="AE991" s="80"/>
      <c r="AF991" s="80"/>
      <c r="AG991" s="80"/>
    </row>
    <row r="992" spans="2:33" ht="11.25" customHeight="1" x14ac:dyDescent="0.2"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  <c r="AF992" s="80"/>
      <c r="AG992" s="80"/>
    </row>
    <row r="993" spans="2:33" ht="11.25" customHeight="1" x14ac:dyDescent="0.2"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  <c r="AF993" s="80"/>
      <c r="AG993" s="80"/>
    </row>
    <row r="994" spans="2:33" ht="11.25" customHeight="1" x14ac:dyDescent="0.2"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  <c r="AF994" s="80"/>
      <c r="AG994" s="80"/>
    </row>
    <row r="995" spans="2:33" ht="11.25" customHeight="1" x14ac:dyDescent="0.2"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  <c r="AE995" s="80"/>
      <c r="AF995" s="80"/>
      <c r="AG995" s="80"/>
    </row>
    <row r="996" spans="2:33" ht="11.25" customHeight="1" x14ac:dyDescent="0.2"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  <c r="AF996" s="80"/>
      <c r="AG996" s="80"/>
    </row>
    <row r="997" spans="2:33" ht="11.25" customHeight="1" x14ac:dyDescent="0.2"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  <c r="AE997" s="80"/>
      <c r="AF997" s="80"/>
      <c r="AG997" s="80"/>
    </row>
    <row r="998" spans="2:33" ht="11.25" customHeight="1" x14ac:dyDescent="0.2"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  <c r="AF998" s="80"/>
      <c r="AG998" s="80"/>
    </row>
  </sheetData>
  <mergeCells count="19">
    <mergeCell ref="B36:B51"/>
    <mergeCell ref="B53:B54"/>
    <mergeCell ref="C53:D53"/>
    <mergeCell ref="B58:C60"/>
    <mergeCell ref="C48:D48"/>
    <mergeCell ref="E3:W5"/>
    <mergeCell ref="B8:C10"/>
    <mergeCell ref="B15:B31"/>
    <mergeCell ref="C16:D16"/>
    <mergeCell ref="F16:W16"/>
    <mergeCell ref="C28:D28"/>
    <mergeCell ref="F28:W28"/>
    <mergeCell ref="F48:W48"/>
    <mergeCell ref="F53:W53"/>
    <mergeCell ref="B33:B34"/>
    <mergeCell ref="C33:D33"/>
    <mergeCell ref="F33:W33"/>
    <mergeCell ref="C36:D36"/>
    <mergeCell ref="F36:W36"/>
  </mergeCells>
  <conditionalFormatting sqref="F17:W26 F29:W31">
    <cfRule type="cellIs" dxfId="4" priority="1" operator="equal">
      <formula>0</formula>
    </cfRule>
  </conditionalFormatting>
  <conditionalFormatting sqref="F34:W34">
    <cfRule type="cellIs" dxfId="3" priority="2" operator="equal">
      <formula>0</formula>
    </cfRule>
  </conditionalFormatting>
  <conditionalFormatting sqref="F37:W46">
    <cfRule type="cellIs" dxfId="2" priority="3" operator="equal">
      <formula>0</formula>
    </cfRule>
  </conditionalFormatting>
  <conditionalFormatting sqref="F49:W51">
    <cfRule type="cellIs" dxfId="1" priority="4" operator="equal">
      <formula>0</formula>
    </cfRule>
  </conditionalFormatting>
  <conditionalFormatting sqref="F54:W54">
    <cfRule type="cellIs" dxfId="0" priority="5" operator="equal">
      <formula>0</formula>
    </cfRule>
  </conditionalFormatting>
  <pageMargins left="0.7" right="0.7" top="0.75" bottom="0.75" header="0" footer="0"/>
  <pageSetup orientation="landscape"/>
  <drawing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L1000"/>
  <sheetViews>
    <sheetView topLeftCell="B1" workbookViewId="0">
      <selection activeCell="Y12" sqref="Y12:Y84"/>
    </sheetView>
  </sheetViews>
  <sheetFormatPr baseColWidth="10" defaultColWidth="14.5" defaultRowHeight="15" customHeight="1" x14ac:dyDescent="0.2"/>
  <cols>
    <col min="1" max="1" width="0.6640625" customWidth="1"/>
    <col min="2" max="2" width="40.5" customWidth="1"/>
    <col min="3" max="3" width="0.6640625" customWidth="1"/>
    <col min="4" max="14" width="12.5" hidden="1" customWidth="1"/>
    <col min="15" max="15" width="11" hidden="1" customWidth="1"/>
    <col min="16" max="27" width="11" customWidth="1"/>
    <col min="28" max="28" width="0.6640625" customWidth="1"/>
    <col min="29" max="29" width="20.33203125" customWidth="1"/>
    <col min="30" max="30" width="18.33203125" customWidth="1"/>
    <col min="31" max="38" width="10.6640625" customWidth="1"/>
  </cols>
  <sheetData>
    <row r="1" spans="1:38" ht="9" customHeight="1" x14ac:dyDescent="0.25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124"/>
      <c r="AC1" s="123"/>
      <c r="AD1" s="125"/>
      <c r="AE1" s="123"/>
      <c r="AF1" s="123"/>
      <c r="AG1" s="123"/>
      <c r="AH1" s="123"/>
      <c r="AI1" s="123"/>
      <c r="AJ1" s="123"/>
      <c r="AK1" s="123"/>
      <c r="AL1" s="123"/>
    </row>
    <row r="2" spans="1:38" ht="9" customHeight="1" x14ac:dyDescent="0.25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124"/>
      <c r="AC2" s="123"/>
      <c r="AD2" s="125"/>
      <c r="AE2" s="123"/>
      <c r="AF2" s="123"/>
      <c r="AG2" s="123"/>
      <c r="AH2" s="123"/>
      <c r="AI2" s="123"/>
      <c r="AJ2" s="123"/>
      <c r="AK2" s="123"/>
      <c r="AL2" s="123"/>
    </row>
    <row r="3" spans="1:38" ht="19.5" customHeight="1" x14ac:dyDescent="0.25">
      <c r="A3" s="123"/>
      <c r="B3" s="329" t="s">
        <v>250</v>
      </c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22"/>
      <c r="AC3" s="322"/>
      <c r="AD3" s="322"/>
      <c r="AE3" s="322"/>
      <c r="AF3" s="330"/>
      <c r="AG3" s="123"/>
      <c r="AH3" s="123"/>
      <c r="AI3" s="123"/>
      <c r="AJ3" s="123"/>
      <c r="AK3" s="123"/>
      <c r="AL3" s="123"/>
    </row>
    <row r="4" spans="1:38" ht="4.5" customHeight="1" thickBot="1" x14ac:dyDescent="0.3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124"/>
      <c r="AC4" s="123"/>
      <c r="AD4" s="125"/>
      <c r="AE4" s="123"/>
      <c r="AF4" s="123"/>
      <c r="AG4" s="123"/>
      <c r="AH4" s="123"/>
      <c r="AI4" s="123"/>
      <c r="AJ4" s="123"/>
      <c r="AK4" s="123"/>
      <c r="AL4" s="123"/>
    </row>
    <row r="5" spans="1:38" ht="16.5" customHeight="1" x14ac:dyDescent="0.2">
      <c r="A5" s="123"/>
      <c r="B5" s="126" t="s">
        <v>99</v>
      </c>
      <c r="C5" s="127"/>
      <c r="D5" s="331" t="s">
        <v>100</v>
      </c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3"/>
      <c r="P5" s="331" t="s">
        <v>100</v>
      </c>
      <c r="Q5" s="332"/>
      <c r="R5" s="332"/>
      <c r="S5" s="332"/>
      <c r="T5" s="332"/>
      <c r="U5" s="332"/>
      <c r="V5" s="332"/>
      <c r="W5" s="332"/>
      <c r="X5" s="332"/>
      <c r="Y5" s="332"/>
      <c r="Z5" s="332"/>
      <c r="AA5" s="333"/>
      <c r="AB5" s="123"/>
      <c r="AC5" s="123"/>
      <c r="AD5" s="125"/>
      <c r="AE5" s="123"/>
      <c r="AF5" s="123"/>
      <c r="AG5" s="123"/>
      <c r="AH5" s="123"/>
      <c r="AI5" s="123"/>
      <c r="AJ5" s="123"/>
      <c r="AK5" s="123"/>
    </row>
    <row r="6" spans="1:38" ht="3" customHeight="1" thickBot="1" x14ac:dyDescent="0.25">
      <c r="A6" s="123"/>
      <c r="B6" s="128"/>
      <c r="C6" s="127"/>
      <c r="D6" s="334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6"/>
      <c r="P6" s="334"/>
      <c r="Q6" s="335"/>
      <c r="R6" s="335"/>
      <c r="S6" s="335"/>
      <c r="T6" s="335"/>
      <c r="U6" s="335"/>
      <c r="V6" s="335"/>
      <c r="W6" s="335"/>
      <c r="X6" s="335"/>
      <c r="Y6" s="335"/>
      <c r="Z6" s="335"/>
      <c r="AA6" s="336"/>
      <c r="AB6" s="123"/>
      <c r="AC6" s="123"/>
      <c r="AD6" s="125"/>
      <c r="AE6" s="123"/>
      <c r="AF6" s="123"/>
      <c r="AG6" s="123"/>
      <c r="AH6" s="123"/>
      <c r="AI6" s="123"/>
      <c r="AJ6" s="123"/>
      <c r="AK6" s="123"/>
    </row>
    <row r="7" spans="1:38" ht="14.25" customHeight="1" thickBot="1" x14ac:dyDescent="0.25">
      <c r="A7" s="123"/>
      <c r="B7" s="126" t="s">
        <v>101</v>
      </c>
      <c r="C7" s="127"/>
      <c r="D7" s="129">
        <v>1</v>
      </c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R7" s="129"/>
      <c r="S7" s="264"/>
      <c r="T7" s="264"/>
      <c r="U7" s="264"/>
      <c r="V7" s="264"/>
      <c r="W7" s="264"/>
      <c r="X7" s="264"/>
      <c r="Y7" s="264"/>
      <c r="Z7" s="264"/>
      <c r="AA7" s="264"/>
      <c r="AB7" s="130"/>
      <c r="AC7" s="123"/>
      <c r="AD7" s="125"/>
      <c r="AE7" s="131"/>
      <c r="AF7" s="123"/>
      <c r="AG7" s="123"/>
      <c r="AH7" s="123"/>
      <c r="AI7" s="123"/>
      <c r="AJ7" s="123"/>
      <c r="AK7" s="123"/>
    </row>
    <row r="8" spans="1:38" ht="3" customHeight="1" thickBot="1" x14ac:dyDescent="0.25">
      <c r="A8" s="123"/>
      <c r="B8" s="128"/>
      <c r="C8" s="127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  <c r="AB8" s="130"/>
      <c r="AC8" s="123"/>
      <c r="AD8" s="125"/>
      <c r="AE8" s="123"/>
      <c r="AF8" s="123"/>
      <c r="AG8" s="123"/>
      <c r="AH8" s="123"/>
      <c r="AI8" s="123"/>
      <c r="AJ8" s="123"/>
      <c r="AK8" s="123"/>
    </row>
    <row r="9" spans="1:38" ht="14.25" customHeight="1" thickBot="1" x14ac:dyDescent="0.25">
      <c r="A9" s="123"/>
      <c r="B9" s="126" t="s">
        <v>102</v>
      </c>
      <c r="C9" s="127"/>
      <c r="D9" s="133">
        <v>45292</v>
      </c>
      <c r="E9" s="133">
        <v>45323</v>
      </c>
      <c r="F9" s="133">
        <v>45352</v>
      </c>
      <c r="G9" s="133">
        <v>45383</v>
      </c>
      <c r="H9" s="133">
        <v>45413</v>
      </c>
      <c r="I9" s="133">
        <v>45444</v>
      </c>
      <c r="J9" s="133">
        <v>45474</v>
      </c>
      <c r="K9" s="133">
        <v>45505</v>
      </c>
      <c r="L9" s="133">
        <v>45536</v>
      </c>
      <c r="M9" s="133">
        <v>45566</v>
      </c>
      <c r="N9" s="133">
        <v>45597</v>
      </c>
      <c r="O9" s="133">
        <v>45627</v>
      </c>
      <c r="P9" s="133">
        <v>45658</v>
      </c>
      <c r="Q9" s="133">
        <v>45689</v>
      </c>
      <c r="R9" s="133">
        <v>45717</v>
      </c>
      <c r="S9" s="133">
        <v>45748</v>
      </c>
      <c r="T9" s="133">
        <v>45778</v>
      </c>
      <c r="U9" s="133">
        <v>45809</v>
      </c>
      <c r="V9" s="133">
        <v>45839</v>
      </c>
      <c r="W9" s="133">
        <v>45870</v>
      </c>
      <c r="X9" s="133">
        <v>45901</v>
      </c>
      <c r="Y9" s="133">
        <v>45931</v>
      </c>
      <c r="Z9" s="133">
        <v>45962</v>
      </c>
      <c r="AA9" s="133">
        <v>45992</v>
      </c>
      <c r="AB9" s="134"/>
      <c r="AC9" s="135" t="s">
        <v>103</v>
      </c>
      <c r="AD9" s="135" t="s">
        <v>104</v>
      </c>
      <c r="AE9" s="123"/>
      <c r="AF9" s="123"/>
      <c r="AG9" s="123"/>
      <c r="AH9" s="123"/>
      <c r="AI9" s="123"/>
      <c r="AJ9" s="123"/>
      <c r="AK9" s="123"/>
    </row>
    <row r="10" spans="1:38" ht="3" customHeight="1" x14ac:dyDescent="0.2">
      <c r="A10" s="123"/>
      <c r="B10" s="128"/>
      <c r="C10" s="127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0"/>
      <c r="AC10" s="123"/>
      <c r="AD10" s="125"/>
      <c r="AE10" s="123"/>
      <c r="AF10" s="123"/>
      <c r="AG10" s="123"/>
      <c r="AH10" s="123"/>
      <c r="AI10" s="123"/>
      <c r="AJ10" s="123"/>
      <c r="AK10" s="123"/>
    </row>
    <row r="11" spans="1:38" ht="14.25" customHeight="1" x14ac:dyDescent="0.2">
      <c r="A11" s="123"/>
      <c r="B11" s="126" t="s">
        <v>105</v>
      </c>
      <c r="C11" s="125"/>
      <c r="AB11" s="123"/>
      <c r="AC11" s="123"/>
      <c r="AD11" s="125"/>
      <c r="AE11" s="123"/>
      <c r="AF11" s="123"/>
      <c r="AG11" s="123"/>
      <c r="AH11" s="123"/>
      <c r="AI11" s="123"/>
      <c r="AJ11" s="123"/>
      <c r="AK11" s="123"/>
    </row>
    <row r="12" spans="1:38" ht="14.25" customHeight="1" x14ac:dyDescent="0.2">
      <c r="A12" s="123"/>
      <c r="B12" s="137" t="s">
        <v>106</v>
      </c>
      <c r="C12" s="138"/>
      <c r="D12" s="139">
        <f>SUM([4]CUENTAS!D12:D37)</f>
        <v>0</v>
      </c>
      <c r="E12" s="139">
        <v>0</v>
      </c>
      <c r="F12" s="139">
        <f>SUM([4]CUENTAS!F12:F37)</f>
        <v>0</v>
      </c>
      <c r="G12" s="139">
        <v>0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0</v>
      </c>
      <c r="Y12" s="139">
        <v>0</v>
      </c>
      <c r="Z12" s="139"/>
      <c r="AA12" s="139"/>
      <c r="AB12" s="140"/>
      <c r="AC12" s="141">
        <f>SUM(P12:AA12)</f>
        <v>0</v>
      </c>
      <c r="AD12" s="141">
        <f>IFERROR(AC12/(COUNT(P12:AA12)),0)</f>
        <v>0</v>
      </c>
      <c r="AE12" s="123"/>
      <c r="AF12" s="142"/>
      <c r="AG12" s="123"/>
      <c r="AH12" s="123"/>
      <c r="AI12" s="123"/>
      <c r="AJ12" s="123"/>
      <c r="AK12" s="123"/>
    </row>
    <row r="13" spans="1:38" ht="14.25" customHeight="1" x14ac:dyDescent="0.2">
      <c r="A13" s="123"/>
      <c r="B13" s="137" t="s">
        <v>107</v>
      </c>
      <c r="C13" s="138"/>
      <c r="D13" s="143">
        <f>SUM([4]CUENTAS!D68:D121)</f>
        <v>0</v>
      </c>
      <c r="E13" s="143">
        <v>0</v>
      </c>
      <c r="F13" s="143">
        <f>SUM([4]CUENTAS!F68:F121)</f>
        <v>0</v>
      </c>
      <c r="G13" s="143">
        <v>0</v>
      </c>
      <c r="H13" s="143">
        <v>0</v>
      </c>
      <c r="I13" s="143">
        <v>0</v>
      </c>
      <c r="J13" s="143">
        <v>0</v>
      </c>
      <c r="K13" s="143">
        <v>0</v>
      </c>
      <c r="L13" s="143" t="s">
        <v>221</v>
      </c>
      <c r="M13" s="143">
        <v>0</v>
      </c>
      <c r="N13" s="143">
        <v>0</v>
      </c>
      <c r="O13" s="143">
        <v>0</v>
      </c>
      <c r="P13" s="143">
        <v>0</v>
      </c>
      <c r="Q13" s="143">
        <v>0</v>
      </c>
      <c r="R13" s="143">
        <v>0</v>
      </c>
      <c r="S13" s="143">
        <v>0</v>
      </c>
      <c r="T13" s="143">
        <v>0</v>
      </c>
      <c r="U13" s="143">
        <v>0</v>
      </c>
      <c r="V13" s="143">
        <v>0</v>
      </c>
      <c r="W13" s="143">
        <v>0</v>
      </c>
      <c r="X13" s="143">
        <v>0</v>
      </c>
      <c r="Y13" s="143">
        <v>0</v>
      </c>
      <c r="Z13" s="143"/>
      <c r="AA13" s="143"/>
      <c r="AB13" s="144"/>
      <c r="AC13" s="145">
        <f t="shared" ref="AC13:AC14" si="0">SUM(P13:AA13)</f>
        <v>0</v>
      </c>
      <c r="AD13" s="145">
        <f t="shared" ref="AD13:AD14" si="1">IFERROR(AC13/(COUNT(P13:AA13)),0)</f>
        <v>0</v>
      </c>
      <c r="AE13" s="123"/>
      <c r="AF13" s="131"/>
      <c r="AG13" s="123"/>
      <c r="AH13" s="123"/>
      <c r="AI13" s="123"/>
      <c r="AJ13" s="123"/>
      <c r="AK13" s="123"/>
    </row>
    <row r="14" spans="1:38" ht="14.25" customHeight="1" x14ac:dyDescent="0.2">
      <c r="A14" s="123"/>
      <c r="B14" s="137" t="s">
        <v>108</v>
      </c>
      <c r="C14" s="138"/>
      <c r="D14" s="146">
        <f>IFERROR(D13/D12,0)</f>
        <v>0</v>
      </c>
      <c r="E14" s="146">
        <v>0</v>
      </c>
      <c r="F14" s="146">
        <f>IFERROR(F13/F12,0)</f>
        <v>0</v>
      </c>
      <c r="G14" s="146">
        <v>0</v>
      </c>
      <c r="H14" s="146">
        <v>0</v>
      </c>
      <c r="I14" s="146">
        <v>0</v>
      </c>
      <c r="J14" s="146">
        <v>0</v>
      </c>
      <c r="K14" s="146">
        <v>0</v>
      </c>
      <c r="L14" s="146" t="s">
        <v>222</v>
      </c>
      <c r="M14" s="146">
        <v>0</v>
      </c>
      <c r="N14" s="146">
        <v>0</v>
      </c>
      <c r="O14" s="146">
        <v>0</v>
      </c>
      <c r="P14" s="146">
        <v>0</v>
      </c>
      <c r="Q14" s="146">
        <v>0</v>
      </c>
      <c r="R14" s="146">
        <v>0</v>
      </c>
      <c r="S14" s="146">
        <v>0</v>
      </c>
      <c r="T14" s="146">
        <v>0</v>
      </c>
      <c r="U14" s="146">
        <v>0</v>
      </c>
      <c r="V14" s="146">
        <v>0</v>
      </c>
      <c r="W14" s="146">
        <v>0</v>
      </c>
      <c r="X14" s="146">
        <v>0</v>
      </c>
      <c r="Y14" s="146">
        <v>0</v>
      </c>
      <c r="Z14" s="146"/>
      <c r="AA14" s="146"/>
      <c r="AB14" s="140"/>
      <c r="AC14" s="147">
        <f t="shared" si="0"/>
        <v>0</v>
      </c>
      <c r="AD14" s="147">
        <f t="shared" si="1"/>
        <v>0</v>
      </c>
      <c r="AE14" s="123"/>
      <c r="AF14" s="123"/>
      <c r="AG14" s="123"/>
      <c r="AH14" s="123"/>
      <c r="AI14" s="123"/>
      <c r="AJ14" s="123"/>
      <c r="AK14" s="123"/>
    </row>
    <row r="15" spans="1:38" ht="14.25" customHeight="1" x14ac:dyDescent="0.2">
      <c r="A15" s="123"/>
      <c r="B15" s="126" t="s">
        <v>109</v>
      </c>
      <c r="C15" s="125"/>
      <c r="AB15" s="123"/>
      <c r="AC15" s="148"/>
      <c r="AD15" s="148"/>
      <c r="AE15" s="123"/>
      <c r="AF15" s="123"/>
      <c r="AG15" s="123"/>
      <c r="AH15" s="123"/>
      <c r="AI15" s="123"/>
      <c r="AJ15" s="123"/>
      <c r="AK15" s="123"/>
    </row>
    <row r="16" spans="1:38" ht="14.25" customHeight="1" x14ac:dyDescent="0.2">
      <c r="A16" s="123"/>
      <c r="B16" s="137" t="s">
        <v>110</v>
      </c>
      <c r="C16" s="138"/>
      <c r="D16" s="139">
        <v>5294</v>
      </c>
      <c r="E16" s="139">
        <v>5225</v>
      </c>
      <c r="F16" s="139">
        <v>5453</v>
      </c>
      <c r="G16" s="139">
        <v>5763</v>
      </c>
      <c r="H16" s="139">
        <v>6101</v>
      </c>
      <c r="I16" s="139">
        <v>5808</v>
      </c>
      <c r="J16" s="139">
        <v>5725</v>
      </c>
      <c r="K16" s="139">
        <v>5882</v>
      </c>
      <c r="L16" s="139">
        <v>5752</v>
      </c>
      <c r="M16" s="139">
        <v>6188</v>
      </c>
      <c r="N16" s="139">
        <v>6045</v>
      </c>
      <c r="O16" s="139">
        <v>6110</v>
      </c>
      <c r="P16" s="139">
        <v>5669</v>
      </c>
      <c r="Q16" s="139">
        <v>5121</v>
      </c>
      <c r="R16" s="139">
        <v>5756</v>
      </c>
      <c r="S16" s="139">
        <v>5645</v>
      </c>
      <c r="T16" s="139">
        <v>5739</v>
      </c>
      <c r="U16" s="139">
        <v>5686</v>
      </c>
      <c r="V16" s="139">
        <v>5748</v>
      </c>
      <c r="W16" s="139">
        <v>6118</v>
      </c>
      <c r="X16" s="139">
        <v>5837</v>
      </c>
      <c r="Y16" s="139">
        <v>6081</v>
      </c>
      <c r="Z16" s="139"/>
      <c r="AA16" s="139"/>
      <c r="AB16" s="149"/>
      <c r="AC16" s="141">
        <f t="shared" ref="AC16:AC30" si="2">SUM(P16:AA16)</f>
        <v>57400</v>
      </c>
      <c r="AD16" s="141">
        <f t="shared" ref="AD16:AD30" si="3">IFERROR(AC16/(COUNT(P16:AA16)),0)</f>
        <v>5740</v>
      </c>
      <c r="AE16" s="123"/>
      <c r="AF16" s="123"/>
      <c r="AG16" s="123"/>
      <c r="AH16" s="123"/>
      <c r="AI16" s="123"/>
      <c r="AJ16" s="123"/>
      <c r="AK16" s="123"/>
    </row>
    <row r="17" spans="1:38" ht="14.25" customHeight="1" x14ac:dyDescent="0.2">
      <c r="A17" s="150"/>
      <c r="B17" s="151" t="s">
        <v>111</v>
      </c>
      <c r="C17" s="151"/>
      <c r="D17" s="152">
        <v>3684</v>
      </c>
      <c r="E17" s="152">
        <v>3636</v>
      </c>
      <c r="F17" s="152">
        <v>3811</v>
      </c>
      <c r="G17" s="152">
        <v>4047</v>
      </c>
      <c r="H17" s="152">
        <v>4210</v>
      </c>
      <c r="I17" s="152">
        <v>3973</v>
      </c>
      <c r="J17" s="152">
        <v>3854</v>
      </c>
      <c r="K17" s="152">
        <v>4093</v>
      </c>
      <c r="L17" s="152">
        <v>3877</v>
      </c>
      <c r="M17" s="152">
        <v>4385</v>
      </c>
      <c r="N17" s="152">
        <v>4242</v>
      </c>
      <c r="O17" s="152">
        <v>4316</v>
      </c>
      <c r="P17" s="152">
        <v>4031</v>
      </c>
      <c r="Q17" s="152">
        <v>3691</v>
      </c>
      <c r="R17" s="152">
        <v>4164</v>
      </c>
      <c r="S17" s="152">
        <v>4046</v>
      </c>
      <c r="T17" s="152">
        <v>4135</v>
      </c>
      <c r="U17" s="152">
        <v>4052</v>
      </c>
      <c r="V17" s="152">
        <v>4213</v>
      </c>
      <c r="W17" s="152">
        <v>4487</v>
      </c>
      <c r="X17" s="152">
        <v>4306</v>
      </c>
      <c r="Y17" s="152">
        <v>4613</v>
      </c>
      <c r="Z17" s="152"/>
      <c r="AA17" s="152"/>
      <c r="AB17" s="153"/>
      <c r="AC17" s="154">
        <f t="shared" si="2"/>
        <v>41738</v>
      </c>
      <c r="AD17" s="154">
        <f t="shared" si="3"/>
        <v>4173.8</v>
      </c>
      <c r="AE17" s="150"/>
      <c r="AF17" s="150"/>
      <c r="AG17" s="150"/>
      <c r="AH17" s="150"/>
      <c r="AI17" s="150"/>
      <c r="AJ17" s="150"/>
      <c r="AK17" s="150"/>
      <c r="AL17" s="150"/>
    </row>
    <row r="18" spans="1:38" ht="14.25" customHeight="1" x14ac:dyDescent="0.2">
      <c r="A18" s="123"/>
      <c r="B18" s="137" t="s">
        <v>112</v>
      </c>
      <c r="C18" s="138"/>
      <c r="D18" s="155">
        <v>0.69588213071401583</v>
      </c>
      <c r="E18" s="155">
        <v>0.69588516746411488</v>
      </c>
      <c r="F18" s="155">
        <v>0.69888134971575278</v>
      </c>
      <c r="G18" s="155">
        <v>0.70223841749089011</v>
      </c>
      <c r="H18" s="155">
        <v>0.69005081134240287</v>
      </c>
      <c r="I18" s="155">
        <v>0.68405647382920109</v>
      </c>
      <c r="J18" s="155">
        <v>0.67318777292576415</v>
      </c>
      <c r="K18" s="155">
        <v>0.69585175110506625</v>
      </c>
      <c r="L18" s="155">
        <v>0.67400000000000004</v>
      </c>
      <c r="M18" s="155">
        <v>0.70862960568842925</v>
      </c>
      <c r="N18" s="155">
        <v>0.70173697270471469</v>
      </c>
      <c r="O18" s="155">
        <v>0.70638297872340428</v>
      </c>
      <c r="P18" s="155">
        <v>0.71106015170224024</v>
      </c>
      <c r="Q18" s="155">
        <v>0.72075766451864876</v>
      </c>
      <c r="R18" s="155">
        <v>0.72341904100069487</v>
      </c>
      <c r="S18" s="155">
        <v>0.71674047829938003</v>
      </c>
      <c r="T18" s="155">
        <v>0.72050879944241153</v>
      </c>
      <c r="U18" s="155">
        <v>0.71262750615546955</v>
      </c>
      <c r="V18" s="155">
        <v>0.73295059151009045</v>
      </c>
      <c r="W18" s="155">
        <v>0.73340961098398172</v>
      </c>
      <c r="X18" s="155">
        <v>0.73770772657186912</v>
      </c>
      <c r="Y18" s="155">
        <v>0.75859233678671267</v>
      </c>
      <c r="Z18" s="155"/>
      <c r="AA18" s="155"/>
      <c r="AB18" s="149"/>
      <c r="AC18" s="156">
        <f t="shared" si="2"/>
        <v>7.2677739069714988</v>
      </c>
      <c r="AD18" s="156">
        <f t="shared" si="3"/>
        <v>0.72677739069714986</v>
      </c>
      <c r="AE18" s="123"/>
      <c r="AF18" s="123"/>
      <c r="AG18" s="123"/>
      <c r="AH18" s="123"/>
      <c r="AI18" s="123"/>
      <c r="AJ18" s="123"/>
      <c r="AK18" s="123"/>
    </row>
    <row r="19" spans="1:38" ht="14.25" customHeight="1" x14ac:dyDescent="0.2">
      <c r="A19" s="123"/>
      <c r="B19" s="138" t="s">
        <v>113</v>
      </c>
      <c r="C19" s="138"/>
      <c r="D19" s="139">
        <v>2507</v>
      </c>
      <c r="E19" s="139">
        <v>2505</v>
      </c>
      <c r="F19" s="139">
        <v>2715</v>
      </c>
      <c r="G19" s="139">
        <v>2735</v>
      </c>
      <c r="H19" s="139">
        <v>2949</v>
      </c>
      <c r="I19" s="139">
        <v>2755</v>
      </c>
      <c r="J19" s="139">
        <v>2652</v>
      </c>
      <c r="K19" s="139">
        <v>2772</v>
      </c>
      <c r="L19" s="139">
        <v>2666</v>
      </c>
      <c r="M19" s="139">
        <v>3011</v>
      </c>
      <c r="N19" s="139">
        <v>2865</v>
      </c>
      <c r="O19" s="139">
        <v>2907</v>
      </c>
      <c r="P19" s="139">
        <v>2796</v>
      </c>
      <c r="Q19" s="139">
        <v>2609</v>
      </c>
      <c r="R19" s="139">
        <v>2911</v>
      </c>
      <c r="S19" s="139">
        <v>2783</v>
      </c>
      <c r="T19" s="139">
        <v>2852</v>
      </c>
      <c r="U19" s="139">
        <v>2811</v>
      </c>
      <c r="V19" s="139">
        <v>2911</v>
      </c>
      <c r="W19" s="139">
        <v>3108</v>
      </c>
      <c r="X19" s="139">
        <v>2938</v>
      </c>
      <c r="Y19" s="139">
        <v>3196</v>
      </c>
      <c r="Z19" s="139"/>
      <c r="AA19" s="139"/>
      <c r="AB19" s="149"/>
      <c r="AC19" s="141">
        <f t="shared" si="2"/>
        <v>28915</v>
      </c>
      <c r="AD19" s="141">
        <f t="shared" si="3"/>
        <v>2891.5</v>
      </c>
      <c r="AE19" s="123"/>
      <c r="AF19" s="123"/>
      <c r="AG19" s="123"/>
      <c r="AH19" s="123"/>
      <c r="AI19" s="123"/>
      <c r="AJ19" s="123"/>
      <c r="AK19" s="123"/>
      <c r="AL19" s="123"/>
    </row>
    <row r="20" spans="1:38" ht="14.25" customHeight="1" x14ac:dyDescent="0.2">
      <c r="A20" s="123"/>
      <c r="B20" s="138" t="s">
        <v>114</v>
      </c>
      <c r="C20" s="138"/>
      <c r="D20" s="139">
        <v>1504</v>
      </c>
      <c r="E20" s="139">
        <v>1285</v>
      </c>
      <c r="F20" s="139">
        <v>1572</v>
      </c>
      <c r="G20" s="139">
        <v>1607</v>
      </c>
      <c r="H20" s="139">
        <v>1495</v>
      </c>
      <c r="I20" s="139">
        <v>1615</v>
      </c>
      <c r="J20" s="139">
        <v>1342</v>
      </c>
      <c r="K20" s="139">
        <v>1582</v>
      </c>
      <c r="L20" s="139">
        <v>1557</v>
      </c>
      <c r="M20" s="139">
        <v>1787</v>
      </c>
      <c r="N20" s="139">
        <v>1649</v>
      </c>
      <c r="O20" s="139">
        <v>1664</v>
      </c>
      <c r="P20" s="139">
        <v>1670</v>
      </c>
      <c r="Q20" s="139">
        <v>1478</v>
      </c>
      <c r="R20" s="139">
        <v>1640</v>
      </c>
      <c r="S20" s="139">
        <v>1483</v>
      </c>
      <c r="T20" s="139">
        <v>1478</v>
      </c>
      <c r="U20" s="139">
        <v>1455</v>
      </c>
      <c r="V20" s="139">
        <v>1605</v>
      </c>
      <c r="W20" s="139">
        <v>1634</v>
      </c>
      <c r="X20" s="139">
        <v>1605</v>
      </c>
      <c r="Y20" s="139">
        <v>1666</v>
      </c>
      <c r="Z20" s="139"/>
      <c r="AA20" s="139"/>
      <c r="AB20" s="149"/>
      <c r="AC20" s="141">
        <f t="shared" si="2"/>
        <v>15714</v>
      </c>
      <c r="AD20" s="141">
        <f t="shared" si="3"/>
        <v>1571.4</v>
      </c>
      <c r="AE20" s="123"/>
      <c r="AF20" s="123"/>
      <c r="AG20" s="123"/>
      <c r="AH20" s="123"/>
      <c r="AI20" s="123"/>
      <c r="AJ20" s="123"/>
      <c r="AK20" s="123"/>
      <c r="AL20" s="123"/>
    </row>
    <row r="21" spans="1:38" ht="14.25" customHeight="1" x14ac:dyDescent="0.2">
      <c r="A21" s="123"/>
      <c r="B21" s="138" t="s">
        <v>115</v>
      </c>
      <c r="C21" s="138"/>
      <c r="D21" s="139">
        <v>1003</v>
      </c>
      <c r="E21" s="139">
        <v>1037</v>
      </c>
      <c r="F21" s="139">
        <v>1143</v>
      </c>
      <c r="G21" s="139">
        <v>1128</v>
      </c>
      <c r="H21" s="139">
        <v>1246</v>
      </c>
      <c r="I21" s="139">
        <v>1140</v>
      </c>
      <c r="J21" s="139">
        <v>1144</v>
      </c>
      <c r="K21" s="139">
        <v>1190</v>
      </c>
      <c r="L21" s="139">
        <v>1109</v>
      </c>
      <c r="M21" s="139">
        <v>1224</v>
      </c>
      <c r="N21" s="139">
        <v>1216</v>
      </c>
      <c r="O21" s="139">
        <v>1243</v>
      </c>
      <c r="P21" s="139">
        <v>1126</v>
      </c>
      <c r="Q21" s="139">
        <v>1131</v>
      </c>
      <c r="R21" s="139">
        <v>1271</v>
      </c>
      <c r="S21" s="139">
        <v>1155</v>
      </c>
      <c r="T21" s="139">
        <v>1188</v>
      </c>
      <c r="U21" s="139">
        <v>1223</v>
      </c>
      <c r="V21" s="139">
        <v>1306</v>
      </c>
      <c r="W21" s="139">
        <v>1306</v>
      </c>
      <c r="X21" s="139">
        <v>1184</v>
      </c>
      <c r="Y21" s="139">
        <v>1304</v>
      </c>
      <c r="Z21" s="139"/>
      <c r="AA21" s="139"/>
      <c r="AB21" s="149"/>
      <c r="AC21" s="141">
        <f t="shared" si="2"/>
        <v>12194</v>
      </c>
      <c r="AD21" s="141">
        <f t="shared" si="3"/>
        <v>1219.4000000000001</v>
      </c>
      <c r="AE21" s="123"/>
      <c r="AF21" s="123"/>
      <c r="AG21" s="123"/>
      <c r="AH21" s="123"/>
      <c r="AI21" s="123"/>
      <c r="AJ21" s="123"/>
      <c r="AK21" s="123"/>
      <c r="AL21" s="123"/>
    </row>
    <row r="22" spans="1:38" ht="14.25" customHeight="1" x14ac:dyDescent="0.2">
      <c r="A22" s="123"/>
      <c r="B22" s="137" t="s">
        <v>116</v>
      </c>
      <c r="C22" s="138"/>
      <c r="D22" s="139">
        <v>1447</v>
      </c>
      <c r="E22" s="139">
        <v>1414</v>
      </c>
      <c r="F22" s="139">
        <v>1343</v>
      </c>
      <c r="G22" s="139">
        <v>1591</v>
      </c>
      <c r="H22" s="139">
        <v>1598</v>
      </c>
      <c r="I22" s="139">
        <v>1541</v>
      </c>
      <c r="J22" s="139">
        <v>1527</v>
      </c>
      <c r="K22" s="139">
        <v>1598</v>
      </c>
      <c r="L22" s="139">
        <v>1535</v>
      </c>
      <c r="M22" s="139">
        <v>1705</v>
      </c>
      <c r="N22" s="139">
        <v>1681</v>
      </c>
      <c r="O22" s="139">
        <v>1719</v>
      </c>
      <c r="P22" s="139">
        <v>1523</v>
      </c>
      <c r="Q22" s="139">
        <v>1295</v>
      </c>
      <c r="R22" s="139">
        <v>1538</v>
      </c>
      <c r="S22" s="139">
        <v>1582</v>
      </c>
      <c r="T22" s="139">
        <v>1557</v>
      </c>
      <c r="U22" s="139">
        <v>1526</v>
      </c>
      <c r="V22" s="139">
        <v>1584</v>
      </c>
      <c r="W22" s="139">
        <v>1682</v>
      </c>
      <c r="X22" s="139">
        <v>1669</v>
      </c>
      <c r="Y22" s="139">
        <v>1679</v>
      </c>
      <c r="Z22" s="139"/>
      <c r="AA22" s="139"/>
      <c r="AB22" s="149"/>
      <c r="AC22" s="141">
        <f t="shared" si="2"/>
        <v>15635</v>
      </c>
      <c r="AD22" s="141">
        <f t="shared" si="3"/>
        <v>1563.5</v>
      </c>
      <c r="AE22" s="123"/>
      <c r="AF22" s="123"/>
      <c r="AG22" s="123"/>
      <c r="AH22" s="123"/>
      <c r="AI22" s="123"/>
      <c r="AJ22" s="123"/>
      <c r="AK22" s="123"/>
    </row>
    <row r="23" spans="1:38" ht="14.25" customHeight="1" x14ac:dyDescent="0.2">
      <c r="A23" s="123"/>
      <c r="B23" s="137" t="s">
        <v>117</v>
      </c>
      <c r="C23" s="138"/>
      <c r="D23" s="139">
        <v>195</v>
      </c>
      <c r="E23" s="139">
        <v>206</v>
      </c>
      <c r="F23" s="139">
        <v>200</v>
      </c>
      <c r="G23" s="139">
        <v>201</v>
      </c>
      <c r="H23" s="139">
        <v>247</v>
      </c>
      <c r="I23" s="139">
        <v>168</v>
      </c>
      <c r="J23" s="139">
        <v>200</v>
      </c>
      <c r="K23" s="139">
        <v>382</v>
      </c>
      <c r="L23" s="139">
        <v>463</v>
      </c>
      <c r="M23" s="139">
        <v>427</v>
      </c>
      <c r="N23" s="139">
        <v>369</v>
      </c>
      <c r="O23" s="139">
        <v>407</v>
      </c>
      <c r="P23" s="139">
        <v>342</v>
      </c>
      <c r="Q23" s="139">
        <v>230</v>
      </c>
      <c r="R23" s="139">
        <v>187</v>
      </c>
      <c r="S23" s="139">
        <v>208</v>
      </c>
      <c r="T23" s="139">
        <v>224</v>
      </c>
      <c r="U23" s="139">
        <v>223</v>
      </c>
      <c r="V23" s="139">
        <v>252</v>
      </c>
      <c r="W23" s="139">
        <v>246</v>
      </c>
      <c r="X23" s="139">
        <v>241</v>
      </c>
      <c r="Y23" s="139">
        <v>191</v>
      </c>
      <c r="Z23" s="139"/>
      <c r="AA23" s="139"/>
      <c r="AB23" s="149"/>
      <c r="AC23" s="141">
        <f t="shared" si="2"/>
        <v>2344</v>
      </c>
      <c r="AD23" s="141">
        <f t="shared" si="3"/>
        <v>234.4</v>
      </c>
      <c r="AE23" s="123"/>
      <c r="AF23" s="123"/>
      <c r="AG23" s="123"/>
      <c r="AH23" s="123"/>
      <c r="AI23" s="123"/>
      <c r="AJ23" s="123"/>
      <c r="AK23" s="123"/>
    </row>
    <row r="24" spans="1:38" ht="14.25" customHeight="1" x14ac:dyDescent="0.2">
      <c r="A24" s="123"/>
      <c r="B24" s="137" t="s">
        <v>118</v>
      </c>
      <c r="C24" s="138"/>
      <c r="D24" s="139">
        <v>275</v>
      </c>
      <c r="E24" s="139">
        <v>266</v>
      </c>
      <c r="F24" s="139">
        <v>323</v>
      </c>
      <c r="G24" s="139">
        <v>284</v>
      </c>
      <c r="H24" s="139">
        <v>279</v>
      </c>
      <c r="I24" s="139">
        <v>250</v>
      </c>
      <c r="J24" s="139">
        <v>241</v>
      </c>
      <c r="K24" s="139">
        <v>189</v>
      </c>
      <c r="L24" s="139">
        <v>233</v>
      </c>
      <c r="M24" s="139">
        <v>225</v>
      </c>
      <c r="N24" s="139">
        <v>206</v>
      </c>
      <c r="O24" s="139">
        <v>194</v>
      </c>
      <c r="P24" s="139">
        <v>204</v>
      </c>
      <c r="Q24" s="139">
        <v>173</v>
      </c>
      <c r="R24" s="139">
        <v>182</v>
      </c>
      <c r="S24" s="139">
        <v>210</v>
      </c>
      <c r="T24" s="139">
        <v>254</v>
      </c>
      <c r="U24" s="139">
        <v>177</v>
      </c>
      <c r="V24" s="139">
        <v>195</v>
      </c>
      <c r="W24" s="139">
        <v>223</v>
      </c>
      <c r="X24" s="139">
        <v>194</v>
      </c>
      <c r="Y24" s="139">
        <v>288</v>
      </c>
      <c r="Z24" s="139"/>
      <c r="AA24" s="139"/>
      <c r="AB24" s="149"/>
      <c r="AC24" s="141">
        <f t="shared" si="2"/>
        <v>2100</v>
      </c>
      <c r="AD24" s="141">
        <f t="shared" si="3"/>
        <v>210</v>
      </c>
      <c r="AE24" s="123"/>
      <c r="AF24" s="123"/>
      <c r="AG24" s="123"/>
      <c r="AH24" s="123"/>
      <c r="AI24" s="123"/>
      <c r="AJ24" s="123"/>
      <c r="AK24" s="123"/>
    </row>
    <row r="25" spans="1:38" ht="14.25" customHeight="1" x14ac:dyDescent="0.2">
      <c r="A25" s="123"/>
      <c r="B25" s="137" t="s">
        <v>119</v>
      </c>
      <c r="C25" s="138"/>
      <c r="D25" s="139">
        <v>2</v>
      </c>
      <c r="E25" s="139">
        <v>5</v>
      </c>
      <c r="F25" s="139">
        <v>2</v>
      </c>
      <c r="G25" s="139">
        <v>2</v>
      </c>
      <c r="H25" s="139">
        <v>285</v>
      </c>
      <c r="I25" s="139">
        <v>280</v>
      </c>
      <c r="J25" s="139">
        <v>333</v>
      </c>
      <c r="K25" s="139">
        <v>296</v>
      </c>
      <c r="L25" s="139">
        <v>278</v>
      </c>
      <c r="M25" s="139">
        <v>346</v>
      </c>
      <c r="N25" s="139">
        <v>345</v>
      </c>
      <c r="O25" s="139">
        <v>317</v>
      </c>
      <c r="P25" s="139">
        <v>343</v>
      </c>
      <c r="Q25" s="139">
        <v>324</v>
      </c>
      <c r="R25" s="139">
        <v>350</v>
      </c>
      <c r="S25" s="139">
        <v>321</v>
      </c>
      <c r="T25" s="139">
        <v>306</v>
      </c>
      <c r="U25" s="139">
        <v>351</v>
      </c>
      <c r="V25" s="139">
        <v>328</v>
      </c>
      <c r="W25" s="139">
        <v>400</v>
      </c>
      <c r="X25" s="139">
        <v>329</v>
      </c>
      <c r="Y25" s="139">
        <v>384</v>
      </c>
      <c r="Z25" s="139"/>
      <c r="AA25" s="139"/>
      <c r="AB25" s="149"/>
      <c r="AC25" s="141">
        <f t="shared" si="2"/>
        <v>3436</v>
      </c>
      <c r="AD25" s="141">
        <f t="shared" si="3"/>
        <v>343.6</v>
      </c>
      <c r="AE25" s="123"/>
      <c r="AF25" s="123"/>
      <c r="AG25" s="123"/>
      <c r="AH25" s="123"/>
      <c r="AI25" s="123"/>
      <c r="AJ25" s="123"/>
      <c r="AK25" s="123"/>
    </row>
    <row r="26" spans="1:38" ht="14.25" customHeight="1" x14ac:dyDescent="0.2">
      <c r="A26" s="123"/>
      <c r="B26" s="137" t="s">
        <v>120</v>
      </c>
      <c r="C26" s="138"/>
      <c r="D26" s="139">
        <v>129</v>
      </c>
      <c r="E26" s="139">
        <v>141</v>
      </c>
      <c r="F26" s="139">
        <v>156</v>
      </c>
      <c r="G26" s="139">
        <v>137</v>
      </c>
      <c r="H26" s="139">
        <v>2441</v>
      </c>
      <c r="I26" s="139">
        <v>2267</v>
      </c>
      <c r="J26" s="139">
        <v>2123</v>
      </c>
      <c r="K26" s="139">
        <v>2302</v>
      </c>
      <c r="L26" s="139">
        <v>2199</v>
      </c>
      <c r="M26" s="139">
        <v>2453</v>
      </c>
      <c r="N26" s="139">
        <v>2318</v>
      </c>
      <c r="O26" s="139">
        <v>2406</v>
      </c>
      <c r="P26" s="139">
        <v>2174</v>
      </c>
      <c r="Q26" s="139">
        <v>2023</v>
      </c>
      <c r="R26" s="139">
        <v>2239</v>
      </c>
      <c r="S26" s="139">
        <v>2128</v>
      </c>
      <c r="T26" s="139">
        <v>2183</v>
      </c>
      <c r="U26" s="139">
        <v>1939</v>
      </c>
      <c r="V26" s="139">
        <v>1946</v>
      </c>
      <c r="W26" s="139">
        <v>2060</v>
      </c>
      <c r="X26" s="139">
        <v>2035</v>
      </c>
      <c r="Y26" s="139">
        <v>2127</v>
      </c>
      <c r="Z26" s="139"/>
      <c r="AA26" s="139"/>
      <c r="AB26" s="149"/>
      <c r="AC26" s="141">
        <f t="shared" si="2"/>
        <v>20854</v>
      </c>
      <c r="AD26" s="141">
        <f t="shared" si="3"/>
        <v>2085.4</v>
      </c>
      <c r="AE26" s="123"/>
      <c r="AF26" s="123"/>
      <c r="AG26" s="123"/>
      <c r="AH26" s="123"/>
      <c r="AI26" s="123"/>
      <c r="AJ26" s="123"/>
      <c r="AK26" s="123"/>
    </row>
    <row r="27" spans="1:38" ht="14.25" customHeight="1" x14ac:dyDescent="0.2">
      <c r="A27" s="150"/>
      <c r="B27" s="151" t="s">
        <v>121</v>
      </c>
      <c r="C27" s="151"/>
      <c r="D27" s="152">
        <v>653</v>
      </c>
      <c r="E27" s="152">
        <v>704</v>
      </c>
      <c r="F27" s="152">
        <v>721</v>
      </c>
      <c r="G27" s="152">
        <v>748</v>
      </c>
      <c r="H27" s="152">
        <v>848</v>
      </c>
      <c r="I27" s="152">
        <v>828</v>
      </c>
      <c r="J27" s="152">
        <v>839</v>
      </c>
      <c r="K27" s="152">
        <v>744</v>
      </c>
      <c r="L27" s="152">
        <v>783</v>
      </c>
      <c r="M27" s="152">
        <v>759</v>
      </c>
      <c r="N27" s="152">
        <v>839</v>
      </c>
      <c r="O27" s="152">
        <v>812</v>
      </c>
      <c r="P27" s="152">
        <v>764</v>
      </c>
      <c r="Q27" s="152">
        <v>700</v>
      </c>
      <c r="R27" s="152">
        <v>739</v>
      </c>
      <c r="S27" s="152">
        <v>758</v>
      </c>
      <c r="T27" s="152">
        <v>746</v>
      </c>
      <c r="U27" s="152">
        <v>787</v>
      </c>
      <c r="V27" s="152">
        <v>686</v>
      </c>
      <c r="W27" s="152">
        <v>772</v>
      </c>
      <c r="X27" s="152">
        <v>710</v>
      </c>
      <c r="Y27" s="152">
        <v>695</v>
      </c>
      <c r="Z27" s="152"/>
      <c r="AA27" s="152"/>
      <c r="AB27" s="153"/>
      <c r="AC27" s="154">
        <f t="shared" si="2"/>
        <v>7357</v>
      </c>
      <c r="AD27" s="154">
        <f t="shared" si="3"/>
        <v>735.7</v>
      </c>
      <c r="AE27" s="150"/>
      <c r="AF27" s="150"/>
      <c r="AG27" s="150"/>
      <c r="AH27" s="150"/>
      <c r="AI27" s="150"/>
      <c r="AJ27" s="150"/>
      <c r="AK27" s="150"/>
      <c r="AL27" s="150"/>
    </row>
    <row r="28" spans="1:38" ht="14.25" customHeight="1" x14ac:dyDescent="0.2">
      <c r="A28" s="123"/>
      <c r="B28" s="137" t="s">
        <v>122</v>
      </c>
      <c r="C28" s="138"/>
      <c r="D28" s="155">
        <v>0.12334718549301095</v>
      </c>
      <c r="E28" s="155">
        <v>0.13473684210526315</v>
      </c>
      <c r="F28" s="155">
        <v>0.13222079589216945</v>
      </c>
      <c r="G28" s="155">
        <v>0.12979351032448377</v>
      </c>
      <c r="H28" s="155">
        <v>0.1389936076053106</v>
      </c>
      <c r="I28" s="155">
        <v>0.14256198347107438</v>
      </c>
      <c r="J28" s="155">
        <v>0.14655021834061135</v>
      </c>
      <c r="K28" s="155">
        <v>0.12648758925535533</v>
      </c>
      <c r="L28" s="155">
        <v>0.13600000000000001</v>
      </c>
      <c r="M28" s="155">
        <v>0.12265675500969618</v>
      </c>
      <c r="N28" s="155">
        <v>0.13879239040529362</v>
      </c>
      <c r="O28" s="155">
        <v>0.13289689034369886</v>
      </c>
      <c r="P28" s="155">
        <v>0.13476803669077439</v>
      </c>
      <c r="Q28" s="155">
        <v>0.1366920523335286</v>
      </c>
      <c r="R28" s="155">
        <v>0.12838776928422516</v>
      </c>
      <c r="S28" s="155">
        <v>0.13427812223206378</v>
      </c>
      <c r="T28" s="155">
        <v>0.12998780275309288</v>
      </c>
      <c r="U28" s="155">
        <v>0.13841013014421386</v>
      </c>
      <c r="V28" s="155">
        <v>0.11934585942936674</v>
      </c>
      <c r="W28" s="155">
        <v>0.12618502778685844</v>
      </c>
      <c r="X28" s="155">
        <v>0.12163782765119067</v>
      </c>
      <c r="Y28" s="155">
        <v>0.11429041276105904</v>
      </c>
      <c r="Z28" s="155"/>
      <c r="AA28" s="155"/>
      <c r="AB28" s="149"/>
      <c r="AC28" s="156">
        <f t="shared" si="2"/>
        <v>1.2839830410663735</v>
      </c>
      <c r="AD28" s="156">
        <f t="shared" si="3"/>
        <v>0.12839830410663736</v>
      </c>
      <c r="AE28" s="123"/>
      <c r="AF28" s="123"/>
      <c r="AG28" s="123"/>
      <c r="AH28" s="123"/>
      <c r="AI28" s="123"/>
      <c r="AJ28" s="123"/>
      <c r="AK28" s="123"/>
    </row>
    <row r="29" spans="1:38" ht="14.25" customHeight="1" x14ac:dyDescent="0.2">
      <c r="A29" s="123"/>
      <c r="B29" s="137" t="s">
        <v>123</v>
      </c>
      <c r="C29" s="138"/>
      <c r="D29" s="139">
        <v>957</v>
      </c>
      <c r="E29" s="139">
        <v>885</v>
      </c>
      <c r="F29" s="139">
        <v>921</v>
      </c>
      <c r="G29" s="139">
        <v>968</v>
      </c>
      <c r="H29" s="139">
        <v>1043</v>
      </c>
      <c r="I29" s="139">
        <v>1007</v>
      </c>
      <c r="J29" s="139">
        <v>1032</v>
      </c>
      <c r="K29" s="139">
        <v>1045</v>
      </c>
      <c r="L29" s="139">
        <v>1092</v>
      </c>
      <c r="M29" s="139">
        <v>1044</v>
      </c>
      <c r="N29" s="139">
        <v>964</v>
      </c>
      <c r="O29" s="139">
        <v>982</v>
      </c>
      <c r="P29" s="139">
        <v>874</v>
      </c>
      <c r="Q29" s="139">
        <v>730</v>
      </c>
      <c r="R29" s="139">
        <v>853</v>
      </c>
      <c r="S29" s="139">
        <v>841</v>
      </c>
      <c r="T29" s="139">
        <v>858</v>
      </c>
      <c r="U29" s="139">
        <v>847</v>
      </c>
      <c r="V29" s="139">
        <v>849</v>
      </c>
      <c r="W29" s="139">
        <v>859</v>
      </c>
      <c r="X29" s="139">
        <v>821</v>
      </c>
      <c r="Y29" s="139">
        <v>773</v>
      </c>
      <c r="Z29" s="139"/>
      <c r="AA29" s="139"/>
      <c r="AB29" s="149"/>
      <c r="AC29" s="141">
        <f t="shared" si="2"/>
        <v>8305</v>
      </c>
      <c r="AD29" s="141">
        <f t="shared" si="3"/>
        <v>830.5</v>
      </c>
      <c r="AE29" s="123"/>
      <c r="AF29" s="123"/>
      <c r="AG29" s="123"/>
      <c r="AH29" s="123"/>
      <c r="AI29" s="123"/>
      <c r="AJ29" s="123"/>
      <c r="AK29" s="123"/>
    </row>
    <row r="30" spans="1:38" ht="14.25" customHeight="1" x14ac:dyDescent="0.2">
      <c r="A30" s="123"/>
      <c r="B30" s="137" t="s">
        <v>124</v>
      </c>
      <c r="C30" s="138"/>
      <c r="D30" s="155">
        <v>0.18077068379297317</v>
      </c>
      <c r="E30" s="155">
        <v>0.16937799043062202</v>
      </c>
      <c r="F30" s="155">
        <v>0.16889785439207775</v>
      </c>
      <c r="G30" s="155">
        <v>0.16796807218462606</v>
      </c>
      <c r="H30" s="155">
        <v>0.1709555810522865</v>
      </c>
      <c r="I30" s="155">
        <v>0.17338154269972453</v>
      </c>
      <c r="J30" s="155">
        <v>0.18026200873362444</v>
      </c>
      <c r="K30" s="155">
        <v>0.17766065963957836</v>
      </c>
      <c r="L30" s="155">
        <v>0.19</v>
      </c>
      <c r="M30" s="155">
        <v>0.16871363930187461</v>
      </c>
      <c r="N30" s="155">
        <v>0.15947063688999172</v>
      </c>
      <c r="O30" s="155">
        <v>0.16072013093289689</v>
      </c>
      <c r="P30" s="155">
        <v>0.15417181160698537</v>
      </c>
      <c r="Q30" s="155">
        <v>0.1425502831478227</v>
      </c>
      <c r="R30" s="155">
        <v>0.14819318971507991</v>
      </c>
      <c r="S30" s="155">
        <v>0.14898139946855624</v>
      </c>
      <c r="T30" s="155">
        <v>0.14950339780449556</v>
      </c>
      <c r="U30" s="155">
        <v>0.14896236370031657</v>
      </c>
      <c r="V30" s="155">
        <v>0.14770354906054281</v>
      </c>
      <c r="W30" s="155">
        <v>0.14040536122915986</v>
      </c>
      <c r="X30" s="155">
        <v>0.1406544457769402</v>
      </c>
      <c r="Y30" s="155">
        <v>0.12711725045222824</v>
      </c>
      <c r="Z30" s="155"/>
      <c r="AA30" s="155"/>
      <c r="AB30" s="149"/>
      <c r="AC30" s="156">
        <f t="shared" si="2"/>
        <v>1.4482430519621274</v>
      </c>
      <c r="AD30" s="156">
        <f t="shared" si="3"/>
        <v>0.14482430519621275</v>
      </c>
      <c r="AE30" s="123"/>
      <c r="AF30" s="123"/>
      <c r="AG30" s="123"/>
      <c r="AH30" s="123"/>
      <c r="AI30" s="123"/>
      <c r="AJ30" s="123"/>
      <c r="AK30" s="123"/>
    </row>
    <row r="31" spans="1:38" ht="14.25" customHeight="1" x14ac:dyDescent="0.2">
      <c r="A31" s="123"/>
      <c r="B31" s="126" t="s">
        <v>125</v>
      </c>
      <c r="C31" s="125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123"/>
      <c r="AC31" s="148"/>
      <c r="AD31" s="148"/>
      <c r="AE31" s="123"/>
      <c r="AF31" s="123"/>
      <c r="AG31" s="123"/>
      <c r="AH31" s="123"/>
      <c r="AI31" s="123"/>
      <c r="AJ31" s="123"/>
      <c r="AK31" s="123"/>
    </row>
    <row r="32" spans="1:38" ht="14.25" customHeight="1" x14ac:dyDescent="0.2">
      <c r="A32" s="123"/>
      <c r="B32" s="138" t="s">
        <v>126</v>
      </c>
      <c r="C32" s="138"/>
      <c r="D32" s="143">
        <v>55155.109999999971</v>
      </c>
      <c r="E32" s="143">
        <v>52630.299999999981</v>
      </c>
      <c r="F32" s="143">
        <v>58348.700000000012</v>
      </c>
      <c r="G32" s="143">
        <v>60991.699999999983</v>
      </c>
      <c r="H32" s="143">
        <v>63485.299999999988</v>
      </c>
      <c r="I32" s="143">
        <v>61564.22</v>
      </c>
      <c r="J32" s="143">
        <v>58610.579999999987</v>
      </c>
      <c r="K32" s="143">
        <v>75319.999999999942</v>
      </c>
      <c r="L32" s="143" t="s">
        <v>223</v>
      </c>
      <c r="M32" s="143">
        <v>73815.999999999956</v>
      </c>
      <c r="N32" s="143">
        <v>73166.7</v>
      </c>
      <c r="O32" s="143">
        <v>69469.340000000026</v>
      </c>
      <c r="P32" s="143">
        <v>68609.600000000006</v>
      </c>
      <c r="Q32" s="143">
        <v>61328.480000000032</v>
      </c>
      <c r="R32" s="143">
        <v>66680.179999999978</v>
      </c>
      <c r="S32" s="143">
        <v>67667.199999999997</v>
      </c>
      <c r="T32" s="143">
        <v>67729.5</v>
      </c>
      <c r="U32" s="143">
        <v>65232.179999999986</v>
      </c>
      <c r="V32" s="143">
        <v>63037.05000000001</v>
      </c>
      <c r="W32" s="143">
        <v>70181.049999999974</v>
      </c>
      <c r="X32" s="143">
        <v>68971.199999999895</v>
      </c>
      <c r="Y32" s="143">
        <v>76690.199999999924</v>
      </c>
      <c r="Z32" s="143"/>
      <c r="AA32" s="143"/>
      <c r="AB32" s="157"/>
      <c r="AC32" s="145">
        <f t="shared" ref="AC32:AC37" si="4">SUM(P32:AA32)</f>
        <v>676126.6399999999</v>
      </c>
      <c r="AD32" s="145">
        <f t="shared" ref="AD32:AD37" si="5">IFERROR(AC32/(COUNT(P32:AA32)),0)</f>
        <v>67612.66399999999</v>
      </c>
      <c r="AE32" s="123"/>
      <c r="AF32" s="123"/>
      <c r="AG32" s="123"/>
      <c r="AH32" s="123"/>
      <c r="AI32" s="123"/>
      <c r="AJ32" s="123"/>
      <c r="AK32" s="123"/>
      <c r="AL32" s="123"/>
    </row>
    <row r="33" spans="1:38" ht="14.25" customHeight="1" x14ac:dyDescent="0.2">
      <c r="A33" s="123"/>
      <c r="B33" s="138" t="s">
        <v>127</v>
      </c>
      <c r="C33" s="138"/>
      <c r="D33" s="143">
        <v>58161.999999999942</v>
      </c>
      <c r="E33" s="143">
        <v>60416.44999999999</v>
      </c>
      <c r="F33" s="143">
        <v>61153.199999999975</v>
      </c>
      <c r="G33" s="143">
        <v>60612.099999999991</v>
      </c>
      <c r="H33" s="143">
        <v>75126.300000000032</v>
      </c>
      <c r="I33" s="143">
        <v>67856.099999999991</v>
      </c>
      <c r="J33" s="143">
        <v>68306.790000000008</v>
      </c>
      <c r="K33" s="143">
        <v>65193.199999999983</v>
      </c>
      <c r="L33" s="143" t="s">
        <v>224</v>
      </c>
      <c r="M33" s="143">
        <v>71499.300000000017</v>
      </c>
      <c r="N33" s="143">
        <v>65038.909999999996</v>
      </c>
      <c r="O33" s="143">
        <v>72319.419999999969</v>
      </c>
      <c r="P33" s="143">
        <v>69574.799999999959</v>
      </c>
      <c r="Q33" s="143">
        <v>69479.570000000007</v>
      </c>
      <c r="R33" s="143">
        <v>75085.800000000032</v>
      </c>
      <c r="S33" s="143">
        <v>69477.899999999994</v>
      </c>
      <c r="T33" s="143">
        <v>73179.91</v>
      </c>
      <c r="U33" s="143">
        <v>86074.079999999973</v>
      </c>
      <c r="V33" s="143">
        <v>81291.12999999999</v>
      </c>
      <c r="W33" s="143">
        <v>74380.020000000019</v>
      </c>
      <c r="X33" s="143">
        <v>69776.930000000008</v>
      </c>
      <c r="Y33" s="143">
        <v>84010.92999999992</v>
      </c>
      <c r="Z33" s="143"/>
      <c r="AA33" s="143"/>
      <c r="AB33" s="157"/>
      <c r="AC33" s="145">
        <f t="shared" si="4"/>
        <v>752331.07</v>
      </c>
      <c r="AD33" s="145">
        <f t="shared" si="5"/>
        <v>75233.106999999989</v>
      </c>
      <c r="AE33" s="123"/>
      <c r="AF33" s="123"/>
      <c r="AG33" s="123"/>
      <c r="AH33" s="123"/>
      <c r="AI33" s="123"/>
      <c r="AJ33" s="123"/>
      <c r="AK33" s="123"/>
      <c r="AL33" s="123"/>
    </row>
    <row r="34" spans="1:38" ht="14.25" customHeight="1" x14ac:dyDescent="0.2">
      <c r="A34" s="123"/>
      <c r="B34" s="138" t="s">
        <v>128</v>
      </c>
      <c r="C34" s="138"/>
      <c r="D34" s="143">
        <v>0</v>
      </c>
      <c r="E34" s="143">
        <v>0</v>
      </c>
      <c r="F34" s="143">
        <v>0</v>
      </c>
      <c r="G34" s="143">
        <v>0</v>
      </c>
      <c r="H34" s="143">
        <v>5206</v>
      </c>
      <c r="I34" s="143">
        <v>5797</v>
      </c>
      <c r="J34" s="143">
        <v>6233</v>
      </c>
      <c r="K34" s="143">
        <v>5796.6</v>
      </c>
      <c r="L34" s="143" t="s">
        <v>225</v>
      </c>
      <c r="M34" s="143">
        <v>6289</v>
      </c>
      <c r="N34" s="143">
        <v>6382</v>
      </c>
      <c r="O34" s="143">
        <v>5990</v>
      </c>
      <c r="P34" s="143">
        <v>5809</v>
      </c>
      <c r="Q34" s="143">
        <v>4630</v>
      </c>
      <c r="R34" s="143">
        <v>5153</v>
      </c>
      <c r="S34" s="143">
        <v>5498</v>
      </c>
      <c r="T34" s="143">
        <v>4812</v>
      </c>
      <c r="U34" s="143">
        <v>6406.5</v>
      </c>
      <c r="V34" s="143">
        <v>6869</v>
      </c>
      <c r="W34" s="143">
        <v>6155</v>
      </c>
      <c r="X34" s="143">
        <v>5391.5</v>
      </c>
      <c r="Y34" s="143">
        <v>9185.7999999999956</v>
      </c>
      <c r="Z34" s="143"/>
      <c r="AA34" s="143"/>
      <c r="AB34" s="157"/>
      <c r="AC34" s="145">
        <f t="shared" si="4"/>
        <v>59909.799999999996</v>
      </c>
      <c r="AD34" s="145">
        <f t="shared" si="5"/>
        <v>5990.98</v>
      </c>
      <c r="AE34" s="123"/>
      <c r="AF34" s="123"/>
      <c r="AG34" s="123"/>
      <c r="AH34" s="123"/>
      <c r="AI34" s="123"/>
      <c r="AJ34" s="123"/>
      <c r="AK34" s="123"/>
      <c r="AL34" s="123"/>
    </row>
    <row r="35" spans="1:38" ht="14.25" customHeight="1" x14ac:dyDescent="0.2">
      <c r="A35" s="123"/>
      <c r="B35" s="138" t="s">
        <v>129</v>
      </c>
      <c r="C35" s="138"/>
      <c r="D35" s="143">
        <v>113317.10999999991</v>
      </c>
      <c r="E35" s="143">
        <v>113046.74999999997</v>
      </c>
      <c r="F35" s="143">
        <v>119501.9</v>
      </c>
      <c r="G35" s="143">
        <v>121603.79999999997</v>
      </c>
      <c r="H35" s="143">
        <v>133405.60000000003</v>
      </c>
      <c r="I35" s="143">
        <v>123623.31999999999</v>
      </c>
      <c r="J35" s="143">
        <v>120684.37</v>
      </c>
      <c r="K35" s="143">
        <v>134716.59999999992</v>
      </c>
      <c r="L35" s="143" t="s">
        <v>226</v>
      </c>
      <c r="M35" s="143">
        <v>139026.29999999999</v>
      </c>
      <c r="N35" s="143">
        <v>131823.60999999999</v>
      </c>
      <c r="O35" s="143">
        <v>135798.76</v>
      </c>
      <c r="P35" s="143">
        <v>132375.39999999997</v>
      </c>
      <c r="Q35" s="143">
        <v>126178.05000000005</v>
      </c>
      <c r="R35" s="143">
        <v>136612.98000000001</v>
      </c>
      <c r="S35" s="143">
        <v>131647.09999999998</v>
      </c>
      <c r="T35" s="143">
        <v>136097.41</v>
      </c>
      <c r="U35" s="143">
        <v>144899.75999999995</v>
      </c>
      <c r="V35" s="143">
        <v>137459.18</v>
      </c>
      <c r="W35" s="143">
        <v>138406.07</v>
      </c>
      <c r="X35" s="143">
        <v>133356.62999999989</v>
      </c>
      <c r="Y35" s="143">
        <v>151515.32999999984</v>
      </c>
      <c r="Z35" s="143"/>
      <c r="AA35" s="143"/>
      <c r="AB35" s="157"/>
      <c r="AC35" s="145">
        <f t="shared" si="4"/>
        <v>1368547.9099999997</v>
      </c>
      <c r="AD35" s="145">
        <f t="shared" si="5"/>
        <v>136854.79099999997</v>
      </c>
      <c r="AE35" s="123"/>
      <c r="AF35" s="123"/>
      <c r="AG35" s="123"/>
      <c r="AH35" s="123"/>
      <c r="AI35" s="123"/>
      <c r="AJ35" s="123"/>
      <c r="AK35" s="123"/>
      <c r="AL35" s="123"/>
    </row>
    <row r="36" spans="1:38" ht="14.25" customHeight="1" x14ac:dyDescent="0.2">
      <c r="A36" s="123"/>
      <c r="B36" s="138" t="s">
        <v>130</v>
      </c>
      <c r="C36" s="138"/>
      <c r="D36" s="143">
        <v>298.5</v>
      </c>
      <c r="E36" s="143">
        <v>1050</v>
      </c>
      <c r="F36" s="143">
        <v>2554.5</v>
      </c>
      <c r="G36" s="143">
        <v>2093.5</v>
      </c>
      <c r="H36" s="143">
        <v>1927</v>
      </c>
      <c r="I36" s="143">
        <v>1923</v>
      </c>
      <c r="J36" s="143">
        <v>1862</v>
      </c>
      <c r="K36" s="143">
        <v>1726.5</v>
      </c>
      <c r="L36" s="143" t="s">
        <v>227</v>
      </c>
      <c r="M36" s="143">
        <v>2234.5</v>
      </c>
      <c r="N36" s="143">
        <v>2573.8999999999996</v>
      </c>
      <c r="O36" s="143">
        <v>2346</v>
      </c>
      <c r="P36" s="143">
        <v>1987.2</v>
      </c>
      <c r="Q36" s="143">
        <v>1383</v>
      </c>
      <c r="R36" s="143">
        <v>1542.5</v>
      </c>
      <c r="S36" s="143">
        <v>2021.7</v>
      </c>
      <c r="T36" s="143">
        <v>2052.4</v>
      </c>
      <c r="U36" s="143">
        <v>1916.5</v>
      </c>
      <c r="V36" s="143">
        <v>2157</v>
      </c>
      <c r="W36" s="143">
        <v>1855.5</v>
      </c>
      <c r="X36" s="143">
        <v>1814</v>
      </c>
      <c r="Y36" s="143">
        <v>1946</v>
      </c>
      <c r="Z36" s="143"/>
      <c r="AA36" s="143"/>
      <c r="AB36" s="157"/>
      <c r="AC36" s="145">
        <f t="shared" si="4"/>
        <v>18675.8</v>
      </c>
      <c r="AD36" s="145">
        <f t="shared" si="5"/>
        <v>1867.58</v>
      </c>
      <c r="AE36" s="123"/>
      <c r="AF36" s="123"/>
      <c r="AG36" s="123"/>
      <c r="AH36" s="123"/>
      <c r="AI36" s="123"/>
      <c r="AJ36" s="123"/>
      <c r="AK36" s="123"/>
      <c r="AL36" s="123"/>
    </row>
    <row r="37" spans="1:38" ht="14.25" customHeight="1" x14ac:dyDescent="0.2">
      <c r="A37" s="123"/>
      <c r="B37" s="138" t="s">
        <v>131</v>
      </c>
      <c r="C37" s="138"/>
      <c r="D37" s="143">
        <v>113615.60999999991</v>
      </c>
      <c r="E37" s="143">
        <v>114096.74999999997</v>
      </c>
      <c r="F37" s="143">
        <v>122056.4</v>
      </c>
      <c r="G37" s="143">
        <v>123697.29999999997</v>
      </c>
      <c r="H37" s="143">
        <v>140538.60000000003</v>
      </c>
      <c r="I37" s="143">
        <v>131343.32</v>
      </c>
      <c r="J37" s="143">
        <v>128779.37</v>
      </c>
      <c r="K37" s="143">
        <v>142239.69999999992</v>
      </c>
      <c r="L37" s="143" t="s">
        <v>228</v>
      </c>
      <c r="M37" s="143">
        <v>147549.79999999999</v>
      </c>
      <c r="N37" s="143">
        <v>140779.50999999998</v>
      </c>
      <c r="O37" s="143">
        <v>144134.76</v>
      </c>
      <c r="P37" s="143">
        <v>140171.59999999998</v>
      </c>
      <c r="Q37" s="143">
        <v>132191.05000000005</v>
      </c>
      <c r="R37" s="143">
        <v>143308.48000000001</v>
      </c>
      <c r="S37" s="143">
        <v>139166.79999999999</v>
      </c>
      <c r="T37" s="143">
        <v>142961.81</v>
      </c>
      <c r="U37" s="143">
        <v>153222.75999999995</v>
      </c>
      <c r="V37" s="143">
        <v>146485.18</v>
      </c>
      <c r="W37" s="143">
        <v>146416.57</v>
      </c>
      <c r="X37" s="143">
        <v>140562.12999999989</v>
      </c>
      <c r="Y37" s="143">
        <v>162647.12999999983</v>
      </c>
      <c r="Z37" s="143"/>
      <c r="AA37" s="143"/>
      <c r="AB37" s="157"/>
      <c r="AC37" s="145">
        <f t="shared" si="4"/>
        <v>1447133.5099999998</v>
      </c>
      <c r="AD37" s="145">
        <f t="shared" si="5"/>
        <v>144713.35099999997</v>
      </c>
      <c r="AE37" s="123"/>
      <c r="AF37" s="123"/>
      <c r="AG37" s="123"/>
      <c r="AH37" s="123"/>
      <c r="AI37" s="123"/>
      <c r="AJ37" s="123"/>
      <c r="AK37" s="123"/>
      <c r="AL37" s="123"/>
    </row>
    <row r="38" spans="1:38" ht="14.25" customHeight="1" x14ac:dyDescent="0.2">
      <c r="A38" s="123"/>
      <c r="B38" s="126" t="s">
        <v>132</v>
      </c>
      <c r="C38" s="123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0"/>
      <c r="AC38" s="148"/>
      <c r="AD38" s="148"/>
      <c r="AE38" s="123"/>
      <c r="AF38" s="123"/>
      <c r="AG38" s="123"/>
      <c r="AH38" s="123"/>
      <c r="AI38" s="123"/>
      <c r="AJ38" s="123"/>
      <c r="AK38" s="123"/>
    </row>
    <row r="39" spans="1:38" ht="14.25" customHeight="1" x14ac:dyDescent="0.2">
      <c r="A39" s="150"/>
      <c r="B39" s="158" t="s">
        <v>86</v>
      </c>
      <c r="C39" s="158"/>
      <c r="D39" s="152">
        <v>11819</v>
      </c>
      <c r="E39" s="152">
        <v>12222</v>
      </c>
      <c r="F39" s="152">
        <v>13024</v>
      </c>
      <c r="G39" s="152">
        <v>13644</v>
      </c>
      <c r="H39" s="152">
        <v>14490</v>
      </c>
      <c r="I39" s="152">
        <v>13272</v>
      </c>
      <c r="J39" s="152">
        <v>13605</v>
      </c>
      <c r="K39" s="152">
        <v>14494</v>
      </c>
      <c r="L39" s="152">
        <v>14012</v>
      </c>
      <c r="M39" s="152">
        <v>14950</v>
      </c>
      <c r="N39" s="152">
        <v>13261</v>
      </c>
      <c r="O39" s="152">
        <v>13701</v>
      </c>
      <c r="P39" s="152">
        <v>12011</v>
      </c>
      <c r="Q39" s="152">
        <v>11699</v>
      </c>
      <c r="R39" s="152">
        <v>13069</v>
      </c>
      <c r="S39" s="152">
        <v>13351</v>
      </c>
      <c r="T39" s="152">
        <v>13560</v>
      </c>
      <c r="U39" s="152">
        <v>12892</v>
      </c>
      <c r="V39" s="152">
        <v>13197</v>
      </c>
      <c r="W39" s="152">
        <v>13587</v>
      </c>
      <c r="X39" s="152">
        <v>13325</v>
      </c>
      <c r="Y39" s="152">
        <v>13781</v>
      </c>
      <c r="Z39" s="152"/>
      <c r="AA39" s="152"/>
      <c r="AB39" s="159"/>
      <c r="AC39" s="154">
        <f t="shared" ref="AC39:AC41" si="6">SUM(P39:AA39)</f>
        <v>130472</v>
      </c>
      <c r="AD39" s="154">
        <f t="shared" ref="AD39:AD41" si="7">IFERROR(AC39/(COUNT(P39:AA39)),0)</f>
        <v>13047.2</v>
      </c>
      <c r="AE39" s="150"/>
      <c r="AF39" s="150"/>
      <c r="AG39" s="150"/>
      <c r="AH39" s="150"/>
      <c r="AI39" s="150"/>
      <c r="AJ39" s="150"/>
      <c r="AK39" s="150"/>
      <c r="AL39" s="150"/>
    </row>
    <row r="40" spans="1:38" ht="14.25" customHeight="1" x14ac:dyDescent="0.2">
      <c r="A40" s="123"/>
      <c r="B40" s="160" t="s">
        <v>133</v>
      </c>
      <c r="C40" s="161"/>
      <c r="D40" s="162">
        <v>0</v>
      </c>
      <c r="E40" s="162">
        <v>0</v>
      </c>
      <c r="F40" s="162">
        <v>0</v>
      </c>
      <c r="G40" s="162">
        <v>0</v>
      </c>
      <c r="H40" s="162">
        <v>0</v>
      </c>
      <c r="I40" s="162">
        <v>0</v>
      </c>
      <c r="J40" s="162">
        <v>0</v>
      </c>
      <c r="K40" s="162">
        <v>0</v>
      </c>
      <c r="L40" s="162">
        <v>0</v>
      </c>
      <c r="M40" s="162">
        <v>0</v>
      </c>
      <c r="N40" s="162">
        <v>0</v>
      </c>
      <c r="O40" s="162">
        <v>0</v>
      </c>
      <c r="P40" s="162">
        <v>0</v>
      </c>
      <c r="Q40" s="162">
        <v>0</v>
      </c>
      <c r="R40" s="162">
        <v>0</v>
      </c>
      <c r="S40" s="162">
        <v>0</v>
      </c>
      <c r="T40" s="162">
        <v>0</v>
      </c>
      <c r="U40" s="162">
        <v>0</v>
      </c>
      <c r="V40" s="162">
        <v>0</v>
      </c>
      <c r="W40" s="162">
        <v>0</v>
      </c>
      <c r="X40" s="162">
        <v>0</v>
      </c>
      <c r="Y40" s="162">
        <v>0</v>
      </c>
      <c r="Z40" s="162"/>
      <c r="AA40" s="162"/>
      <c r="AB40" s="163"/>
      <c r="AC40" s="156">
        <f t="shared" si="6"/>
        <v>0</v>
      </c>
      <c r="AD40" s="156">
        <f t="shared" si="7"/>
        <v>0</v>
      </c>
      <c r="AE40" s="123"/>
      <c r="AF40" s="123"/>
      <c r="AG40" s="123"/>
      <c r="AH40" s="123"/>
      <c r="AI40" s="123"/>
      <c r="AJ40" s="123"/>
      <c r="AK40" s="123"/>
    </row>
    <row r="41" spans="1:38" ht="14.25" customHeight="1" x14ac:dyDescent="0.2">
      <c r="A41" s="123"/>
      <c r="B41" s="160" t="s">
        <v>134</v>
      </c>
      <c r="C41" s="161"/>
      <c r="D41" s="162">
        <v>0.97233268466029277</v>
      </c>
      <c r="E41" s="162">
        <v>0.97291768941253476</v>
      </c>
      <c r="F41" s="162">
        <v>0.97120700245700242</v>
      </c>
      <c r="G41" s="162">
        <v>0.96863090002931695</v>
      </c>
      <c r="H41" s="162">
        <v>0.97073844030365775</v>
      </c>
      <c r="I41" s="162">
        <v>0.97023809523809523</v>
      </c>
      <c r="J41" s="162">
        <v>0.97375964718853358</v>
      </c>
      <c r="K41" s="162">
        <v>0.97750793431764871</v>
      </c>
      <c r="L41" s="162">
        <v>0.98</v>
      </c>
      <c r="M41" s="162">
        <v>0.9696321070234114</v>
      </c>
      <c r="N41" s="162">
        <v>0.97149536234069833</v>
      </c>
      <c r="O41" s="162">
        <v>0.97255674768265088</v>
      </c>
      <c r="P41" s="162">
        <v>0.98259928398967611</v>
      </c>
      <c r="Q41" s="162">
        <v>0.9769211043678947</v>
      </c>
      <c r="R41" s="162">
        <v>0.97536154258168184</v>
      </c>
      <c r="S41" s="162">
        <v>0.97827878061568418</v>
      </c>
      <c r="T41" s="162">
        <v>0.97499999999999998</v>
      </c>
      <c r="U41" s="162">
        <v>0.95314923983865962</v>
      </c>
      <c r="V41" s="162">
        <v>0.95764188830794883</v>
      </c>
      <c r="W41" s="162">
        <v>0.95768013542356667</v>
      </c>
      <c r="X41" s="162">
        <v>0.96120075046904319</v>
      </c>
      <c r="Y41" s="162">
        <v>0.96132356142515052</v>
      </c>
      <c r="Z41" s="162"/>
      <c r="AA41" s="162"/>
      <c r="AB41" s="163"/>
      <c r="AC41" s="156">
        <f t="shared" si="6"/>
        <v>9.6791562870193051</v>
      </c>
      <c r="AD41" s="156">
        <f t="shared" si="7"/>
        <v>0.96791562870193049</v>
      </c>
      <c r="AE41" s="123"/>
      <c r="AF41" s="123"/>
      <c r="AG41" s="123"/>
      <c r="AH41" s="123"/>
      <c r="AI41" s="123"/>
      <c r="AJ41" s="123"/>
      <c r="AK41" s="123"/>
    </row>
    <row r="42" spans="1:38" ht="14.25" customHeight="1" x14ac:dyDescent="0.2">
      <c r="A42" s="123"/>
      <c r="B42" s="126" t="s">
        <v>135</v>
      </c>
      <c r="C42" s="125"/>
      <c r="D42" s="13"/>
      <c r="E42" s="13"/>
      <c r="F42" s="13"/>
      <c r="G42" s="13"/>
      <c r="H42" s="13"/>
      <c r="I42" s="13"/>
      <c r="J42" s="13"/>
      <c r="K42" s="13"/>
      <c r="L42" s="230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23"/>
      <c r="AC42" s="148"/>
      <c r="AD42" s="148"/>
      <c r="AE42" s="123"/>
      <c r="AF42" s="123"/>
      <c r="AG42" s="123"/>
      <c r="AH42" s="123"/>
      <c r="AI42" s="123"/>
      <c r="AJ42" s="123"/>
      <c r="AK42" s="123"/>
    </row>
    <row r="43" spans="1:38" ht="14.25" customHeight="1" x14ac:dyDescent="0.2">
      <c r="A43" s="123"/>
      <c r="B43" s="164" t="s">
        <v>136</v>
      </c>
      <c r="C43" s="165"/>
      <c r="D43" s="166" t="s">
        <v>137</v>
      </c>
      <c r="E43" s="167">
        <v>331</v>
      </c>
      <c r="F43" s="167">
        <v>375</v>
      </c>
      <c r="G43" s="167">
        <v>428</v>
      </c>
      <c r="H43" s="167">
        <v>424</v>
      </c>
      <c r="I43" s="167">
        <v>395</v>
      </c>
      <c r="J43" s="167">
        <v>357</v>
      </c>
      <c r="K43" s="167">
        <v>326</v>
      </c>
      <c r="L43" s="232">
        <v>349</v>
      </c>
      <c r="M43" s="167">
        <v>454</v>
      </c>
      <c r="N43" s="167">
        <v>378</v>
      </c>
      <c r="O43" s="167">
        <v>376</v>
      </c>
      <c r="P43" s="167">
        <v>209</v>
      </c>
      <c r="Q43" s="167">
        <v>270</v>
      </c>
      <c r="R43" s="167">
        <v>322</v>
      </c>
      <c r="S43" s="167">
        <v>290</v>
      </c>
      <c r="T43" s="167">
        <v>339</v>
      </c>
      <c r="U43" s="167">
        <v>604</v>
      </c>
      <c r="V43" s="167">
        <v>559</v>
      </c>
      <c r="W43" s="167">
        <v>575</v>
      </c>
      <c r="X43" s="167">
        <v>517</v>
      </c>
      <c r="Y43" s="167">
        <v>533</v>
      </c>
      <c r="Z43" s="167"/>
      <c r="AA43" s="167"/>
      <c r="AB43" s="163"/>
      <c r="AC43" s="141">
        <f t="shared" ref="AC43:AC49" si="8">SUM(P43:AA43)</f>
        <v>4218</v>
      </c>
      <c r="AD43" s="141">
        <f t="shared" ref="AD43:AD49" si="9">IFERROR(AC43/(COUNT(P43:AA43)),0)</f>
        <v>421.8</v>
      </c>
      <c r="AE43" s="123"/>
      <c r="AF43" s="123"/>
      <c r="AG43" s="123"/>
      <c r="AH43" s="123"/>
      <c r="AI43" s="123"/>
      <c r="AJ43" s="123"/>
      <c r="AK43" s="123"/>
    </row>
    <row r="44" spans="1:38" ht="14.25" customHeight="1" x14ac:dyDescent="0.2">
      <c r="A44" s="123"/>
      <c r="B44" s="164" t="s">
        <v>138</v>
      </c>
      <c r="C44" s="165"/>
      <c r="D44" s="166" t="s">
        <v>139</v>
      </c>
      <c r="E44" s="167">
        <v>323</v>
      </c>
      <c r="F44" s="167">
        <v>372</v>
      </c>
      <c r="G44" s="167">
        <v>421</v>
      </c>
      <c r="H44" s="167">
        <v>408</v>
      </c>
      <c r="I44" s="167"/>
      <c r="J44" s="167"/>
      <c r="K44" s="167"/>
      <c r="L44" s="232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3"/>
      <c r="AC44" s="141">
        <f t="shared" si="8"/>
        <v>0</v>
      </c>
      <c r="AD44" s="141">
        <f t="shared" si="9"/>
        <v>0</v>
      </c>
      <c r="AE44" s="123"/>
      <c r="AF44" s="123"/>
      <c r="AG44" s="123"/>
      <c r="AH44" s="123"/>
      <c r="AI44" s="123"/>
      <c r="AJ44" s="123"/>
      <c r="AK44" s="123"/>
    </row>
    <row r="45" spans="1:38" ht="14.25" customHeight="1" x14ac:dyDescent="0.2">
      <c r="A45" s="123"/>
      <c r="B45" s="164" t="s">
        <v>140</v>
      </c>
      <c r="C45" s="165"/>
      <c r="D45" s="168">
        <v>1.54</v>
      </c>
      <c r="E45" s="168">
        <v>1.52</v>
      </c>
      <c r="F45" s="168">
        <v>1.56</v>
      </c>
      <c r="G45" s="168">
        <v>1.54</v>
      </c>
      <c r="H45" s="168">
        <v>1.58</v>
      </c>
      <c r="I45" s="168">
        <v>1.59</v>
      </c>
      <c r="J45" s="168">
        <v>2.0499999999999998</v>
      </c>
      <c r="K45" s="168">
        <v>2.1</v>
      </c>
      <c r="L45" s="233">
        <v>1.51</v>
      </c>
      <c r="M45" s="168">
        <v>1.57</v>
      </c>
      <c r="N45" s="168">
        <v>1.53</v>
      </c>
      <c r="O45" s="168">
        <v>2.06</v>
      </c>
      <c r="P45" s="168">
        <v>1.54</v>
      </c>
      <c r="Q45" s="168">
        <v>1.47</v>
      </c>
      <c r="R45" s="168">
        <v>1.49</v>
      </c>
      <c r="S45" s="168">
        <v>2.19</v>
      </c>
      <c r="T45" s="168">
        <v>2</v>
      </c>
      <c r="U45" s="168">
        <v>2</v>
      </c>
      <c r="V45" s="168">
        <v>2.14</v>
      </c>
      <c r="W45" s="168">
        <v>2.1</v>
      </c>
      <c r="X45" s="168">
        <v>2.06</v>
      </c>
      <c r="Y45" s="168">
        <v>1.56</v>
      </c>
      <c r="Z45" s="168"/>
      <c r="AA45" s="168"/>
      <c r="AB45" s="163"/>
      <c r="AC45" s="169">
        <f t="shared" si="8"/>
        <v>18.549999999999997</v>
      </c>
      <c r="AD45" s="169">
        <f t="shared" si="9"/>
        <v>1.8549999999999998</v>
      </c>
      <c r="AE45" s="123"/>
      <c r="AF45" s="123"/>
      <c r="AG45" s="123"/>
      <c r="AH45" s="123"/>
      <c r="AI45" s="123"/>
      <c r="AJ45" s="123"/>
      <c r="AK45" s="123"/>
    </row>
    <row r="46" spans="1:38" ht="14.25" customHeight="1" x14ac:dyDescent="0.2">
      <c r="A46" s="123"/>
      <c r="B46" s="164" t="s">
        <v>141</v>
      </c>
      <c r="C46" s="165"/>
      <c r="D46" s="166" t="s">
        <v>142</v>
      </c>
      <c r="E46" s="167">
        <v>306</v>
      </c>
      <c r="F46" s="167">
        <v>341</v>
      </c>
      <c r="G46" s="167">
        <v>363</v>
      </c>
      <c r="H46" s="167">
        <v>348</v>
      </c>
      <c r="I46" s="167">
        <v>290</v>
      </c>
      <c r="J46" s="167">
        <v>294</v>
      </c>
      <c r="K46" s="167">
        <v>258</v>
      </c>
      <c r="L46" s="232">
        <v>267</v>
      </c>
      <c r="M46" s="167">
        <v>342</v>
      </c>
      <c r="N46" s="167">
        <v>294</v>
      </c>
      <c r="O46" s="167">
        <v>323</v>
      </c>
      <c r="P46" s="167">
        <v>185</v>
      </c>
      <c r="Q46" s="167">
        <v>225</v>
      </c>
      <c r="R46" s="167">
        <v>291</v>
      </c>
      <c r="S46" s="167">
        <v>258</v>
      </c>
      <c r="T46" s="167">
        <v>288</v>
      </c>
      <c r="U46" s="167">
        <v>503</v>
      </c>
      <c r="V46" s="167">
        <v>495</v>
      </c>
      <c r="W46" s="167">
        <v>526</v>
      </c>
      <c r="X46" s="167">
        <v>460</v>
      </c>
      <c r="Y46" s="167">
        <v>469</v>
      </c>
      <c r="Z46" s="167"/>
      <c r="AA46" s="167"/>
      <c r="AB46" s="163"/>
      <c r="AC46" s="141">
        <f t="shared" si="8"/>
        <v>3700</v>
      </c>
      <c r="AD46" s="141">
        <f t="shared" si="9"/>
        <v>370</v>
      </c>
      <c r="AE46" s="123"/>
      <c r="AF46" s="123"/>
      <c r="AG46" s="123"/>
      <c r="AH46" s="123"/>
      <c r="AI46" s="123"/>
      <c r="AJ46" s="123"/>
      <c r="AK46" s="123"/>
    </row>
    <row r="47" spans="1:38" ht="14.25" customHeight="1" x14ac:dyDescent="0.2">
      <c r="A47" s="123"/>
      <c r="B47" s="164" t="s">
        <v>143</v>
      </c>
      <c r="C47" s="165"/>
      <c r="D47" s="166" t="s">
        <v>144</v>
      </c>
      <c r="E47" s="167">
        <v>7</v>
      </c>
      <c r="F47" s="167">
        <v>3</v>
      </c>
      <c r="G47" s="167">
        <v>6</v>
      </c>
      <c r="H47" s="167">
        <v>14</v>
      </c>
      <c r="I47" s="167">
        <v>2</v>
      </c>
      <c r="J47" s="167">
        <v>16</v>
      </c>
      <c r="K47" s="167">
        <v>21</v>
      </c>
      <c r="L47" s="232">
        <v>18</v>
      </c>
      <c r="M47" s="167">
        <v>23</v>
      </c>
      <c r="N47" s="167">
        <v>18</v>
      </c>
      <c r="O47" s="167">
        <v>8</v>
      </c>
      <c r="P47" s="167">
        <v>5</v>
      </c>
      <c r="Q47" s="167">
        <v>8</v>
      </c>
      <c r="R47" s="167">
        <v>6</v>
      </c>
      <c r="S47" s="167">
        <v>2</v>
      </c>
      <c r="T47" s="167">
        <v>6</v>
      </c>
      <c r="U47" s="167">
        <v>13</v>
      </c>
      <c r="V47" s="167">
        <v>11</v>
      </c>
      <c r="W47" s="167">
        <v>4</v>
      </c>
      <c r="X47" s="167">
        <v>6</v>
      </c>
      <c r="Y47" s="167">
        <v>6</v>
      </c>
      <c r="Z47" s="167"/>
      <c r="AA47" s="167"/>
      <c r="AB47" s="163"/>
      <c r="AC47" s="141">
        <f t="shared" si="8"/>
        <v>67</v>
      </c>
      <c r="AD47" s="141">
        <f t="shared" si="9"/>
        <v>6.7</v>
      </c>
      <c r="AE47" s="123"/>
      <c r="AF47" s="123"/>
      <c r="AG47" s="123"/>
      <c r="AH47" s="123"/>
      <c r="AI47" s="123"/>
      <c r="AJ47" s="123"/>
      <c r="AK47" s="123"/>
    </row>
    <row r="48" spans="1:38" ht="14.25" customHeight="1" x14ac:dyDescent="0.2">
      <c r="A48" s="123"/>
      <c r="B48" s="164" t="s">
        <v>145</v>
      </c>
      <c r="C48" s="165"/>
      <c r="D48" s="170">
        <v>2.1406727828746176E-2</v>
      </c>
      <c r="E48" s="171">
        <v>2.1100000000000001E-2</v>
      </c>
      <c r="F48" s="171">
        <v>8.0000000000000002E-3</v>
      </c>
      <c r="G48" s="171">
        <v>1.4018691588785047E-2</v>
      </c>
      <c r="H48" s="171">
        <v>3.3018867924528301E-2</v>
      </c>
      <c r="I48" s="171">
        <v>5.0632911392405064E-3</v>
      </c>
      <c r="J48" s="171">
        <v>4.4817927170868348E-2</v>
      </c>
      <c r="K48" s="171">
        <v>0.06</v>
      </c>
      <c r="L48" s="234">
        <v>5.1575931232091692E-2</v>
      </c>
      <c r="M48" s="171">
        <v>5.0660792951541848E-2</v>
      </c>
      <c r="N48" s="171">
        <v>0.05</v>
      </c>
      <c r="O48" s="171">
        <v>0.02</v>
      </c>
      <c r="P48" s="171">
        <v>0.02</v>
      </c>
      <c r="Q48" s="171">
        <v>0.03</v>
      </c>
      <c r="R48" s="171">
        <v>1.8633540372670808E-2</v>
      </c>
      <c r="S48" s="171">
        <v>6.8965517241379309E-3</v>
      </c>
      <c r="T48" s="171">
        <v>1.7699115044247787E-2</v>
      </c>
      <c r="U48" s="171">
        <v>2.1523178807947019E-2</v>
      </c>
      <c r="V48" s="171">
        <v>1.9677996422182469E-2</v>
      </c>
      <c r="W48" s="171">
        <v>6.956521739130435E-3</v>
      </c>
      <c r="X48" s="171">
        <v>1.160541586073501E-2</v>
      </c>
      <c r="Y48" s="171">
        <v>1.125703564727955E-2</v>
      </c>
      <c r="Z48" s="171"/>
      <c r="AA48" s="171"/>
      <c r="AB48" s="163"/>
      <c r="AC48" s="172">
        <f t="shared" si="8"/>
        <v>0.16424935561833104</v>
      </c>
      <c r="AD48" s="172">
        <f t="shared" si="9"/>
        <v>1.6424935561833102E-2</v>
      </c>
      <c r="AE48" s="123"/>
      <c r="AF48" s="123"/>
      <c r="AG48" s="123"/>
      <c r="AH48" s="123"/>
      <c r="AI48" s="123"/>
      <c r="AJ48" s="123"/>
      <c r="AK48" s="123"/>
    </row>
    <row r="49" spans="1:37" ht="14.25" customHeight="1" x14ac:dyDescent="0.2">
      <c r="A49" s="123"/>
      <c r="B49" s="164" t="s">
        <v>146</v>
      </c>
      <c r="C49" s="165"/>
      <c r="D49" s="170">
        <v>0.92476489028213171</v>
      </c>
      <c r="E49" s="171">
        <v>0.95</v>
      </c>
      <c r="F49" s="171">
        <v>0.91666666666666663</v>
      </c>
      <c r="G49" s="171">
        <v>0.86223277909738716</v>
      </c>
      <c r="H49" s="171">
        <v>0.8529411764705882</v>
      </c>
      <c r="I49" s="171">
        <v>0.73417721518987344</v>
      </c>
      <c r="J49" s="171">
        <v>0.82352941176470584</v>
      </c>
      <c r="K49" s="171">
        <v>0.79</v>
      </c>
      <c r="L49" s="234">
        <v>0.76504297994269344</v>
      </c>
      <c r="M49" s="171">
        <v>0.75330396475770922</v>
      </c>
      <c r="N49" s="171">
        <v>0.78</v>
      </c>
      <c r="O49" s="171">
        <v>0.89</v>
      </c>
      <c r="P49" s="171">
        <v>0.92</v>
      </c>
      <c r="Q49" s="171">
        <v>0.86</v>
      </c>
      <c r="R49" s="171">
        <v>0.93</v>
      </c>
      <c r="S49" s="171">
        <v>0.92</v>
      </c>
      <c r="T49" s="171">
        <v>0.88</v>
      </c>
      <c r="U49" s="171">
        <v>0.87</v>
      </c>
      <c r="V49" s="171">
        <v>0.92</v>
      </c>
      <c r="W49" s="171">
        <v>0.94</v>
      </c>
      <c r="X49" s="171">
        <v>0.93</v>
      </c>
      <c r="Y49" s="171">
        <v>0.93</v>
      </c>
      <c r="Z49" s="171"/>
      <c r="AA49" s="171"/>
      <c r="AB49" s="163"/>
      <c r="AC49" s="172">
        <f t="shared" si="8"/>
        <v>9.1</v>
      </c>
      <c r="AD49" s="172">
        <f t="shared" si="9"/>
        <v>0.90999999999999992</v>
      </c>
      <c r="AE49" s="123"/>
      <c r="AF49" s="123"/>
      <c r="AG49" s="123"/>
      <c r="AH49" s="123"/>
      <c r="AI49" s="123"/>
      <c r="AJ49" s="123"/>
      <c r="AK49" s="123"/>
    </row>
    <row r="50" spans="1:37" ht="14.25" customHeight="1" x14ac:dyDescent="0.2">
      <c r="A50" s="123"/>
      <c r="B50" s="126" t="s">
        <v>147</v>
      </c>
      <c r="C50" s="125"/>
      <c r="AB50" s="123"/>
      <c r="AC50" s="148"/>
      <c r="AD50" s="148"/>
      <c r="AE50" s="123"/>
      <c r="AF50" s="123"/>
      <c r="AG50" s="123"/>
      <c r="AH50" s="123"/>
      <c r="AI50" s="123"/>
      <c r="AJ50" s="123"/>
      <c r="AK50" s="123"/>
    </row>
    <row r="51" spans="1:37" ht="14.25" customHeight="1" x14ac:dyDescent="0.2">
      <c r="A51" s="123"/>
      <c r="B51" s="164" t="s">
        <v>148</v>
      </c>
      <c r="C51" s="165"/>
      <c r="D51" s="166">
        <v>11492</v>
      </c>
      <c r="E51" s="167">
        <v>11891</v>
      </c>
      <c r="F51" s="167">
        <v>12649</v>
      </c>
      <c r="G51" s="167">
        <v>13216</v>
      </c>
      <c r="H51" s="167">
        <v>14066</v>
      </c>
      <c r="I51" s="167">
        <v>12877</v>
      </c>
      <c r="J51" s="167">
        <v>13248</v>
      </c>
      <c r="K51" s="167">
        <v>14168</v>
      </c>
      <c r="L51" s="232">
        <v>13663</v>
      </c>
      <c r="M51" s="167">
        <v>14496</v>
      </c>
      <c r="N51" s="167">
        <v>12883</v>
      </c>
      <c r="O51" s="167">
        <v>13325</v>
      </c>
      <c r="P51" s="167">
        <v>11802</v>
      </c>
      <c r="Q51" s="167">
        <v>11429</v>
      </c>
      <c r="R51" s="167">
        <v>12747</v>
      </c>
      <c r="S51" s="167">
        <v>13061</v>
      </c>
      <c r="T51" s="167">
        <v>13221</v>
      </c>
      <c r="U51" s="167">
        <v>12288</v>
      </c>
      <c r="V51" s="167">
        <v>12638</v>
      </c>
      <c r="W51" s="167">
        <v>13012</v>
      </c>
      <c r="X51" s="167">
        <v>12808</v>
      </c>
      <c r="Y51" s="167">
        <v>13248</v>
      </c>
      <c r="Z51" s="167"/>
      <c r="AA51" s="167"/>
      <c r="AB51" s="163"/>
      <c r="AC51" s="141">
        <f t="shared" ref="AC51:AC57" si="10">SUM(P51:AA51)</f>
        <v>126254</v>
      </c>
      <c r="AD51" s="141">
        <f t="shared" ref="AD51:AD57" si="11">IFERROR(AC51/(COUNT(P51:AA51)),0)</f>
        <v>12625.4</v>
      </c>
      <c r="AE51" s="123"/>
      <c r="AF51" s="123"/>
      <c r="AG51" s="123"/>
      <c r="AH51" s="123"/>
      <c r="AI51" s="123"/>
      <c r="AJ51" s="123"/>
      <c r="AK51" s="123"/>
    </row>
    <row r="52" spans="1:37" ht="14.25" customHeight="1" x14ac:dyDescent="0.2">
      <c r="A52" s="123"/>
      <c r="B52" s="164" t="s">
        <v>149</v>
      </c>
      <c r="C52" s="165"/>
      <c r="D52" s="166">
        <v>11199</v>
      </c>
      <c r="E52" s="167">
        <v>11689</v>
      </c>
      <c r="F52" s="167">
        <v>12370</v>
      </c>
      <c r="G52" s="167">
        <v>12860</v>
      </c>
      <c r="H52" s="167">
        <v>13599</v>
      </c>
      <c r="I52" s="167"/>
      <c r="J52" s="167"/>
      <c r="K52" s="167"/>
      <c r="L52" s="232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  <c r="AA52" s="167"/>
      <c r="AB52" s="163"/>
      <c r="AC52" s="141">
        <f t="shared" si="10"/>
        <v>0</v>
      </c>
      <c r="AD52" s="141">
        <f t="shared" si="11"/>
        <v>0</v>
      </c>
      <c r="AE52" s="142"/>
      <c r="AF52" s="123"/>
      <c r="AG52" s="123"/>
      <c r="AH52" s="123"/>
      <c r="AI52" s="123"/>
      <c r="AJ52" s="123"/>
      <c r="AK52" s="123"/>
    </row>
    <row r="53" spans="1:37" ht="14.25" customHeight="1" x14ac:dyDescent="0.2">
      <c r="A53" s="123"/>
      <c r="B53" s="164" t="s">
        <v>150</v>
      </c>
      <c r="C53" s="165"/>
      <c r="D53" s="168">
        <v>3.05</v>
      </c>
      <c r="E53" s="168">
        <v>2.5099999999999998</v>
      </c>
      <c r="F53" s="168">
        <v>2.5</v>
      </c>
      <c r="G53" s="168">
        <v>2.5099999999999998</v>
      </c>
      <c r="H53" s="168">
        <v>2.48</v>
      </c>
      <c r="I53" s="168">
        <v>2.5099999999999998</v>
      </c>
      <c r="J53" s="168">
        <v>2.5499999999999998</v>
      </c>
      <c r="K53" s="168">
        <v>2.48</v>
      </c>
      <c r="L53" s="233">
        <v>2.5099999999999998</v>
      </c>
      <c r="M53" s="168">
        <v>2.54</v>
      </c>
      <c r="N53" s="168">
        <v>2.57</v>
      </c>
      <c r="O53" s="168">
        <v>3.04</v>
      </c>
      <c r="P53" s="168">
        <v>3.03</v>
      </c>
      <c r="Q53" s="168">
        <v>3.1</v>
      </c>
      <c r="R53" s="168">
        <v>3.2</v>
      </c>
      <c r="S53" s="168">
        <v>3.15</v>
      </c>
      <c r="T53" s="168">
        <v>3.16</v>
      </c>
      <c r="U53" s="168">
        <v>3.08</v>
      </c>
      <c r="V53" s="168">
        <v>3.16</v>
      </c>
      <c r="W53" s="168">
        <v>3.24</v>
      </c>
      <c r="X53" s="168">
        <v>3.16</v>
      </c>
      <c r="Y53" s="168">
        <v>3.1</v>
      </c>
      <c r="Z53" s="168"/>
      <c r="AA53" s="168"/>
      <c r="AB53" s="163"/>
      <c r="AC53" s="169">
        <f t="shared" si="10"/>
        <v>31.38</v>
      </c>
      <c r="AD53" s="169">
        <f t="shared" si="11"/>
        <v>3.1379999999999999</v>
      </c>
      <c r="AE53" s="142"/>
      <c r="AF53" s="123"/>
      <c r="AG53" s="123"/>
      <c r="AH53" s="123"/>
      <c r="AI53" s="123"/>
      <c r="AJ53" s="123"/>
      <c r="AK53" s="123"/>
    </row>
    <row r="54" spans="1:37" ht="14.25" customHeight="1" x14ac:dyDescent="0.2">
      <c r="A54" s="123"/>
      <c r="B54" s="164" t="s">
        <v>151</v>
      </c>
      <c r="C54" s="165"/>
      <c r="D54" s="166">
        <v>10314</v>
      </c>
      <c r="E54" s="167">
        <v>10801</v>
      </c>
      <c r="F54" s="167">
        <v>11272</v>
      </c>
      <c r="G54" s="167">
        <v>11229</v>
      </c>
      <c r="H54" s="167">
        <v>11376</v>
      </c>
      <c r="I54" s="167">
        <v>10492</v>
      </c>
      <c r="J54" s="167">
        <v>11428</v>
      </c>
      <c r="K54" s="167">
        <v>11455</v>
      </c>
      <c r="L54" s="232">
        <v>10681</v>
      </c>
      <c r="M54" s="167">
        <v>11343</v>
      </c>
      <c r="N54" s="167">
        <v>10262</v>
      </c>
      <c r="O54" s="167">
        <v>11362</v>
      </c>
      <c r="P54" s="167">
        <v>10132</v>
      </c>
      <c r="Q54" s="167">
        <v>9515</v>
      </c>
      <c r="R54" s="167">
        <v>11419</v>
      </c>
      <c r="S54" s="167">
        <v>11863</v>
      </c>
      <c r="T54" s="167">
        <v>11903</v>
      </c>
      <c r="U54" s="167">
        <v>10768</v>
      </c>
      <c r="V54" s="167">
        <v>11204</v>
      </c>
      <c r="W54" s="167">
        <v>10863</v>
      </c>
      <c r="X54" s="167">
        <v>11349</v>
      </c>
      <c r="Y54" s="167">
        <v>11859</v>
      </c>
      <c r="Z54" s="167"/>
      <c r="AA54" s="167"/>
      <c r="AB54" s="163"/>
      <c r="AC54" s="141">
        <f t="shared" si="10"/>
        <v>110875</v>
      </c>
      <c r="AD54" s="141">
        <f t="shared" si="11"/>
        <v>11087.5</v>
      </c>
      <c r="AE54" s="123"/>
      <c r="AF54" s="123"/>
      <c r="AG54" s="123"/>
      <c r="AH54" s="123"/>
      <c r="AI54" s="123"/>
      <c r="AJ54" s="123"/>
      <c r="AK54" s="123"/>
    </row>
    <row r="55" spans="1:37" ht="14.25" customHeight="1" x14ac:dyDescent="0.2">
      <c r="A55" s="123"/>
      <c r="B55" s="164" t="s">
        <v>152</v>
      </c>
      <c r="C55" s="165"/>
      <c r="D55" s="166" t="s">
        <v>153</v>
      </c>
      <c r="E55" s="167">
        <v>133</v>
      </c>
      <c r="F55" s="167">
        <v>191</v>
      </c>
      <c r="G55" s="167">
        <v>304</v>
      </c>
      <c r="H55" s="167">
        <v>411</v>
      </c>
      <c r="I55" s="167">
        <v>405</v>
      </c>
      <c r="J55" s="167">
        <v>246</v>
      </c>
      <c r="K55" s="167">
        <v>626</v>
      </c>
      <c r="L55" s="232">
        <v>573</v>
      </c>
      <c r="M55" s="167">
        <v>367</v>
      </c>
      <c r="N55" s="167">
        <v>331</v>
      </c>
      <c r="O55" s="167">
        <v>184</v>
      </c>
      <c r="P55" s="167">
        <v>135</v>
      </c>
      <c r="Q55" s="167">
        <v>157</v>
      </c>
      <c r="R55" s="167">
        <v>196</v>
      </c>
      <c r="S55" s="167">
        <v>119</v>
      </c>
      <c r="T55" s="167">
        <v>139</v>
      </c>
      <c r="U55" s="167">
        <v>322</v>
      </c>
      <c r="V55" s="167">
        <v>174</v>
      </c>
      <c r="W55" s="167">
        <v>206</v>
      </c>
      <c r="X55" s="167">
        <v>75</v>
      </c>
      <c r="Y55" s="167">
        <v>145</v>
      </c>
      <c r="Z55" s="167"/>
      <c r="AA55" s="167"/>
      <c r="AB55" s="163"/>
      <c r="AC55" s="141">
        <f t="shared" si="10"/>
        <v>1668</v>
      </c>
      <c r="AD55" s="141">
        <f t="shared" si="11"/>
        <v>166.8</v>
      </c>
      <c r="AE55" s="123"/>
      <c r="AF55" s="123"/>
      <c r="AG55" s="123"/>
      <c r="AH55" s="123"/>
      <c r="AI55" s="123"/>
      <c r="AJ55" s="123"/>
      <c r="AK55" s="123"/>
    </row>
    <row r="56" spans="1:37" ht="14.25" customHeight="1" x14ac:dyDescent="0.2">
      <c r="A56" s="123"/>
      <c r="B56" s="164" t="s">
        <v>154</v>
      </c>
      <c r="C56" s="165"/>
      <c r="D56" s="170">
        <v>1.3748694744169856E-2</v>
      </c>
      <c r="E56" s="171">
        <v>1.12E-2</v>
      </c>
      <c r="F56" s="171">
        <v>1.5100007905763302E-2</v>
      </c>
      <c r="G56" s="171">
        <v>2.3002421307506054E-2</v>
      </c>
      <c r="H56" s="171">
        <v>2.9219394284089293E-2</v>
      </c>
      <c r="I56" s="171">
        <v>3.1451425021355908E-2</v>
      </c>
      <c r="J56" s="171">
        <v>1.8568840579710144E-2</v>
      </c>
      <c r="K56" s="171">
        <v>0.04</v>
      </c>
      <c r="L56" s="234">
        <v>4.1938080948547174E-2</v>
      </c>
      <c r="M56" s="171">
        <v>2.5317328918322297E-2</v>
      </c>
      <c r="N56" s="171">
        <v>0.03</v>
      </c>
      <c r="O56" s="171">
        <v>0.02</v>
      </c>
      <c r="P56" s="171">
        <v>0.01</v>
      </c>
      <c r="Q56" s="171">
        <v>0.01</v>
      </c>
      <c r="R56" s="171">
        <v>1.5376166941241077E-2</v>
      </c>
      <c r="S56" s="171">
        <v>9.1110940969297907E-3</v>
      </c>
      <c r="T56" s="171">
        <v>0</v>
      </c>
      <c r="U56" s="171">
        <v>2.6204427083333332E-2</v>
      </c>
      <c r="V56" s="171">
        <v>1.3768001266023105E-2</v>
      </c>
      <c r="W56" s="171">
        <v>1.5831540116815247E-2</v>
      </c>
      <c r="X56" s="171">
        <v>5.8557151780137418E-3</v>
      </c>
      <c r="Y56" s="171">
        <v>1.0945048309178744E-2</v>
      </c>
      <c r="Z56" s="171"/>
      <c r="AA56" s="171"/>
      <c r="AB56" s="163"/>
      <c r="AC56" s="172">
        <f t="shared" si="10"/>
        <v>0.11709199299153503</v>
      </c>
      <c r="AD56" s="172">
        <f t="shared" si="11"/>
        <v>1.1709199299153502E-2</v>
      </c>
      <c r="AE56" s="123"/>
      <c r="AF56" s="123"/>
      <c r="AG56" s="123"/>
      <c r="AH56" s="123"/>
      <c r="AI56" s="123"/>
      <c r="AJ56" s="123"/>
      <c r="AK56" s="123"/>
    </row>
    <row r="57" spans="1:37" ht="14.25" customHeight="1" x14ac:dyDescent="0.2">
      <c r="A57" s="123"/>
      <c r="B57" s="164" t="s">
        <v>155</v>
      </c>
      <c r="C57" s="165"/>
      <c r="D57" s="170">
        <v>0.92097508706134479</v>
      </c>
      <c r="E57" s="171">
        <v>0.92</v>
      </c>
      <c r="F57" s="171">
        <v>0.91123686337914311</v>
      </c>
      <c r="G57" s="171">
        <v>0.87317262830482112</v>
      </c>
      <c r="H57" s="171">
        <v>0.83653209794837857</v>
      </c>
      <c r="I57" s="171">
        <v>0.8147860526520152</v>
      </c>
      <c r="J57" s="171">
        <v>0.8626207729468599</v>
      </c>
      <c r="K57" s="171">
        <v>0.81</v>
      </c>
      <c r="L57" s="234">
        <v>0.78174632218400053</v>
      </c>
      <c r="M57" s="171">
        <v>0.7824917218543046</v>
      </c>
      <c r="N57" s="171">
        <v>0.8</v>
      </c>
      <c r="O57" s="171">
        <v>0.87</v>
      </c>
      <c r="P57" s="171">
        <v>0.88</v>
      </c>
      <c r="Q57" s="171">
        <v>0.86</v>
      </c>
      <c r="R57" s="171">
        <v>0.92</v>
      </c>
      <c r="S57" s="171">
        <v>0.92</v>
      </c>
      <c r="T57" s="171">
        <v>0.91</v>
      </c>
      <c r="U57" s="171">
        <v>0.89</v>
      </c>
      <c r="V57" s="171">
        <v>0.9</v>
      </c>
      <c r="W57" s="171">
        <v>0.86</v>
      </c>
      <c r="X57" s="171">
        <v>0.91</v>
      </c>
      <c r="Y57" s="171">
        <v>0.91</v>
      </c>
      <c r="Z57" s="171"/>
      <c r="AA57" s="171"/>
      <c r="AB57" s="163"/>
      <c r="AC57" s="172">
        <f t="shared" si="10"/>
        <v>8.9600000000000009</v>
      </c>
      <c r="AD57" s="172">
        <f t="shared" si="11"/>
        <v>0.89600000000000013</v>
      </c>
      <c r="AE57" s="123"/>
      <c r="AF57" s="123"/>
      <c r="AG57" s="123"/>
      <c r="AH57" s="123"/>
      <c r="AI57" s="123"/>
      <c r="AJ57" s="123"/>
      <c r="AK57" s="123"/>
    </row>
    <row r="58" spans="1:37" ht="14.25" customHeight="1" x14ac:dyDescent="0.2">
      <c r="A58" s="123"/>
      <c r="B58" s="126" t="s">
        <v>156</v>
      </c>
      <c r="C58" s="173"/>
      <c r="D58" s="174"/>
      <c r="E58" s="174"/>
      <c r="F58" s="174"/>
      <c r="G58" s="174"/>
      <c r="H58" s="174"/>
      <c r="I58" s="174"/>
      <c r="J58" s="174"/>
      <c r="K58" s="174"/>
      <c r="L58" s="235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48"/>
      <c r="AC58" s="175"/>
      <c r="AD58" s="176"/>
      <c r="AE58" s="123"/>
      <c r="AF58" s="123"/>
      <c r="AG58" s="123"/>
      <c r="AH58" s="123"/>
      <c r="AI58" s="123"/>
      <c r="AJ58" s="123"/>
      <c r="AK58" s="123"/>
    </row>
    <row r="59" spans="1:37" ht="14.25" customHeight="1" x14ac:dyDescent="0.2">
      <c r="A59" s="123"/>
      <c r="B59" s="164" t="s">
        <v>157</v>
      </c>
      <c r="C59" s="165"/>
      <c r="D59" s="177">
        <v>16</v>
      </c>
      <c r="E59" s="177">
        <v>16</v>
      </c>
      <c r="F59" s="177">
        <v>16</v>
      </c>
      <c r="G59" s="177">
        <v>16</v>
      </c>
      <c r="H59" s="177">
        <v>16</v>
      </c>
      <c r="I59" s="177">
        <v>16</v>
      </c>
      <c r="J59" s="177">
        <v>16</v>
      </c>
      <c r="K59" s="177">
        <v>16</v>
      </c>
      <c r="L59" s="231">
        <v>16</v>
      </c>
      <c r="M59" s="177">
        <v>16</v>
      </c>
      <c r="N59" s="177">
        <v>16</v>
      </c>
      <c r="O59" s="177">
        <v>16</v>
      </c>
      <c r="P59" s="177">
        <v>16</v>
      </c>
      <c r="Q59" s="177">
        <v>16</v>
      </c>
      <c r="R59" s="177">
        <v>16</v>
      </c>
      <c r="S59" s="177">
        <v>16</v>
      </c>
      <c r="T59" s="177">
        <v>16</v>
      </c>
      <c r="U59" s="177">
        <v>16</v>
      </c>
      <c r="V59" s="177">
        <v>16</v>
      </c>
      <c r="W59" s="177">
        <v>16</v>
      </c>
      <c r="X59" s="177">
        <v>16</v>
      </c>
      <c r="Y59" s="177">
        <v>16</v>
      </c>
      <c r="Z59" s="177"/>
      <c r="AA59" s="177"/>
      <c r="AB59" s="163"/>
      <c r="AC59" s="141">
        <f t="shared" ref="AC59:AC62" si="12">SUM(P59:AA59)</f>
        <v>160</v>
      </c>
      <c r="AD59" s="141">
        <f t="shared" ref="AD59:AD62" si="13">IFERROR(AC59/(COUNT(P59:AA59)),0)</f>
        <v>16</v>
      </c>
      <c r="AE59" s="123"/>
      <c r="AF59" s="123"/>
      <c r="AG59" s="123"/>
      <c r="AH59" s="123"/>
      <c r="AI59" s="123"/>
      <c r="AJ59" s="123"/>
      <c r="AK59" s="123"/>
    </row>
    <row r="60" spans="1:37" ht="14.25" customHeight="1" x14ac:dyDescent="0.2">
      <c r="A60" s="123"/>
      <c r="B60" s="164" t="s">
        <v>158</v>
      </c>
      <c r="C60" s="165"/>
      <c r="D60" s="139">
        <v>330.875</v>
      </c>
      <c r="E60" s="139">
        <v>326.5625</v>
      </c>
      <c r="F60" s="139">
        <v>340.8125</v>
      </c>
      <c r="G60" s="139">
        <v>360.1875</v>
      </c>
      <c r="H60" s="139">
        <v>381.3125</v>
      </c>
      <c r="I60" s="139">
        <v>363</v>
      </c>
      <c r="J60" s="139">
        <v>357.8125</v>
      </c>
      <c r="K60" s="139">
        <v>367.625</v>
      </c>
      <c r="L60" s="236">
        <v>359.5</v>
      </c>
      <c r="M60" s="139">
        <v>386.75</v>
      </c>
      <c r="N60" s="139">
        <v>377.8125</v>
      </c>
      <c r="O60" s="139">
        <v>381.875</v>
      </c>
      <c r="P60" s="139">
        <v>354.3125</v>
      </c>
      <c r="Q60" s="139">
        <v>320.0625</v>
      </c>
      <c r="R60" s="139">
        <v>359.75</v>
      </c>
      <c r="S60" s="139">
        <v>352.8125</v>
      </c>
      <c r="T60" s="139">
        <v>358.6875</v>
      </c>
      <c r="U60" s="139">
        <v>355.375</v>
      </c>
      <c r="V60" s="139">
        <v>359.25</v>
      </c>
      <c r="W60" s="139">
        <v>382.375</v>
      </c>
      <c r="X60" s="139">
        <v>364.8125</v>
      </c>
      <c r="Y60" s="139">
        <v>380.0625</v>
      </c>
      <c r="Z60" s="139"/>
      <c r="AA60" s="139"/>
      <c r="AB60" s="163"/>
      <c r="AC60" s="141">
        <f t="shared" si="12"/>
        <v>3587.5</v>
      </c>
      <c r="AD60" s="141">
        <f t="shared" si="13"/>
        <v>358.75</v>
      </c>
      <c r="AE60" s="123"/>
      <c r="AF60" s="123"/>
      <c r="AG60" s="123"/>
      <c r="AH60" s="123"/>
      <c r="AI60" s="123"/>
      <c r="AJ60" s="123"/>
      <c r="AK60" s="123"/>
    </row>
    <row r="61" spans="1:37" ht="14.25" customHeight="1" x14ac:dyDescent="0.2">
      <c r="A61" s="123"/>
      <c r="B61" s="164" t="s">
        <v>159</v>
      </c>
      <c r="C61" s="165"/>
      <c r="D61" s="139">
        <v>230.25</v>
      </c>
      <c r="E61" s="139">
        <v>227.25</v>
      </c>
      <c r="F61" s="139">
        <v>238.1875</v>
      </c>
      <c r="G61" s="139">
        <v>252.9375</v>
      </c>
      <c r="H61" s="139">
        <v>263.125</v>
      </c>
      <c r="I61" s="139">
        <v>248.3125</v>
      </c>
      <c r="J61" s="139">
        <v>240.875</v>
      </c>
      <c r="K61" s="139">
        <v>255.8125</v>
      </c>
      <c r="L61" s="236">
        <v>242.3125</v>
      </c>
      <c r="M61" s="139">
        <v>274.0625</v>
      </c>
      <c r="N61" s="139">
        <v>265.125</v>
      </c>
      <c r="O61" s="139">
        <v>269.75</v>
      </c>
      <c r="P61" s="139">
        <v>251.9375</v>
      </c>
      <c r="Q61" s="139">
        <v>230.6875</v>
      </c>
      <c r="R61" s="139">
        <v>260.25</v>
      </c>
      <c r="S61" s="139">
        <v>252.875</v>
      </c>
      <c r="T61" s="139">
        <v>258.4375</v>
      </c>
      <c r="U61" s="139">
        <v>253.25</v>
      </c>
      <c r="V61" s="139">
        <v>263.3125</v>
      </c>
      <c r="W61" s="139">
        <v>280.4375</v>
      </c>
      <c r="X61" s="139">
        <v>269.125</v>
      </c>
      <c r="Y61" s="139">
        <v>288.3125</v>
      </c>
      <c r="Z61" s="139"/>
      <c r="AA61" s="139"/>
      <c r="AB61" s="163"/>
      <c r="AC61" s="141">
        <f t="shared" si="12"/>
        <v>2608.625</v>
      </c>
      <c r="AD61" s="141">
        <f t="shared" si="13"/>
        <v>260.86250000000001</v>
      </c>
      <c r="AE61" s="123"/>
      <c r="AF61" s="123"/>
      <c r="AG61" s="123"/>
      <c r="AH61" s="123"/>
      <c r="AI61" s="123"/>
      <c r="AJ61" s="123"/>
      <c r="AK61" s="123"/>
    </row>
    <row r="62" spans="1:37" ht="14.25" customHeight="1" x14ac:dyDescent="0.2">
      <c r="A62" s="123"/>
      <c r="B62" s="164" t="s">
        <v>160</v>
      </c>
      <c r="C62" s="165"/>
      <c r="D62" s="139">
        <v>719.875</v>
      </c>
      <c r="E62" s="139">
        <v>750.75</v>
      </c>
      <c r="F62" s="139">
        <v>796.375</v>
      </c>
      <c r="G62" s="139">
        <v>830.0625</v>
      </c>
      <c r="H62" s="139">
        <v>875.4375</v>
      </c>
      <c r="I62" s="139">
        <v>0</v>
      </c>
      <c r="J62" s="139">
        <v>0</v>
      </c>
      <c r="K62" s="139">
        <v>0</v>
      </c>
      <c r="L62" s="236">
        <v>0</v>
      </c>
      <c r="M62" s="139">
        <v>0</v>
      </c>
      <c r="N62" s="139">
        <v>0</v>
      </c>
      <c r="O62" s="139">
        <v>0</v>
      </c>
      <c r="P62" s="139">
        <v>0</v>
      </c>
      <c r="Q62" s="139">
        <v>0</v>
      </c>
      <c r="R62" s="139">
        <v>0</v>
      </c>
      <c r="S62" s="139">
        <v>0</v>
      </c>
      <c r="T62" s="139">
        <v>0</v>
      </c>
      <c r="U62" s="139">
        <v>0</v>
      </c>
      <c r="V62" s="139">
        <v>0</v>
      </c>
      <c r="W62" s="139">
        <v>0</v>
      </c>
      <c r="X62" s="139">
        <v>0</v>
      </c>
      <c r="Y62" s="139">
        <v>0</v>
      </c>
      <c r="Z62" s="139"/>
      <c r="AA62" s="139"/>
      <c r="AB62" s="163"/>
      <c r="AC62" s="141">
        <f t="shared" si="12"/>
        <v>0</v>
      </c>
      <c r="AD62" s="141">
        <f t="shared" si="13"/>
        <v>0</v>
      </c>
      <c r="AE62" s="123"/>
      <c r="AF62" s="123"/>
      <c r="AG62" s="123"/>
      <c r="AH62" s="123"/>
      <c r="AI62" s="123"/>
      <c r="AJ62" s="123"/>
      <c r="AK62" s="123"/>
    </row>
    <row r="63" spans="1:37" ht="14.25" customHeight="1" x14ac:dyDescent="0.2">
      <c r="A63" s="123"/>
      <c r="B63" s="126" t="s">
        <v>161</v>
      </c>
      <c r="C63" s="178"/>
      <c r="AB63" s="123"/>
      <c r="AC63" s="148"/>
      <c r="AD63" s="148"/>
      <c r="AE63" s="123"/>
      <c r="AF63" s="123"/>
      <c r="AG63" s="123"/>
      <c r="AH63" s="123"/>
      <c r="AI63" s="123"/>
      <c r="AJ63" s="123"/>
      <c r="AK63" s="123"/>
    </row>
    <row r="64" spans="1:37" ht="14.25" customHeight="1" x14ac:dyDescent="0.2">
      <c r="A64" s="123"/>
      <c r="B64" s="164" t="s">
        <v>162</v>
      </c>
      <c r="C64" s="161"/>
      <c r="D64" s="167"/>
      <c r="E64" s="167"/>
      <c r="F64" s="167"/>
      <c r="G64" s="167"/>
      <c r="H64" s="167"/>
      <c r="I64" s="167"/>
      <c r="J64" s="167"/>
      <c r="K64" s="167"/>
      <c r="L64" s="232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  <c r="AA64" s="167"/>
      <c r="AB64" s="140"/>
      <c r="AC64" s="141">
        <f t="shared" ref="AC64:AC70" si="14">SUM(P64:AA64)</f>
        <v>0</v>
      </c>
      <c r="AD64" s="141">
        <f t="shared" ref="AD64:AD70" si="15">IFERROR(AC64/(COUNT(P64:AA64)),0)</f>
        <v>0</v>
      </c>
      <c r="AE64" s="123"/>
      <c r="AF64" s="123"/>
      <c r="AG64" s="123"/>
      <c r="AH64" s="123"/>
      <c r="AI64" s="123"/>
      <c r="AJ64" s="123"/>
      <c r="AK64" s="123"/>
    </row>
    <row r="65" spans="1:37" ht="14.25" customHeight="1" x14ac:dyDescent="0.2">
      <c r="A65" s="123"/>
      <c r="B65" s="164" t="s">
        <v>163</v>
      </c>
      <c r="C65" s="161"/>
      <c r="D65" s="167"/>
      <c r="E65" s="167"/>
      <c r="F65" s="167"/>
      <c r="G65" s="167"/>
      <c r="H65" s="167"/>
      <c r="I65" s="167"/>
      <c r="J65" s="167"/>
      <c r="K65" s="167"/>
      <c r="L65" s="232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40"/>
      <c r="AC65" s="141">
        <f t="shared" si="14"/>
        <v>0</v>
      </c>
      <c r="AD65" s="141">
        <f t="shared" si="15"/>
        <v>0</v>
      </c>
      <c r="AE65" s="123"/>
      <c r="AF65" s="123"/>
      <c r="AG65" s="123"/>
      <c r="AH65" s="123"/>
      <c r="AI65" s="123"/>
      <c r="AJ65" s="123"/>
      <c r="AK65" s="123"/>
    </row>
    <row r="66" spans="1:37" ht="14.25" customHeight="1" x14ac:dyDescent="0.2">
      <c r="A66" s="123"/>
      <c r="B66" s="164" t="s">
        <v>164</v>
      </c>
      <c r="C66" s="161"/>
      <c r="D66" s="179"/>
      <c r="E66" s="179"/>
      <c r="F66" s="179"/>
      <c r="G66" s="179"/>
      <c r="H66" s="179"/>
      <c r="I66" s="179"/>
      <c r="J66" s="179"/>
      <c r="K66" s="179"/>
      <c r="L66" s="237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40"/>
      <c r="AC66" s="169">
        <f t="shared" si="14"/>
        <v>0</v>
      </c>
      <c r="AD66" s="169">
        <f t="shared" si="15"/>
        <v>0</v>
      </c>
      <c r="AE66" s="123"/>
      <c r="AF66" s="123"/>
      <c r="AG66" s="123"/>
      <c r="AH66" s="123"/>
      <c r="AI66" s="123"/>
      <c r="AJ66" s="123"/>
      <c r="AK66" s="123"/>
    </row>
    <row r="67" spans="1:37" ht="14.25" customHeight="1" x14ac:dyDescent="0.2">
      <c r="A67" s="123"/>
      <c r="B67" s="164" t="s">
        <v>165</v>
      </c>
      <c r="C67" s="161"/>
      <c r="D67" s="167"/>
      <c r="E67" s="167"/>
      <c r="F67" s="167"/>
      <c r="G67" s="167"/>
      <c r="H67" s="167"/>
      <c r="I67" s="167"/>
      <c r="J67" s="167"/>
      <c r="K67" s="167"/>
      <c r="L67" s="232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40"/>
      <c r="AC67" s="141">
        <f t="shared" si="14"/>
        <v>0</v>
      </c>
      <c r="AD67" s="141">
        <f t="shared" si="15"/>
        <v>0</v>
      </c>
      <c r="AE67" s="123"/>
      <c r="AF67" s="123"/>
      <c r="AG67" s="123"/>
      <c r="AH67" s="123"/>
      <c r="AI67" s="123"/>
      <c r="AJ67" s="123"/>
      <c r="AK67" s="123"/>
    </row>
    <row r="68" spans="1:37" ht="14.25" customHeight="1" x14ac:dyDescent="0.2">
      <c r="A68" s="123"/>
      <c r="B68" s="164" t="s">
        <v>166</v>
      </c>
      <c r="C68" s="161"/>
      <c r="D68" s="167"/>
      <c r="E68" s="167"/>
      <c r="F68" s="167"/>
      <c r="G68" s="167"/>
      <c r="H68" s="167"/>
      <c r="I68" s="167"/>
      <c r="J68" s="167"/>
      <c r="K68" s="167"/>
      <c r="L68" s="232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  <c r="AB68" s="140"/>
      <c r="AC68" s="141">
        <f t="shared" si="14"/>
        <v>0</v>
      </c>
      <c r="AD68" s="141">
        <f t="shared" si="15"/>
        <v>0</v>
      </c>
      <c r="AE68" s="123"/>
      <c r="AF68" s="123"/>
      <c r="AG68" s="123"/>
      <c r="AH68" s="123"/>
      <c r="AI68" s="123"/>
      <c r="AJ68" s="123"/>
      <c r="AK68" s="123"/>
    </row>
    <row r="69" spans="1:37" ht="14.25" customHeight="1" x14ac:dyDescent="0.2">
      <c r="A69" s="123"/>
      <c r="B69" s="164" t="s">
        <v>167</v>
      </c>
      <c r="C69" s="161"/>
      <c r="D69" s="180"/>
      <c r="E69" s="180"/>
      <c r="F69" s="180"/>
      <c r="G69" s="180"/>
      <c r="H69" s="180"/>
      <c r="I69" s="180"/>
      <c r="J69" s="180"/>
      <c r="K69" s="180"/>
      <c r="L69" s="238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40"/>
      <c r="AC69" s="172">
        <f t="shared" si="14"/>
        <v>0</v>
      </c>
      <c r="AD69" s="172">
        <f t="shared" si="15"/>
        <v>0</v>
      </c>
      <c r="AE69" s="123"/>
      <c r="AF69" s="123"/>
      <c r="AG69" s="123"/>
      <c r="AH69" s="123"/>
      <c r="AI69" s="123"/>
      <c r="AJ69" s="123"/>
      <c r="AK69" s="123"/>
    </row>
    <row r="70" spans="1:37" ht="14.25" customHeight="1" x14ac:dyDescent="0.2">
      <c r="A70" s="123"/>
      <c r="B70" s="164" t="s">
        <v>168</v>
      </c>
      <c r="C70" s="161"/>
      <c r="D70" s="180"/>
      <c r="E70" s="180"/>
      <c r="F70" s="180"/>
      <c r="G70" s="180"/>
      <c r="H70" s="180"/>
      <c r="I70" s="180"/>
      <c r="J70" s="180"/>
      <c r="K70" s="180"/>
      <c r="L70" s="239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40"/>
      <c r="AC70" s="172">
        <f t="shared" si="14"/>
        <v>0</v>
      </c>
      <c r="AD70" s="172">
        <f t="shared" si="15"/>
        <v>0</v>
      </c>
      <c r="AE70" s="123"/>
      <c r="AF70" s="123"/>
      <c r="AG70" s="123"/>
      <c r="AH70" s="123"/>
      <c r="AI70" s="123"/>
      <c r="AJ70" s="123"/>
      <c r="AK70" s="123"/>
    </row>
    <row r="71" spans="1:37" ht="14.25" customHeight="1" x14ac:dyDescent="0.2">
      <c r="A71" s="123"/>
      <c r="B71" s="126" t="s">
        <v>169</v>
      </c>
      <c r="C71" s="173"/>
      <c r="D71" s="174"/>
      <c r="E71" s="174"/>
      <c r="F71" s="174"/>
      <c r="G71" s="174"/>
      <c r="H71" s="174"/>
      <c r="I71" s="174"/>
      <c r="J71" s="174"/>
      <c r="K71" s="174"/>
      <c r="L71" s="235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  <c r="AA71" s="174"/>
      <c r="AB71" s="48"/>
      <c r="AC71" s="175"/>
      <c r="AD71" s="176"/>
      <c r="AE71" s="123"/>
      <c r="AF71" s="123"/>
      <c r="AG71" s="123"/>
      <c r="AH71" s="123"/>
      <c r="AI71" s="123"/>
      <c r="AJ71" s="123"/>
      <c r="AK71" s="123"/>
    </row>
    <row r="72" spans="1:37" ht="14.25" customHeight="1" x14ac:dyDescent="0.2">
      <c r="A72" s="123"/>
      <c r="B72" s="164" t="s">
        <v>170</v>
      </c>
      <c r="C72" s="165"/>
      <c r="D72" s="181"/>
      <c r="E72" s="181"/>
      <c r="F72" s="181"/>
      <c r="G72" s="181"/>
      <c r="H72" s="181"/>
      <c r="I72" s="181"/>
      <c r="J72" s="181"/>
      <c r="K72" s="181"/>
      <c r="L72" s="240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63"/>
      <c r="AC72" s="141">
        <v>0</v>
      </c>
      <c r="AD72" s="141">
        <v>0</v>
      </c>
      <c r="AE72" s="123"/>
      <c r="AF72" s="123"/>
      <c r="AG72" s="123"/>
      <c r="AH72" s="123"/>
      <c r="AI72" s="123"/>
      <c r="AJ72" s="123"/>
      <c r="AK72" s="123"/>
    </row>
    <row r="73" spans="1:37" ht="14.25" customHeight="1" x14ac:dyDescent="0.2">
      <c r="A73" s="123"/>
      <c r="B73" s="164" t="s">
        <v>171</v>
      </c>
      <c r="C73" s="165"/>
      <c r="D73" s="139"/>
      <c r="E73" s="139"/>
      <c r="F73" s="139"/>
      <c r="G73" s="139"/>
      <c r="H73" s="139"/>
      <c r="I73" s="139"/>
      <c r="J73" s="139"/>
      <c r="K73" s="139"/>
      <c r="L73" s="236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39"/>
      <c r="Z73" s="139"/>
      <c r="AA73" s="139"/>
      <c r="AB73" s="163"/>
      <c r="AC73" s="141">
        <v>0</v>
      </c>
      <c r="AD73" s="141">
        <v>0</v>
      </c>
      <c r="AE73" s="123"/>
      <c r="AF73" s="123"/>
      <c r="AG73" s="123"/>
      <c r="AH73" s="123"/>
      <c r="AI73" s="123"/>
      <c r="AJ73" s="123"/>
      <c r="AK73" s="123"/>
    </row>
    <row r="74" spans="1:37" ht="14.25" customHeight="1" x14ac:dyDescent="0.2">
      <c r="A74" s="123"/>
      <c r="B74" s="126" t="s">
        <v>172</v>
      </c>
      <c r="C74" s="173"/>
      <c r="D74" s="174"/>
      <c r="E74" s="174"/>
      <c r="F74" s="174"/>
      <c r="G74" s="174"/>
      <c r="H74" s="174"/>
      <c r="I74" s="174"/>
      <c r="J74" s="174"/>
      <c r="K74" s="174"/>
      <c r="L74" s="235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  <c r="AA74" s="174"/>
      <c r="AB74" s="174"/>
      <c r="AC74" s="174"/>
      <c r="AD74" s="174"/>
      <c r="AE74" s="123"/>
      <c r="AF74" s="123"/>
      <c r="AG74" s="123"/>
      <c r="AH74" s="123"/>
      <c r="AI74" s="123"/>
      <c r="AJ74" s="123"/>
      <c r="AK74" s="123"/>
    </row>
    <row r="75" spans="1:37" ht="14.25" customHeight="1" x14ac:dyDescent="0.2">
      <c r="A75" s="123"/>
      <c r="B75" s="164" t="s">
        <v>173</v>
      </c>
      <c r="C75" s="165"/>
      <c r="D75" s="166">
        <v>11222</v>
      </c>
      <c r="E75" s="166">
        <v>11871</v>
      </c>
      <c r="F75" s="166">
        <v>12249</v>
      </c>
      <c r="G75" s="166">
        <v>11452</v>
      </c>
      <c r="H75" s="166"/>
      <c r="I75" s="166"/>
      <c r="J75" s="166"/>
      <c r="K75" s="166"/>
      <c r="L75" s="241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82"/>
      <c r="AC75" s="141">
        <v>0</v>
      </c>
      <c r="AD75" s="141">
        <v>0</v>
      </c>
      <c r="AE75" s="123"/>
      <c r="AF75" s="123"/>
      <c r="AG75" s="123"/>
      <c r="AH75" s="123"/>
      <c r="AI75" s="123"/>
      <c r="AJ75" s="123"/>
      <c r="AK75" s="123"/>
    </row>
    <row r="76" spans="1:37" ht="14.25" customHeight="1" x14ac:dyDescent="0.2">
      <c r="A76" s="123"/>
      <c r="B76" s="164" t="s">
        <v>174</v>
      </c>
      <c r="C76" s="165"/>
      <c r="D76" s="166">
        <v>6480</v>
      </c>
      <c r="E76" s="166">
        <v>6429</v>
      </c>
      <c r="F76" s="166">
        <v>6319</v>
      </c>
      <c r="G76" s="166">
        <v>6559</v>
      </c>
      <c r="H76" s="166"/>
      <c r="I76" s="166"/>
      <c r="J76" s="166"/>
      <c r="K76" s="166"/>
      <c r="L76" s="241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82"/>
      <c r="AC76" s="141">
        <v>0</v>
      </c>
      <c r="AD76" s="141">
        <v>0</v>
      </c>
      <c r="AE76" s="123"/>
      <c r="AF76" s="123"/>
      <c r="AG76" s="123"/>
      <c r="AH76" s="123"/>
      <c r="AI76" s="123"/>
      <c r="AJ76" s="123"/>
      <c r="AK76" s="123"/>
    </row>
    <row r="77" spans="1:37" s="254" customFormat="1" ht="14.25" customHeight="1" x14ac:dyDescent="0.2">
      <c r="A77" s="247"/>
      <c r="B77" s="248" t="s">
        <v>175</v>
      </c>
      <c r="C77" s="249"/>
      <c r="D77" s="250">
        <v>17702</v>
      </c>
      <c r="E77" s="250">
        <v>18300</v>
      </c>
      <c r="F77" s="250">
        <v>18568</v>
      </c>
      <c r="G77" s="250">
        <v>18011</v>
      </c>
      <c r="H77" s="250">
        <v>10704</v>
      </c>
      <c r="I77" s="250">
        <v>9725</v>
      </c>
      <c r="J77" s="250">
        <v>9514</v>
      </c>
      <c r="K77" s="250">
        <v>9563</v>
      </c>
      <c r="L77" s="251">
        <v>8772</v>
      </c>
      <c r="M77" s="250">
        <v>9596</v>
      </c>
      <c r="N77" s="250">
        <v>8996</v>
      </c>
      <c r="O77" s="250">
        <v>9810</v>
      </c>
      <c r="P77" s="250">
        <v>10400</v>
      </c>
      <c r="Q77" s="250">
        <v>8832</v>
      </c>
      <c r="R77" s="250">
        <v>10193</v>
      </c>
      <c r="S77" s="250">
        <v>10126</v>
      </c>
      <c r="T77" s="250">
        <v>10816</v>
      </c>
      <c r="U77" s="250">
        <v>8650</v>
      </c>
      <c r="V77" s="250">
        <v>8698</v>
      </c>
      <c r="W77" s="250">
        <v>6934</v>
      </c>
      <c r="X77" s="250">
        <v>6555</v>
      </c>
      <c r="Y77" s="250">
        <v>8220</v>
      </c>
      <c r="Z77" s="250"/>
      <c r="AA77" s="250"/>
      <c r="AB77" s="252"/>
      <c r="AC77" s="253">
        <v>0</v>
      </c>
      <c r="AD77" s="253">
        <v>0</v>
      </c>
      <c r="AE77" s="247"/>
      <c r="AF77" s="247"/>
      <c r="AG77" s="247"/>
      <c r="AH77" s="247"/>
      <c r="AI77" s="247"/>
      <c r="AJ77" s="247"/>
      <c r="AK77" s="247"/>
    </row>
    <row r="78" spans="1:37" ht="14.25" customHeight="1" x14ac:dyDescent="0.2">
      <c r="A78" s="123"/>
      <c r="B78" s="126" t="s">
        <v>176</v>
      </c>
      <c r="C78" s="178"/>
      <c r="AB78" s="174"/>
      <c r="AC78" s="148"/>
      <c r="AD78" s="148"/>
      <c r="AE78" s="123"/>
      <c r="AF78" s="123"/>
      <c r="AG78" s="123"/>
      <c r="AH78" s="123"/>
      <c r="AI78" s="123"/>
      <c r="AJ78" s="123"/>
      <c r="AK78" s="123"/>
    </row>
    <row r="79" spans="1:37" ht="14.25" customHeight="1" x14ac:dyDescent="0.2">
      <c r="A79" s="123"/>
      <c r="B79" s="137" t="s">
        <v>177</v>
      </c>
      <c r="C79" s="138"/>
      <c r="D79" s="155">
        <v>0</v>
      </c>
      <c r="E79" s="155">
        <v>0</v>
      </c>
      <c r="F79" s="155">
        <v>0</v>
      </c>
      <c r="G79" s="155">
        <v>0</v>
      </c>
      <c r="H79" s="155">
        <v>0</v>
      </c>
      <c r="I79" s="155">
        <v>0</v>
      </c>
      <c r="J79" s="155">
        <v>0</v>
      </c>
      <c r="K79" s="155">
        <v>0</v>
      </c>
      <c r="L79" s="242">
        <v>0</v>
      </c>
      <c r="M79" s="155">
        <v>0</v>
      </c>
      <c r="N79" s="155">
        <v>0</v>
      </c>
      <c r="O79" s="155">
        <v>0</v>
      </c>
      <c r="P79" s="155">
        <v>0</v>
      </c>
      <c r="Q79" s="155">
        <v>0</v>
      </c>
      <c r="R79" s="155">
        <v>0</v>
      </c>
      <c r="S79" s="155">
        <v>0</v>
      </c>
      <c r="T79" s="155">
        <v>0</v>
      </c>
      <c r="U79" s="155">
        <v>0</v>
      </c>
      <c r="V79" s="155">
        <v>0</v>
      </c>
      <c r="W79" s="155">
        <v>0</v>
      </c>
      <c r="X79" s="155">
        <v>0</v>
      </c>
      <c r="Y79" s="155">
        <v>0</v>
      </c>
      <c r="Z79" s="155"/>
      <c r="AA79" s="155"/>
      <c r="AB79" s="183"/>
      <c r="AC79" s="172">
        <f t="shared" ref="AC79:AC84" si="16">SUM(P79:AA79)</f>
        <v>0</v>
      </c>
      <c r="AD79" s="148"/>
      <c r="AE79" s="123"/>
      <c r="AF79" s="123"/>
      <c r="AG79" s="123"/>
      <c r="AH79" s="123"/>
      <c r="AI79" s="123"/>
      <c r="AJ79" s="123"/>
      <c r="AK79" s="123"/>
    </row>
    <row r="80" spans="1:37" ht="14.25" customHeight="1" x14ac:dyDescent="0.2">
      <c r="A80" s="123"/>
      <c r="B80" s="137" t="s">
        <v>178</v>
      </c>
      <c r="C80" s="138"/>
      <c r="D80" s="155">
        <v>0</v>
      </c>
      <c r="E80" s="155">
        <v>0</v>
      </c>
      <c r="F80" s="155">
        <v>0</v>
      </c>
      <c r="G80" s="155">
        <v>0</v>
      </c>
      <c r="H80" s="155">
        <v>0</v>
      </c>
      <c r="I80" s="155">
        <v>0</v>
      </c>
      <c r="J80" s="155">
        <v>0</v>
      </c>
      <c r="K80" s="155">
        <v>0</v>
      </c>
      <c r="L80" s="242">
        <v>0</v>
      </c>
      <c r="M80" s="155">
        <v>0</v>
      </c>
      <c r="N80" s="155">
        <v>0</v>
      </c>
      <c r="O80" s="155">
        <v>0</v>
      </c>
      <c r="P80" s="155">
        <v>0</v>
      </c>
      <c r="Q80" s="155">
        <v>0</v>
      </c>
      <c r="R80" s="155">
        <v>0</v>
      </c>
      <c r="S80" s="155">
        <v>0</v>
      </c>
      <c r="T80" s="155">
        <v>0</v>
      </c>
      <c r="U80" s="155">
        <v>0</v>
      </c>
      <c r="V80" s="155">
        <v>0</v>
      </c>
      <c r="W80" s="155">
        <v>0</v>
      </c>
      <c r="X80" s="155">
        <v>0</v>
      </c>
      <c r="Y80" s="155">
        <v>0</v>
      </c>
      <c r="Z80" s="155"/>
      <c r="AA80" s="155"/>
      <c r="AB80" s="183"/>
      <c r="AC80" s="172">
        <f t="shared" si="16"/>
        <v>0</v>
      </c>
      <c r="AD80" s="148"/>
      <c r="AE80" s="123"/>
      <c r="AF80" s="123"/>
      <c r="AG80" s="123"/>
      <c r="AH80" s="123"/>
      <c r="AI80" s="123"/>
      <c r="AJ80" s="123"/>
      <c r="AK80" s="123"/>
    </row>
    <row r="81" spans="1:38" ht="14.25" customHeight="1" x14ac:dyDescent="0.2">
      <c r="A81" s="123"/>
      <c r="B81" s="137" t="s">
        <v>179</v>
      </c>
      <c r="C81" s="138"/>
      <c r="D81" s="155">
        <v>0</v>
      </c>
      <c r="E81" s="155">
        <v>0</v>
      </c>
      <c r="F81" s="155">
        <v>0</v>
      </c>
      <c r="G81" s="155">
        <v>0</v>
      </c>
      <c r="H81" s="155">
        <v>0</v>
      </c>
      <c r="I81" s="155">
        <v>0</v>
      </c>
      <c r="J81" s="155">
        <v>0</v>
      </c>
      <c r="K81" s="155">
        <v>0</v>
      </c>
      <c r="L81" s="242">
        <v>0</v>
      </c>
      <c r="M81" s="155">
        <v>0</v>
      </c>
      <c r="N81" s="155">
        <v>0</v>
      </c>
      <c r="O81" s="155">
        <v>0</v>
      </c>
      <c r="P81" s="155">
        <v>0</v>
      </c>
      <c r="Q81" s="155">
        <v>0</v>
      </c>
      <c r="R81" s="155">
        <v>0</v>
      </c>
      <c r="S81" s="155">
        <v>0</v>
      </c>
      <c r="T81" s="155">
        <v>0</v>
      </c>
      <c r="U81" s="155">
        <v>0</v>
      </c>
      <c r="V81" s="155">
        <v>0</v>
      </c>
      <c r="W81" s="155">
        <v>0</v>
      </c>
      <c r="X81" s="155">
        <v>0</v>
      </c>
      <c r="Y81" s="155">
        <v>0</v>
      </c>
      <c r="Z81" s="155"/>
      <c r="AA81" s="155"/>
      <c r="AB81" s="183"/>
      <c r="AC81" s="172">
        <f t="shared" si="16"/>
        <v>0</v>
      </c>
      <c r="AD81" s="148"/>
      <c r="AE81" s="123"/>
      <c r="AF81" s="123"/>
      <c r="AG81" s="123"/>
      <c r="AH81" s="123"/>
      <c r="AI81" s="123"/>
      <c r="AJ81" s="123"/>
      <c r="AK81" s="123"/>
    </row>
    <row r="82" spans="1:38" ht="14.25" customHeight="1" x14ac:dyDescent="0.2">
      <c r="A82" s="123"/>
      <c r="B82" s="137" t="s">
        <v>180</v>
      </c>
      <c r="C82" s="138"/>
      <c r="D82" s="155">
        <v>1.5267175572519083E-2</v>
      </c>
      <c r="E82" s="155">
        <v>3.4246575342465752E-2</v>
      </c>
      <c r="F82" s="155">
        <v>1.2658227848101266E-2</v>
      </c>
      <c r="G82" s="155">
        <v>1.4388489208633094E-2</v>
      </c>
      <c r="H82" s="155">
        <v>0.10454878943506971</v>
      </c>
      <c r="I82" s="155">
        <v>0.1099332548095799</v>
      </c>
      <c r="J82" s="155">
        <v>0.13558631921824105</v>
      </c>
      <c r="K82" s="155">
        <v>0.11393379522709776</v>
      </c>
      <c r="L82" s="242">
        <v>0.11223253936213161</v>
      </c>
      <c r="M82" s="155">
        <v>0.12361557699178279</v>
      </c>
      <c r="N82" s="155">
        <v>0.12955313556139691</v>
      </c>
      <c r="O82" s="155">
        <v>0.11641571795813441</v>
      </c>
      <c r="P82" s="155">
        <v>0.13627334127930074</v>
      </c>
      <c r="Q82" s="155">
        <v>0.13804857264593098</v>
      </c>
      <c r="R82" s="155">
        <v>0.13518733101583624</v>
      </c>
      <c r="S82" s="155">
        <v>0.13107390771743568</v>
      </c>
      <c r="T82" s="155">
        <v>0.12294094013660105</v>
      </c>
      <c r="U82" s="155">
        <v>0.15327510917030568</v>
      </c>
      <c r="V82" s="155">
        <v>0.14423922603342129</v>
      </c>
      <c r="W82" s="155">
        <v>0.16260162601626016</v>
      </c>
      <c r="X82" s="155">
        <v>0.13917089678510999</v>
      </c>
      <c r="Y82" s="155">
        <v>0.15292712066905614</v>
      </c>
      <c r="Z82" s="155"/>
      <c r="AA82" s="155"/>
      <c r="AB82" s="183"/>
      <c r="AC82" s="172">
        <f t="shared" si="16"/>
        <v>1.415738071469258</v>
      </c>
      <c r="AD82" s="148"/>
      <c r="AE82" s="123"/>
      <c r="AF82" s="123"/>
      <c r="AG82" s="123"/>
      <c r="AH82" s="123"/>
      <c r="AI82" s="123"/>
      <c r="AJ82" s="123"/>
      <c r="AK82" s="123"/>
    </row>
    <row r="83" spans="1:38" ht="14.25" customHeight="1" x14ac:dyDescent="0.2">
      <c r="A83" s="123"/>
      <c r="B83" s="137" t="s">
        <v>181</v>
      </c>
      <c r="C83" s="138"/>
      <c r="D83" s="155"/>
      <c r="E83" s="155"/>
      <c r="F83" s="155"/>
      <c r="G83" s="155"/>
      <c r="H83" s="155"/>
      <c r="I83" s="155"/>
      <c r="J83" s="155"/>
      <c r="K83" s="155"/>
      <c r="L83" s="242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  <c r="AA83" s="155"/>
      <c r="AB83" s="183"/>
      <c r="AC83" s="172">
        <f t="shared" si="16"/>
        <v>0</v>
      </c>
      <c r="AD83" s="148"/>
      <c r="AE83" s="123"/>
      <c r="AF83" s="123"/>
      <c r="AG83" s="123"/>
      <c r="AH83" s="123"/>
      <c r="AI83" s="123"/>
      <c r="AJ83" s="123"/>
      <c r="AK83" s="123"/>
    </row>
    <row r="84" spans="1:38" ht="14.25" customHeight="1" x14ac:dyDescent="0.2">
      <c r="A84" s="123"/>
      <c r="B84" s="137" t="s">
        <v>182</v>
      </c>
      <c r="C84" s="138"/>
      <c r="D84" s="146">
        <v>45.200283207020306</v>
      </c>
      <c r="E84" s="146">
        <v>45.128443113772441</v>
      </c>
      <c r="F84" s="146">
        <v>44.015432780847142</v>
      </c>
      <c r="G84" s="146">
        <v>44.462084095063979</v>
      </c>
      <c r="H84" s="146">
        <v>47.002916242794178</v>
      </c>
      <c r="I84" s="146">
        <v>46.976522686025412</v>
      </c>
      <c r="J84" s="146">
        <v>47.85722850678733</v>
      </c>
      <c r="K84" s="146">
        <v>50.690187590187563</v>
      </c>
      <c r="L84" s="243">
        <v>49.164744936234037</v>
      </c>
      <c r="M84" s="146">
        <v>48.261474593158418</v>
      </c>
      <c r="N84" s="146">
        <v>48.239305410122157</v>
      </c>
      <c r="O84" s="146">
        <v>48.774943240454078</v>
      </c>
      <c r="P84" s="146">
        <v>49.422174535050061</v>
      </c>
      <c r="Q84" s="146">
        <v>50.137236489076294</v>
      </c>
      <c r="R84" s="146">
        <v>48.700096186877367</v>
      </c>
      <c r="S84" s="146">
        <v>49.279590370104195</v>
      </c>
      <c r="T84" s="146">
        <v>49.407226507713887</v>
      </c>
      <c r="U84" s="146">
        <v>53.826488794023462</v>
      </c>
      <c r="V84" s="146">
        <v>49.580274819649603</v>
      </c>
      <c r="W84" s="146">
        <v>46.512570785070785</v>
      </c>
      <c r="X84" s="146">
        <v>47.225367597004727</v>
      </c>
      <c r="Y84" s="146">
        <v>50.281955569461772</v>
      </c>
      <c r="Z84" s="146"/>
      <c r="AA84" s="146"/>
      <c r="AB84" s="183"/>
      <c r="AC84" s="147">
        <f t="shared" si="16"/>
        <v>494.37298165403217</v>
      </c>
      <c r="AD84" s="148"/>
      <c r="AE84" s="123"/>
      <c r="AF84" s="123"/>
      <c r="AG84" s="123"/>
      <c r="AH84" s="123"/>
      <c r="AI84" s="123"/>
      <c r="AJ84" s="123"/>
      <c r="AK84" s="123"/>
    </row>
    <row r="85" spans="1:38" ht="14.25" customHeight="1" x14ac:dyDescent="0.2">
      <c r="A85" s="123"/>
      <c r="B85" s="123"/>
      <c r="C85" s="123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184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  <c r="AA85" s="267"/>
      <c r="AB85" s="123"/>
      <c r="AC85" s="123"/>
      <c r="AD85" s="125"/>
      <c r="AE85" s="123"/>
      <c r="AF85" s="123"/>
      <c r="AG85" s="123"/>
      <c r="AH85" s="123"/>
      <c r="AI85" s="123"/>
      <c r="AJ85" s="123"/>
      <c r="AK85" s="123"/>
      <c r="AL85" s="123"/>
    </row>
    <row r="86" spans="1:38" ht="14.25" customHeight="1" x14ac:dyDescent="0.2">
      <c r="A86" s="123"/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85"/>
      <c r="M86" s="123"/>
      <c r="N86" s="123"/>
      <c r="O86" s="123"/>
      <c r="P86" s="262"/>
      <c r="Q86" s="262"/>
      <c r="R86" s="262"/>
      <c r="S86" s="262"/>
      <c r="T86" s="262"/>
      <c r="U86" s="262"/>
      <c r="V86" s="262"/>
      <c r="W86" s="262"/>
      <c r="X86" s="262"/>
      <c r="Y86" s="262"/>
      <c r="Z86" s="262"/>
      <c r="AA86" s="262"/>
      <c r="AB86" s="123"/>
      <c r="AC86" s="123"/>
      <c r="AD86" s="125"/>
      <c r="AE86" s="123"/>
      <c r="AF86" s="123"/>
      <c r="AG86" s="123"/>
      <c r="AH86" s="123"/>
      <c r="AI86" s="123"/>
      <c r="AJ86" s="123"/>
      <c r="AK86" s="123"/>
      <c r="AL86" s="123"/>
    </row>
    <row r="87" spans="1:38" ht="14.25" customHeight="1" x14ac:dyDescent="0.2">
      <c r="A87" s="123"/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262"/>
      <c r="Q87" s="262"/>
      <c r="R87" s="262"/>
      <c r="S87" s="262"/>
      <c r="T87" s="262"/>
      <c r="U87" s="262"/>
      <c r="V87" s="262"/>
      <c r="W87" s="262"/>
      <c r="X87" s="262"/>
      <c r="Y87" s="262"/>
      <c r="Z87" s="262"/>
      <c r="AA87" s="262"/>
      <c r="AB87" s="123"/>
      <c r="AC87" s="123"/>
      <c r="AD87" s="125"/>
      <c r="AE87" s="123"/>
      <c r="AF87" s="123"/>
      <c r="AG87" s="123"/>
      <c r="AH87" s="123"/>
      <c r="AI87" s="123"/>
      <c r="AJ87" s="123"/>
      <c r="AK87" s="123"/>
      <c r="AL87" s="123"/>
    </row>
    <row r="88" spans="1:38" ht="14.25" customHeight="1" x14ac:dyDescent="0.2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262"/>
      <c r="Q88" s="262"/>
      <c r="R88" s="262"/>
      <c r="S88" s="262"/>
      <c r="T88" s="262"/>
      <c r="U88" s="262"/>
      <c r="V88" s="262"/>
      <c r="W88" s="262"/>
      <c r="X88" s="262"/>
      <c r="Y88" s="262"/>
      <c r="Z88" s="262"/>
      <c r="AA88" s="262"/>
      <c r="AB88" s="123"/>
      <c r="AC88" s="123"/>
      <c r="AD88" s="125"/>
      <c r="AE88" s="123"/>
      <c r="AF88" s="123"/>
      <c r="AG88" s="123"/>
      <c r="AH88" s="123"/>
      <c r="AI88" s="123"/>
      <c r="AJ88" s="123"/>
      <c r="AK88" s="123"/>
      <c r="AL88" s="123"/>
    </row>
    <row r="89" spans="1:38" ht="14.25" customHeight="1" x14ac:dyDescent="0.2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262"/>
      <c r="Q89" s="262"/>
      <c r="R89" s="262"/>
      <c r="S89" s="262"/>
      <c r="T89" s="262"/>
      <c r="U89" s="262"/>
      <c r="V89" s="262"/>
      <c r="W89" s="262"/>
      <c r="X89" s="262"/>
      <c r="Y89" s="262"/>
      <c r="Z89" s="262"/>
      <c r="AA89" s="262"/>
      <c r="AB89" s="123"/>
      <c r="AC89" s="123"/>
      <c r="AD89" s="125"/>
      <c r="AE89" s="123"/>
      <c r="AF89" s="123"/>
      <c r="AG89" s="123"/>
      <c r="AH89" s="123"/>
      <c r="AI89" s="123"/>
      <c r="AJ89" s="123"/>
      <c r="AK89" s="123"/>
      <c r="AL89" s="123"/>
    </row>
    <row r="90" spans="1:38" ht="14.25" customHeight="1" x14ac:dyDescent="0.2">
      <c r="A90" s="123"/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262"/>
      <c r="Q90" s="262"/>
      <c r="R90" s="262"/>
      <c r="S90" s="262"/>
      <c r="T90" s="262"/>
      <c r="U90" s="262"/>
      <c r="V90" s="262"/>
      <c r="W90" s="262"/>
      <c r="X90" s="262"/>
      <c r="Y90" s="262"/>
      <c r="Z90" s="262"/>
      <c r="AA90" s="262"/>
      <c r="AB90" s="123"/>
      <c r="AC90" s="123"/>
      <c r="AD90" s="125"/>
      <c r="AE90" s="123"/>
      <c r="AF90" s="123"/>
      <c r="AG90" s="123"/>
      <c r="AH90" s="123"/>
      <c r="AI90" s="123"/>
      <c r="AJ90" s="123"/>
      <c r="AK90" s="123"/>
      <c r="AL90" s="123"/>
    </row>
    <row r="91" spans="1:38" ht="14.25" customHeight="1" x14ac:dyDescent="0.2">
      <c r="A91" s="123"/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262"/>
      <c r="Q91" s="262"/>
      <c r="R91" s="262"/>
      <c r="S91" s="262"/>
      <c r="T91" s="262"/>
      <c r="U91" s="262"/>
      <c r="V91" s="262"/>
      <c r="W91" s="262"/>
      <c r="X91" s="262"/>
      <c r="Y91" s="262"/>
      <c r="Z91" s="262"/>
      <c r="AA91" s="262"/>
      <c r="AB91" s="123"/>
      <c r="AC91" s="123"/>
      <c r="AD91" s="125"/>
      <c r="AE91" s="123"/>
      <c r="AF91" s="123"/>
      <c r="AG91" s="123"/>
      <c r="AH91" s="123"/>
      <c r="AI91" s="123"/>
      <c r="AJ91" s="123"/>
      <c r="AK91" s="123"/>
      <c r="AL91" s="123"/>
    </row>
    <row r="92" spans="1:38" ht="14.25" customHeight="1" x14ac:dyDescent="0.2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262"/>
      <c r="Q92" s="262"/>
      <c r="R92" s="262"/>
      <c r="S92" s="262"/>
      <c r="T92" s="262"/>
      <c r="U92" s="262"/>
      <c r="V92" s="262"/>
      <c r="W92" s="262"/>
      <c r="X92" s="262"/>
      <c r="Y92" s="262"/>
      <c r="Z92" s="262"/>
      <c r="AA92" s="262"/>
      <c r="AB92" s="123"/>
      <c r="AC92" s="123"/>
      <c r="AD92" s="125"/>
      <c r="AE92" s="123"/>
      <c r="AF92" s="123"/>
      <c r="AG92" s="123"/>
      <c r="AH92" s="123"/>
      <c r="AI92" s="123"/>
      <c r="AJ92" s="123"/>
      <c r="AK92" s="123"/>
      <c r="AL92" s="123"/>
    </row>
    <row r="93" spans="1:38" ht="14.25" customHeight="1" x14ac:dyDescent="0.2">
      <c r="A93" s="123"/>
      <c r="B93" s="123"/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262"/>
      <c r="Q93" s="262"/>
      <c r="R93" s="262"/>
      <c r="S93" s="262"/>
      <c r="T93" s="262"/>
      <c r="U93" s="262"/>
      <c r="V93" s="262"/>
      <c r="W93" s="262"/>
      <c r="X93" s="262"/>
      <c r="Y93" s="262"/>
      <c r="Z93" s="262"/>
      <c r="AA93" s="262"/>
      <c r="AB93" s="123"/>
      <c r="AC93" s="123"/>
      <c r="AD93" s="125"/>
      <c r="AE93" s="123"/>
      <c r="AF93" s="123"/>
      <c r="AG93" s="123"/>
      <c r="AH93" s="123"/>
      <c r="AI93" s="123"/>
      <c r="AJ93" s="123"/>
      <c r="AK93" s="123"/>
      <c r="AL93" s="123"/>
    </row>
    <row r="94" spans="1:38" ht="14.25" customHeight="1" x14ac:dyDescent="0.2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123"/>
      <c r="AC94" s="123"/>
      <c r="AD94" s="125"/>
      <c r="AE94" s="123"/>
      <c r="AF94" s="123"/>
      <c r="AG94" s="123"/>
      <c r="AH94" s="123"/>
      <c r="AI94" s="123"/>
      <c r="AJ94" s="123"/>
      <c r="AK94" s="123"/>
      <c r="AL94" s="123"/>
    </row>
    <row r="95" spans="1:38" ht="14.25" customHeight="1" x14ac:dyDescent="0.2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262"/>
      <c r="Q95" s="262"/>
      <c r="R95" s="262"/>
      <c r="S95" s="262"/>
      <c r="T95" s="262"/>
      <c r="U95" s="262"/>
      <c r="V95" s="262"/>
      <c r="W95" s="262"/>
      <c r="X95" s="262"/>
      <c r="Y95" s="262"/>
      <c r="Z95" s="262"/>
      <c r="AA95" s="262"/>
      <c r="AB95" s="123"/>
      <c r="AC95" s="123"/>
      <c r="AD95" s="125"/>
      <c r="AE95" s="123"/>
      <c r="AF95" s="123"/>
      <c r="AG95" s="123"/>
      <c r="AH95" s="123"/>
      <c r="AI95" s="123"/>
      <c r="AJ95" s="123"/>
      <c r="AK95" s="123"/>
      <c r="AL95" s="123"/>
    </row>
    <row r="96" spans="1:38" ht="14.25" customHeight="1" x14ac:dyDescent="0.2">
      <c r="A96" s="123"/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262"/>
      <c r="Q96" s="262"/>
      <c r="R96" s="262"/>
      <c r="S96" s="262"/>
      <c r="T96" s="262"/>
      <c r="U96" s="262"/>
      <c r="V96" s="262"/>
      <c r="W96" s="262"/>
      <c r="X96" s="262"/>
      <c r="Y96" s="262"/>
      <c r="Z96" s="262"/>
      <c r="AA96" s="262"/>
      <c r="AB96" s="123"/>
      <c r="AC96" s="123"/>
      <c r="AD96" s="125"/>
      <c r="AE96" s="123"/>
      <c r="AF96" s="123"/>
      <c r="AG96" s="123"/>
      <c r="AH96" s="123"/>
      <c r="AI96" s="123"/>
      <c r="AJ96" s="123"/>
      <c r="AK96" s="123"/>
      <c r="AL96" s="123"/>
    </row>
    <row r="97" spans="1:38" ht="14.25" customHeight="1" x14ac:dyDescent="0.2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262"/>
      <c r="Q97" s="262"/>
      <c r="R97" s="262"/>
      <c r="S97" s="262"/>
      <c r="T97" s="262"/>
      <c r="U97" s="262"/>
      <c r="V97" s="262"/>
      <c r="W97" s="262"/>
      <c r="X97" s="262"/>
      <c r="Y97" s="262"/>
      <c r="Z97" s="262"/>
      <c r="AA97" s="262"/>
      <c r="AB97" s="123"/>
      <c r="AC97" s="123"/>
      <c r="AD97" s="125"/>
      <c r="AE97" s="123"/>
      <c r="AF97" s="123"/>
      <c r="AG97" s="123"/>
      <c r="AH97" s="123"/>
      <c r="AI97" s="123"/>
      <c r="AJ97" s="123"/>
      <c r="AK97" s="123"/>
      <c r="AL97" s="123"/>
    </row>
    <row r="98" spans="1:38" ht="14.25" customHeight="1" x14ac:dyDescent="0.2">
      <c r="A98" s="123"/>
      <c r="B98" s="123"/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262"/>
      <c r="Q98" s="262"/>
      <c r="R98" s="262"/>
      <c r="S98" s="262"/>
      <c r="T98" s="262"/>
      <c r="U98" s="262"/>
      <c r="V98" s="262"/>
      <c r="W98" s="262"/>
      <c r="X98" s="262"/>
      <c r="Y98" s="262"/>
      <c r="Z98" s="262"/>
      <c r="AA98" s="262"/>
      <c r="AB98" s="123"/>
      <c r="AC98" s="123"/>
      <c r="AD98" s="125"/>
      <c r="AE98" s="123"/>
      <c r="AF98" s="123"/>
      <c r="AG98" s="123"/>
      <c r="AH98" s="123"/>
      <c r="AI98" s="123"/>
      <c r="AJ98" s="123"/>
      <c r="AK98" s="123"/>
      <c r="AL98" s="123"/>
    </row>
    <row r="99" spans="1:38" ht="14.25" customHeight="1" x14ac:dyDescent="0.2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262"/>
      <c r="Q99" s="262"/>
      <c r="R99" s="262"/>
      <c r="S99" s="262"/>
      <c r="T99" s="262"/>
      <c r="U99" s="262"/>
      <c r="V99" s="262"/>
      <c r="W99" s="262"/>
      <c r="X99" s="262"/>
      <c r="Y99" s="262"/>
      <c r="Z99" s="262"/>
      <c r="AA99" s="262"/>
      <c r="AB99" s="123"/>
      <c r="AC99" s="123"/>
      <c r="AD99" s="125"/>
      <c r="AE99" s="123"/>
      <c r="AF99" s="123"/>
      <c r="AG99" s="123"/>
      <c r="AH99" s="123"/>
      <c r="AI99" s="123"/>
      <c r="AJ99" s="123"/>
      <c r="AK99" s="123"/>
      <c r="AL99" s="123"/>
    </row>
    <row r="100" spans="1:38" ht="14.25" customHeight="1" x14ac:dyDescent="0.2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123"/>
      <c r="AC100" s="123"/>
      <c r="AD100" s="125"/>
      <c r="AE100" s="123"/>
      <c r="AF100" s="123"/>
      <c r="AG100" s="123"/>
      <c r="AH100" s="123"/>
      <c r="AI100" s="123"/>
      <c r="AJ100" s="123"/>
      <c r="AK100" s="123"/>
      <c r="AL100" s="123"/>
    </row>
    <row r="101" spans="1:38" ht="14.25" customHeight="1" x14ac:dyDescent="0.2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  <c r="Z101" s="262"/>
      <c r="AA101" s="262"/>
      <c r="AB101" s="123"/>
      <c r="AC101" s="123"/>
      <c r="AD101" s="125"/>
      <c r="AE101" s="123"/>
      <c r="AF101" s="123"/>
      <c r="AG101" s="123"/>
      <c r="AH101" s="123"/>
      <c r="AI101" s="123"/>
      <c r="AJ101" s="123"/>
      <c r="AK101" s="123"/>
      <c r="AL101" s="123"/>
    </row>
    <row r="102" spans="1:38" ht="14.25" customHeight="1" x14ac:dyDescent="0.2">
      <c r="A102" s="123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62"/>
      <c r="AA102" s="262"/>
      <c r="AB102" s="123"/>
      <c r="AC102" s="123"/>
      <c r="AD102" s="125"/>
      <c r="AE102" s="123"/>
      <c r="AF102" s="123"/>
      <c r="AG102" s="123"/>
      <c r="AH102" s="123"/>
      <c r="AI102" s="123"/>
      <c r="AJ102" s="123"/>
      <c r="AK102" s="123"/>
      <c r="AL102" s="123"/>
    </row>
    <row r="103" spans="1:38" ht="14.25" customHeight="1" x14ac:dyDescent="0.2">
      <c r="A103" s="123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85"/>
      <c r="M103" s="123"/>
      <c r="N103" s="123"/>
      <c r="O103" s="123"/>
      <c r="P103" s="262"/>
      <c r="Q103" s="262"/>
      <c r="R103" s="262"/>
      <c r="S103" s="262"/>
      <c r="T103" s="262"/>
      <c r="U103" s="262"/>
      <c r="V103" s="262"/>
      <c r="W103" s="262"/>
      <c r="X103" s="262"/>
      <c r="Y103" s="262"/>
      <c r="Z103" s="262"/>
      <c r="AA103" s="262"/>
      <c r="AB103" s="123"/>
      <c r="AC103" s="123"/>
      <c r="AD103" s="125"/>
      <c r="AE103" s="123"/>
      <c r="AF103" s="123"/>
      <c r="AG103" s="123"/>
      <c r="AH103" s="123"/>
      <c r="AI103" s="123"/>
      <c r="AJ103" s="123"/>
      <c r="AK103" s="123"/>
      <c r="AL103" s="123"/>
    </row>
    <row r="104" spans="1:38" ht="14.25" customHeight="1" x14ac:dyDescent="0.2">
      <c r="A104" s="123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  <c r="Z104" s="262"/>
      <c r="AA104" s="262"/>
      <c r="AB104" s="123"/>
      <c r="AC104" s="123"/>
      <c r="AD104" s="125"/>
      <c r="AE104" s="123"/>
      <c r="AF104" s="123"/>
      <c r="AG104" s="123"/>
      <c r="AH104" s="123"/>
      <c r="AI104" s="123"/>
      <c r="AJ104" s="123"/>
      <c r="AK104" s="123"/>
      <c r="AL104" s="123"/>
    </row>
    <row r="105" spans="1:38" ht="14.25" customHeight="1" x14ac:dyDescent="0.2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262"/>
      <c r="Q105" s="262"/>
      <c r="R105" s="262"/>
      <c r="S105" s="262"/>
      <c r="T105" s="262"/>
      <c r="U105" s="262"/>
      <c r="V105" s="262"/>
      <c r="W105" s="262"/>
      <c r="X105" s="262"/>
      <c r="Y105" s="262"/>
      <c r="Z105" s="262"/>
      <c r="AA105" s="262"/>
      <c r="AB105" s="123"/>
      <c r="AC105" s="123"/>
      <c r="AD105" s="125"/>
      <c r="AE105" s="123"/>
      <c r="AF105" s="123"/>
      <c r="AG105" s="123"/>
      <c r="AH105" s="123"/>
      <c r="AI105" s="123"/>
      <c r="AJ105" s="123"/>
      <c r="AK105" s="123"/>
      <c r="AL105" s="123"/>
    </row>
    <row r="106" spans="1:38" ht="14.25" customHeight="1" x14ac:dyDescent="0.2">
      <c r="A106" s="123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123"/>
      <c r="AC106" s="123"/>
      <c r="AD106" s="125"/>
      <c r="AE106" s="123"/>
      <c r="AF106" s="123"/>
      <c r="AG106" s="123"/>
      <c r="AH106" s="123"/>
      <c r="AI106" s="123"/>
      <c r="AJ106" s="123"/>
      <c r="AK106" s="123"/>
      <c r="AL106" s="123"/>
    </row>
    <row r="107" spans="1:38" ht="14.25" customHeight="1" x14ac:dyDescent="0.2">
      <c r="A107" s="123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262"/>
      <c r="Q107" s="262"/>
      <c r="R107" s="262"/>
      <c r="S107" s="262"/>
      <c r="T107" s="262"/>
      <c r="U107" s="262"/>
      <c r="V107" s="262"/>
      <c r="W107" s="262"/>
      <c r="X107" s="262"/>
      <c r="Y107" s="262"/>
      <c r="Z107" s="262"/>
      <c r="AA107" s="262"/>
      <c r="AB107" s="123"/>
      <c r="AC107" s="123"/>
      <c r="AD107" s="125"/>
      <c r="AE107" s="123"/>
      <c r="AF107" s="123"/>
      <c r="AG107" s="123"/>
      <c r="AH107" s="123"/>
      <c r="AI107" s="123"/>
      <c r="AJ107" s="123"/>
      <c r="AK107" s="123"/>
      <c r="AL107" s="123"/>
    </row>
    <row r="108" spans="1:38" ht="14.25" customHeight="1" x14ac:dyDescent="0.2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262"/>
      <c r="Q108" s="262"/>
      <c r="R108" s="262"/>
      <c r="S108" s="262"/>
      <c r="T108" s="262"/>
      <c r="U108" s="262"/>
      <c r="V108" s="262"/>
      <c r="W108" s="262"/>
      <c r="X108" s="262"/>
      <c r="Y108" s="262"/>
      <c r="Z108" s="262"/>
      <c r="AA108" s="262"/>
      <c r="AB108" s="123"/>
      <c r="AC108" s="123"/>
      <c r="AD108" s="125"/>
      <c r="AE108" s="123"/>
      <c r="AF108" s="123"/>
      <c r="AG108" s="123"/>
      <c r="AH108" s="123"/>
      <c r="AI108" s="123"/>
      <c r="AJ108" s="123"/>
      <c r="AK108" s="123"/>
      <c r="AL108" s="123"/>
    </row>
    <row r="109" spans="1:38" ht="14.25" customHeight="1" x14ac:dyDescent="0.2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262"/>
      <c r="Q109" s="262"/>
      <c r="R109" s="262"/>
      <c r="S109" s="262"/>
      <c r="T109" s="262"/>
      <c r="U109" s="262"/>
      <c r="V109" s="262"/>
      <c r="W109" s="262"/>
      <c r="X109" s="262"/>
      <c r="Y109" s="262"/>
      <c r="Z109" s="262"/>
      <c r="AA109" s="262"/>
      <c r="AB109" s="123"/>
      <c r="AC109" s="123"/>
      <c r="AD109" s="125"/>
      <c r="AE109" s="123"/>
      <c r="AF109" s="123"/>
      <c r="AG109" s="123"/>
      <c r="AH109" s="123"/>
      <c r="AI109" s="123"/>
      <c r="AJ109" s="123"/>
      <c r="AK109" s="123"/>
      <c r="AL109" s="123"/>
    </row>
    <row r="110" spans="1:38" ht="14.25" customHeight="1" x14ac:dyDescent="0.2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262"/>
      <c r="Q110" s="262"/>
      <c r="R110" s="262"/>
      <c r="S110" s="262"/>
      <c r="T110" s="262"/>
      <c r="U110" s="262"/>
      <c r="V110" s="262"/>
      <c r="W110" s="262"/>
      <c r="X110" s="262"/>
      <c r="Y110" s="262"/>
      <c r="Z110" s="262"/>
      <c r="AA110" s="262"/>
      <c r="AB110" s="123"/>
      <c r="AC110" s="123"/>
      <c r="AD110" s="125"/>
      <c r="AE110" s="123"/>
      <c r="AF110" s="123"/>
      <c r="AG110" s="123"/>
      <c r="AH110" s="123"/>
      <c r="AI110" s="123"/>
      <c r="AJ110" s="123"/>
      <c r="AK110" s="123"/>
      <c r="AL110" s="123"/>
    </row>
    <row r="111" spans="1:38" ht="14.25" customHeight="1" x14ac:dyDescent="0.2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262"/>
      <c r="Q111" s="262"/>
      <c r="R111" s="262"/>
      <c r="S111" s="262"/>
      <c r="T111" s="262"/>
      <c r="U111" s="262"/>
      <c r="V111" s="262"/>
      <c r="W111" s="262"/>
      <c r="X111" s="262"/>
      <c r="Y111" s="262"/>
      <c r="Z111" s="262"/>
      <c r="AA111" s="262"/>
      <c r="AB111" s="123"/>
      <c r="AC111" s="123"/>
      <c r="AD111" s="125"/>
      <c r="AE111" s="123"/>
      <c r="AF111" s="123"/>
      <c r="AG111" s="123"/>
      <c r="AH111" s="123"/>
      <c r="AI111" s="123"/>
      <c r="AJ111" s="123"/>
      <c r="AK111" s="123"/>
      <c r="AL111" s="123"/>
    </row>
    <row r="112" spans="1:38" ht="14.25" customHeight="1" x14ac:dyDescent="0.2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262"/>
      <c r="Q112" s="262"/>
      <c r="R112" s="262"/>
      <c r="S112" s="262"/>
      <c r="T112" s="262"/>
      <c r="U112" s="262"/>
      <c r="V112" s="262"/>
      <c r="W112" s="262"/>
      <c r="X112" s="262"/>
      <c r="Y112" s="262"/>
      <c r="Z112" s="262"/>
      <c r="AA112" s="262"/>
      <c r="AB112" s="123"/>
      <c r="AC112" s="123"/>
      <c r="AD112" s="125"/>
      <c r="AE112" s="123"/>
      <c r="AF112" s="123"/>
      <c r="AG112" s="123"/>
      <c r="AH112" s="123"/>
      <c r="AI112" s="123"/>
      <c r="AJ112" s="123"/>
      <c r="AK112" s="123"/>
      <c r="AL112" s="123"/>
    </row>
    <row r="113" spans="1:38" ht="14.25" customHeight="1" x14ac:dyDescent="0.2">
      <c r="A113" s="123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262"/>
      <c r="Q113" s="262"/>
      <c r="R113" s="262"/>
      <c r="S113" s="262"/>
      <c r="T113" s="262"/>
      <c r="U113" s="262"/>
      <c r="V113" s="262"/>
      <c r="W113" s="262"/>
      <c r="X113" s="262"/>
      <c r="Y113" s="262"/>
      <c r="Z113" s="262"/>
      <c r="AA113" s="262"/>
      <c r="AB113" s="123"/>
      <c r="AC113" s="123"/>
      <c r="AD113" s="125"/>
      <c r="AE113" s="123"/>
      <c r="AF113" s="123"/>
      <c r="AG113" s="123"/>
      <c r="AH113" s="123"/>
      <c r="AI113" s="123"/>
      <c r="AJ113" s="123"/>
      <c r="AK113" s="123"/>
      <c r="AL113" s="123"/>
    </row>
    <row r="114" spans="1:38" ht="14.25" customHeight="1" x14ac:dyDescent="0.2">
      <c r="A114" s="123"/>
      <c r="C114" s="123"/>
      <c r="AB114" s="123"/>
      <c r="AC114" s="123"/>
      <c r="AD114" s="125"/>
      <c r="AE114" s="123"/>
      <c r="AF114" s="123"/>
      <c r="AG114" s="123"/>
      <c r="AH114" s="123"/>
      <c r="AI114" s="123"/>
      <c r="AJ114" s="123"/>
      <c r="AK114" s="123"/>
    </row>
    <row r="115" spans="1:38" ht="14.25" customHeight="1" x14ac:dyDescent="0.2">
      <c r="A115" s="123"/>
      <c r="C115" s="123"/>
      <c r="AB115" s="123"/>
      <c r="AC115" s="123"/>
      <c r="AD115" s="125"/>
      <c r="AE115" s="123"/>
      <c r="AF115" s="123"/>
      <c r="AG115" s="123"/>
      <c r="AH115" s="123"/>
      <c r="AI115" s="123"/>
      <c r="AJ115" s="123"/>
      <c r="AK115" s="123"/>
    </row>
    <row r="116" spans="1:38" ht="14.25" customHeight="1" x14ac:dyDescent="0.2">
      <c r="A116" s="123"/>
      <c r="C116" s="123"/>
      <c r="AB116" s="123"/>
      <c r="AC116" s="123"/>
      <c r="AD116" s="125"/>
      <c r="AE116" s="123"/>
      <c r="AF116" s="123"/>
      <c r="AG116" s="123"/>
      <c r="AH116" s="123"/>
      <c r="AI116" s="123"/>
      <c r="AJ116" s="123"/>
      <c r="AK116" s="123"/>
    </row>
    <row r="117" spans="1:38" ht="14.25" customHeight="1" x14ac:dyDescent="0.2">
      <c r="A117" s="123"/>
      <c r="C117" s="123"/>
      <c r="AB117" s="123"/>
      <c r="AC117" s="123"/>
      <c r="AD117" s="125"/>
      <c r="AE117" s="123"/>
      <c r="AF117" s="123"/>
      <c r="AG117" s="123"/>
      <c r="AH117" s="123"/>
      <c r="AI117" s="123"/>
      <c r="AJ117" s="123"/>
      <c r="AK117" s="123"/>
    </row>
    <row r="118" spans="1:38" ht="14.25" customHeight="1" x14ac:dyDescent="0.2">
      <c r="A118" s="123"/>
      <c r="C118" s="123"/>
      <c r="AB118" s="123"/>
      <c r="AC118" s="123"/>
      <c r="AD118" s="125"/>
      <c r="AE118" s="123"/>
      <c r="AF118" s="123"/>
      <c r="AG118" s="123"/>
      <c r="AH118" s="123"/>
      <c r="AI118" s="123"/>
      <c r="AJ118" s="123"/>
      <c r="AK118" s="123"/>
    </row>
    <row r="119" spans="1:38" ht="14.25" customHeight="1" x14ac:dyDescent="0.2">
      <c r="A119" s="123"/>
      <c r="C119" s="123"/>
      <c r="AB119" s="123"/>
      <c r="AC119" s="123"/>
      <c r="AD119" s="125"/>
      <c r="AE119" s="123"/>
      <c r="AF119" s="123"/>
      <c r="AG119" s="123"/>
      <c r="AH119" s="123"/>
      <c r="AI119" s="123"/>
      <c r="AJ119" s="123"/>
      <c r="AK119" s="123"/>
    </row>
    <row r="120" spans="1:38" ht="14.25" customHeight="1" x14ac:dyDescent="0.2">
      <c r="A120" s="123"/>
      <c r="C120" s="123"/>
      <c r="AB120" s="123"/>
      <c r="AC120" s="123"/>
      <c r="AD120" s="125"/>
      <c r="AE120" s="123"/>
      <c r="AF120" s="123"/>
      <c r="AG120" s="123"/>
      <c r="AH120" s="123"/>
      <c r="AI120" s="123"/>
      <c r="AJ120" s="123"/>
      <c r="AK120" s="123"/>
    </row>
    <row r="121" spans="1:38" ht="14.25" customHeight="1" x14ac:dyDescent="0.2">
      <c r="A121" s="123"/>
      <c r="C121" s="123"/>
      <c r="AB121" s="123"/>
      <c r="AC121" s="123"/>
      <c r="AD121" s="125"/>
      <c r="AE121" s="123"/>
      <c r="AF121" s="123"/>
      <c r="AG121" s="123"/>
      <c r="AH121" s="123"/>
      <c r="AI121" s="123"/>
      <c r="AJ121" s="123"/>
      <c r="AK121" s="123"/>
    </row>
    <row r="122" spans="1:38" ht="14.25" customHeight="1" x14ac:dyDescent="0.2">
      <c r="A122" s="123"/>
      <c r="C122" s="123"/>
      <c r="AB122" s="123"/>
      <c r="AC122" s="123"/>
      <c r="AD122" s="125"/>
      <c r="AE122" s="123"/>
      <c r="AF122" s="123"/>
      <c r="AG122" s="123"/>
      <c r="AH122" s="123"/>
      <c r="AI122" s="123"/>
      <c r="AJ122" s="123"/>
      <c r="AK122" s="123"/>
    </row>
    <row r="123" spans="1:38" ht="14.25" customHeight="1" x14ac:dyDescent="0.2">
      <c r="A123" s="123"/>
      <c r="C123" s="123"/>
      <c r="AB123" s="123"/>
      <c r="AC123" s="123"/>
      <c r="AD123" s="125"/>
      <c r="AE123" s="123"/>
      <c r="AF123" s="123"/>
      <c r="AG123" s="123"/>
      <c r="AH123" s="123"/>
      <c r="AI123" s="123"/>
      <c r="AJ123" s="123"/>
      <c r="AK123" s="123"/>
    </row>
    <row r="124" spans="1:38" ht="14.25" customHeight="1" x14ac:dyDescent="0.2">
      <c r="A124" s="123"/>
      <c r="C124" s="123"/>
      <c r="AB124" s="123"/>
      <c r="AC124" s="123"/>
      <c r="AD124" s="125"/>
      <c r="AE124" s="123"/>
      <c r="AF124" s="123"/>
      <c r="AG124" s="123"/>
      <c r="AH124" s="123"/>
      <c r="AI124" s="123"/>
      <c r="AJ124" s="123"/>
      <c r="AK124" s="123"/>
    </row>
    <row r="125" spans="1:38" ht="14.25" customHeight="1" x14ac:dyDescent="0.2">
      <c r="A125" s="123"/>
      <c r="C125" s="123"/>
      <c r="AB125" s="123"/>
      <c r="AC125" s="123"/>
      <c r="AD125" s="125"/>
      <c r="AE125" s="123"/>
      <c r="AF125" s="123"/>
      <c r="AG125" s="123"/>
      <c r="AH125" s="123"/>
      <c r="AI125" s="123"/>
      <c r="AJ125" s="123"/>
      <c r="AK125" s="123"/>
    </row>
    <row r="126" spans="1:38" ht="14.25" customHeight="1" x14ac:dyDescent="0.2">
      <c r="A126" s="123"/>
      <c r="C126" s="123"/>
      <c r="AB126" s="123"/>
      <c r="AC126" s="123"/>
      <c r="AD126" s="125"/>
      <c r="AE126" s="123"/>
      <c r="AF126" s="123"/>
      <c r="AG126" s="123"/>
      <c r="AH126" s="123"/>
      <c r="AI126" s="123"/>
      <c r="AJ126" s="123"/>
      <c r="AK126" s="123"/>
    </row>
    <row r="127" spans="1:38" ht="14.25" customHeight="1" x14ac:dyDescent="0.2">
      <c r="A127" s="123"/>
      <c r="C127" s="123"/>
      <c r="AB127" s="123"/>
      <c r="AC127" s="123"/>
      <c r="AD127" s="125"/>
      <c r="AE127" s="123"/>
      <c r="AF127" s="123"/>
      <c r="AG127" s="123"/>
      <c r="AH127" s="123"/>
      <c r="AI127" s="123"/>
      <c r="AJ127" s="123"/>
      <c r="AK127" s="123"/>
    </row>
    <row r="128" spans="1:38" ht="14.25" customHeight="1" x14ac:dyDescent="0.2">
      <c r="A128" s="123"/>
      <c r="C128" s="123"/>
      <c r="AB128" s="123"/>
      <c r="AC128" s="123"/>
      <c r="AD128" s="125"/>
      <c r="AE128" s="123"/>
      <c r="AF128" s="123"/>
      <c r="AG128" s="123"/>
      <c r="AH128" s="123"/>
      <c r="AI128" s="123"/>
      <c r="AJ128" s="123"/>
      <c r="AK128" s="123"/>
    </row>
    <row r="129" spans="1:37" ht="14.25" customHeight="1" x14ac:dyDescent="0.2">
      <c r="A129" s="123"/>
      <c r="C129" s="123"/>
      <c r="AB129" s="123"/>
      <c r="AC129" s="123"/>
      <c r="AD129" s="125"/>
      <c r="AE129" s="123"/>
      <c r="AF129" s="123"/>
      <c r="AG129" s="123"/>
      <c r="AH129" s="123"/>
      <c r="AI129" s="123"/>
      <c r="AJ129" s="123"/>
      <c r="AK129" s="123"/>
    </row>
    <row r="130" spans="1:37" ht="14.25" customHeight="1" x14ac:dyDescent="0.2">
      <c r="A130" s="123"/>
      <c r="C130" s="123"/>
      <c r="AB130" s="123"/>
      <c r="AC130" s="123"/>
      <c r="AD130" s="125"/>
      <c r="AE130" s="123"/>
      <c r="AF130" s="123"/>
      <c r="AG130" s="123"/>
      <c r="AH130" s="123"/>
      <c r="AI130" s="123"/>
      <c r="AJ130" s="123"/>
      <c r="AK130" s="123"/>
    </row>
    <row r="131" spans="1:37" ht="14.25" customHeight="1" x14ac:dyDescent="0.2">
      <c r="A131" s="123"/>
      <c r="C131" s="123"/>
      <c r="AB131" s="123"/>
      <c r="AC131" s="123"/>
      <c r="AD131" s="125"/>
      <c r="AE131" s="123"/>
      <c r="AF131" s="123"/>
      <c r="AG131" s="123"/>
      <c r="AH131" s="123"/>
      <c r="AI131" s="123"/>
      <c r="AJ131" s="123"/>
      <c r="AK131" s="123"/>
    </row>
    <row r="132" spans="1:37" ht="14.25" customHeight="1" x14ac:dyDescent="0.2">
      <c r="A132" s="123"/>
      <c r="C132" s="123"/>
      <c r="AB132" s="123"/>
      <c r="AC132" s="123"/>
      <c r="AD132" s="125"/>
      <c r="AE132" s="123"/>
      <c r="AF132" s="123"/>
      <c r="AG132" s="123"/>
      <c r="AH132" s="123"/>
      <c r="AI132" s="123"/>
      <c r="AJ132" s="123"/>
      <c r="AK132" s="123"/>
    </row>
    <row r="133" spans="1:37" ht="14.25" customHeight="1" x14ac:dyDescent="0.2">
      <c r="A133" s="123"/>
      <c r="C133" s="123"/>
      <c r="AB133" s="123"/>
      <c r="AC133" s="123"/>
      <c r="AD133" s="125"/>
      <c r="AE133" s="123"/>
      <c r="AF133" s="123"/>
      <c r="AG133" s="123"/>
      <c r="AH133" s="123"/>
      <c r="AI133" s="123"/>
      <c r="AJ133" s="123"/>
      <c r="AK133" s="123"/>
    </row>
    <row r="134" spans="1:37" ht="14.25" customHeight="1" x14ac:dyDescent="0.2">
      <c r="A134" s="123"/>
      <c r="C134" s="123"/>
      <c r="AB134" s="123"/>
      <c r="AC134" s="123"/>
      <c r="AD134" s="125"/>
      <c r="AE134" s="123"/>
      <c r="AF134" s="123"/>
      <c r="AG134" s="123"/>
      <c r="AH134" s="123"/>
      <c r="AI134" s="123"/>
      <c r="AJ134" s="123"/>
      <c r="AK134" s="123"/>
    </row>
    <row r="135" spans="1:37" ht="14.25" customHeight="1" x14ac:dyDescent="0.2">
      <c r="A135" s="123"/>
      <c r="C135" s="123"/>
      <c r="AB135" s="123"/>
      <c r="AC135" s="123"/>
      <c r="AD135" s="125"/>
      <c r="AE135" s="123"/>
      <c r="AF135" s="123"/>
      <c r="AG135" s="123"/>
      <c r="AH135" s="123"/>
      <c r="AI135" s="123"/>
      <c r="AJ135" s="123"/>
      <c r="AK135" s="123"/>
    </row>
    <row r="136" spans="1:37" ht="14.25" customHeight="1" x14ac:dyDescent="0.2">
      <c r="A136" s="123"/>
      <c r="C136" s="123"/>
      <c r="AB136" s="123"/>
      <c r="AC136" s="123"/>
      <c r="AD136" s="125"/>
      <c r="AE136" s="123"/>
      <c r="AF136" s="123"/>
      <c r="AG136" s="123"/>
      <c r="AH136" s="123"/>
      <c r="AI136" s="123"/>
      <c r="AJ136" s="123"/>
      <c r="AK136" s="123"/>
    </row>
    <row r="137" spans="1:37" ht="14.25" customHeight="1" x14ac:dyDescent="0.2">
      <c r="A137" s="123"/>
      <c r="C137" s="123"/>
      <c r="AB137" s="123"/>
      <c r="AC137" s="123"/>
      <c r="AD137" s="125"/>
      <c r="AE137" s="123"/>
      <c r="AF137" s="123"/>
      <c r="AG137" s="123"/>
      <c r="AH137" s="123"/>
      <c r="AI137" s="123"/>
      <c r="AJ137" s="123"/>
      <c r="AK137" s="123"/>
    </row>
    <row r="138" spans="1:37" ht="14.25" customHeight="1" x14ac:dyDescent="0.2">
      <c r="A138" s="123"/>
      <c r="C138" s="123"/>
      <c r="AB138" s="123"/>
      <c r="AC138" s="123"/>
      <c r="AD138" s="125"/>
      <c r="AE138" s="123"/>
      <c r="AF138" s="123"/>
      <c r="AG138" s="123"/>
      <c r="AH138" s="123"/>
      <c r="AI138" s="123"/>
      <c r="AJ138" s="123"/>
      <c r="AK138" s="123"/>
    </row>
    <row r="139" spans="1:37" ht="14.25" customHeight="1" x14ac:dyDescent="0.2">
      <c r="A139" s="123"/>
      <c r="C139" s="123"/>
      <c r="AB139" s="123"/>
      <c r="AC139" s="123"/>
      <c r="AD139" s="125"/>
      <c r="AE139" s="123"/>
      <c r="AF139" s="123"/>
      <c r="AG139" s="123"/>
      <c r="AH139" s="123"/>
      <c r="AI139" s="123"/>
      <c r="AJ139" s="123"/>
      <c r="AK139" s="123"/>
    </row>
    <row r="140" spans="1:37" ht="14.25" customHeight="1" x14ac:dyDescent="0.2">
      <c r="A140" s="123"/>
      <c r="C140" s="123"/>
      <c r="AB140" s="123"/>
      <c r="AC140" s="123"/>
      <c r="AD140" s="125"/>
      <c r="AE140" s="123"/>
      <c r="AF140" s="123"/>
      <c r="AG140" s="123"/>
      <c r="AH140" s="123"/>
      <c r="AI140" s="123"/>
      <c r="AJ140" s="123"/>
      <c r="AK140" s="123"/>
    </row>
    <row r="141" spans="1:37" ht="14.25" customHeight="1" x14ac:dyDescent="0.2">
      <c r="A141" s="123"/>
      <c r="C141" s="123"/>
      <c r="AB141" s="123"/>
      <c r="AC141" s="123"/>
      <c r="AD141" s="125"/>
      <c r="AE141" s="123"/>
      <c r="AF141" s="123"/>
      <c r="AG141" s="123"/>
      <c r="AH141" s="123"/>
      <c r="AI141" s="123"/>
      <c r="AJ141" s="123"/>
      <c r="AK141" s="123"/>
    </row>
    <row r="142" spans="1:37" ht="14.25" customHeight="1" x14ac:dyDescent="0.2">
      <c r="A142" s="123"/>
      <c r="C142" s="123"/>
      <c r="AB142" s="123"/>
      <c r="AC142" s="123"/>
      <c r="AD142" s="125"/>
      <c r="AE142" s="123"/>
      <c r="AF142" s="123"/>
      <c r="AG142" s="123"/>
      <c r="AH142" s="123"/>
      <c r="AI142" s="123"/>
      <c r="AJ142" s="123"/>
      <c r="AK142" s="123"/>
    </row>
    <row r="143" spans="1:37" ht="14.25" customHeight="1" x14ac:dyDescent="0.2">
      <c r="A143" s="123"/>
      <c r="C143" s="123"/>
      <c r="AB143" s="123"/>
      <c r="AC143" s="123"/>
      <c r="AD143" s="125"/>
      <c r="AE143" s="123"/>
      <c r="AF143" s="123"/>
      <c r="AG143" s="123"/>
      <c r="AH143" s="123"/>
      <c r="AI143" s="123"/>
      <c r="AJ143" s="123"/>
      <c r="AK143" s="123"/>
    </row>
    <row r="144" spans="1:37" ht="14.25" customHeight="1" x14ac:dyDescent="0.2">
      <c r="A144" s="123"/>
      <c r="C144" s="123"/>
      <c r="AB144" s="123"/>
      <c r="AC144" s="123"/>
      <c r="AD144" s="125"/>
      <c r="AE144" s="123"/>
      <c r="AF144" s="123"/>
      <c r="AG144" s="123"/>
      <c r="AH144" s="123"/>
      <c r="AI144" s="123"/>
      <c r="AJ144" s="123"/>
      <c r="AK144" s="123"/>
    </row>
    <row r="145" spans="1:37" ht="14.25" customHeight="1" x14ac:dyDescent="0.2">
      <c r="A145" s="123"/>
      <c r="C145" s="123"/>
      <c r="AB145" s="123"/>
      <c r="AC145" s="123"/>
      <c r="AD145" s="125"/>
      <c r="AE145" s="123"/>
      <c r="AF145" s="123"/>
      <c r="AG145" s="123"/>
      <c r="AH145" s="123"/>
      <c r="AI145" s="123"/>
      <c r="AJ145" s="123"/>
      <c r="AK145" s="123"/>
    </row>
    <row r="146" spans="1:37" ht="14.25" customHeight="1" x14ac:dyDescent="0.2">
      <c r="A146" s="123"/>
      <c r="C146" s="123"/>
      <c r="AB146" s="123"/>
      <c r="AC146" s="123"/>
      <c r="AD146" s="125"/>
      <c r="AE146" s="123"/>
      <c r="AF146" s="123"/>
      <c r="AG146" s="123"/>
      <c r="AH146" s="123"/>
      <c r="AI146" s="123"/>
      <c r="AJ146" s="123"/>
      <c r="AK146" s="123"/>
    </row>
    <row r="147" spans="1:37" ht="14.25" customHeight="1" x14ac:dyDescent="0.2">
      <c r="A147" s="123"/>
      <c r="C147" s="123"/>
      <c r="AB147" s="123"/>
      <c r="AC147" s="123"/>
      <c r="AD147" s="125"/>
      <c r="AE147" s="123"/>
      <c r="AF147" s="123"/>
      <c r="AG147" s="123"/>
      <c r="AH147" s="123"/>
      <c r="AI147" s="123"/>
      <c r="AJ147" s="123"/>
      <c r="AK147" s="123"/>
    </row>
    <row r="148" spans="1:37" ht="14.25" customHeight="1" x14ac:dyDescent="0.2">
      <c r="A148" s="123"/>
      <c r="C148" s="123"/>
      <c r="AB148" s="123"/>
      <c r="AC148" s="123"/>
      <c r="AD148" s="125"/>
      <c r="AE148" s="123"/>
      <c r="AF148" s="123"/>
      <c r="AG148" s="123"/>
      <c r="AH148" s="123"/>
      <c r="AI148" s="123"/>
      <c r="AJ148" s="123"/>
      <c r="AK148" s="123"/>
    </row>
    <row r="149" spans="1:37" ht="14.25" customHeight="1" x14ac:dyDescent="0.2">
      <c r="A149" s="123"/>
      <c r="C149" s="123"/>
      <c r="AB149" s="123"/>
      <c r="AC149" s="123"/>
      <c r="AD149" s="125"/>
      <c r="AE149" s="123"/>
      <c r="AF149" s="123"/>
      <c r="AG149" s="123"/>
      <c r="AH149" s="123"/>
      <c r="AI149" s="123"/>
      <c r="AJ149" s="123"/>
      <c r="AK149" s="123"/>
    </row>
    <row r="150" spans="1:37" ht="14.25" customHeight="1" x14ac:dyDescent="0.2">
      <c r="A150" s="123"/>
      <c r="C150" s="123"/>
      <c r="AB150" s="123"/>
      <c r="AC150" s="123"/>
      <c r="AD150" s="125"/>
      <c r="AE150" s="123"/>
      <c r="AF150" s="123"/>
      <c r="AG150" s="123"/>
      <c r="AH150" s="123"/>
      <c r="AI150" s="123"/>
      <c r="AJ150" s="123"/>
      <c r="AK150" s="123"/>
    </row>
    <row r="151" spans="1:37" ht="14.25" customHeight="1" x14ac:dyDescent="0.2">
      <c r="A151" s="123"/>
      <c r="C151" s="123"/>
      <c r="AB151" s="123"/>
      <c r="AC151" s="123"/>
      <c r="AD151" s="125"/>
      <c r="AE151" s="123"/>
      <c r="AF151" s="123"/>
      <c r="AG151" s="123"/>
      <c r="AH151" s="123"/>
      <c r="AI151" s="123"/>
      <c r="AJ151" s="123"/>
      <c r="AK151" s="123"/>
    </row>
    <row r="152" spans="1:37" ht="14.25" customHeight="1" x14ac:dyDescent="0.2">
      <c r="A152" s="123"/>
      <c r="C152" s="123"/>
      <c r="AB152" s="123"/>
      <c r="AC152" s="123"/>
      <c r="AD152" s="125"/>
      <c r="AE152" s="123"/>
      <c r="AF152" s="123"/>
      <c r="AG152" s="123"/>
      <c r="AH152" s="123"/>
      <c r="AI152" s="123"/>
      <c r="AJ152" s="123"/>
      <c r="AK152" s="123"/>
    </row>
    <row r="153" spans="1:37" ht="14.25" customHeight="1" x14ac:dyDescent="0.2">
      <c r="A153" s="123"/>
      <c r="C153" s="123"/>
      <c r="AB153" s="123"/>
      <c r="AC153" s="123"/>
      <c r="AD153" s="125"/>
      <c r="AE153" s="123"/>
      <c r="AF153" s="123"/>
      <c r="AG153" s="123"/>
      <c r="AH153" s="123"/>
      <c r="AI153" s="123"/>
      <c r="AJ153" s="123"/>
      <c r="AK153" s="123"/>
    </row>
    <row r="154" spans="1:37" ht="14.25" customHeight="1" x14ac:dyDescent="0.2">
      <c r="A154" s="123"/>
      <c r="C154" s="123"/>
      <c r="AB154" s="123"/>
      <c r="AC154" s="123"/>
      <c r="AD154" s="125"/>
      <c r="AE154" s="123"/>
      <c r="AF154" s="123"/>
      <c r="AG154" s="123"/>
      <c r="AH154" s="123"/>
      <c r="AI154" s="123"/>
      <c r="AJ154" s="123"/>
      <c r="AK154" s="123"/>
    </row>
    <row r="155" spans="1:37" ht="14.25" customHeight="1" x14ac:dyDescent="0.2">
      <c r="A155" s="123"/>
      <c r="C155" s="123"/>
      <c r="AB155" s="123"/>
      <c r="AC155" s="123"/>
      <c r="AD155" s="125"/>
      <c r="AE155" s="123"/>
      <c r="AF155" s="123"/>
      <c r="AG155" s="123"/>
      <c r="AH155" s="123"/>
      <c r="AI155" s="123"/>
      <c r="AJ155" s="123"/>
      <c r="AK155" s="123"/>
    </row>
    <row r="156" spans="1:37" ht="14.25" customHeight="1" x14ac:dyDescent="0.2">
      <c r="A156" s="123"/>
      <c r="C156" s="123"/>
      <c r="AB156" s="123"/>
      <c r="AC156" s="123"/>
      <c r="AD156" s="125"/>
      <c r="AE156" s="123"/>
      <c r="AF156" s="123"/>
      <c r="AG156" s="123"/>
      <c r="AH156" s="123"/>
      <c r="AI156" s="123"/>
      <c r="AJ156" s="123"/>
      <c r="AK156" s="123"/>
    </row>
    <row r="157" spans="1:37" ht="14.25" customHeight="1" x14ac:dyDescent="0.2">
      <c r="A157" s="123"/>
      <c r="C157" s="123"/>
      <c r="AB157" s="123"/>
      <c r="AC157" s="123"/>
      <c r="AD157" s="125"/>
      <c r="AE157" s="123"/>
      <c r="AF157" s="123"/>
      <c r="AG157" s="123"/>
      <c r="AH157" s="123"/>
      <c r="AI157" s="123"/>
      <c r="AJ157" s="123"/>
      <c r="AK157" s="123"/>
    </row>
    <row r="158" spans="1:37" ht="14.25" customHeight="1" x14ac:dyDescent="0.2">
      <c r="A158" s="123"/>
      <c r="C158" s="123"/>
      <c r="AB158" s="123"/>
      <c r="AC158" s="123"/>
      <c r="AD158" s="125"/>
      <c r="AE158" s="123"/>
      <c r="AF158" s="123"/>
      <c r="AG158" s="123"/>
      <c r="AH158" s="123"/>
      <c r="AI158" s="123"/>
      <c r="AJ158" s="123"/>
      <c r="AK158" s="123"/>
    </row>
    <row r="159" spans="1:37" ht="14.25" customHeight="1" x14ac:dyDescent="0.2">
      <c r="A159" s="123"/>
      <c r="C159" s="123"/>
      <c r="AB159" s="123"/>
      <c r="AC159" s="123"/>
      <c r="AD159" s="125"/>
      <c r="AE159" s="123"/>
      <c r="AF159" s="123"/>
      <c r="AG159" s="123"/>
      <c r="AH159" s="123"/>
      <c r="AI159" s="123"/>
      <c r="AJ159" s="123"/>
      <c r="AK159" s="123"/>
    </row>
    <row r="160" spans="1:37" ht="14.25" customHeight="1" x14ac:dyDescent="0.2">
      <c r="A160" s="123"/>
      <c r="C160" s="123"/>
      <c r="AB160" s="123"/>
      <c r="AC160" s="123"/>
      <c r="AD160" s="125"/>
      <c r="AE160" s="123"/>
      <c r="AF160" s="123"/>
      <c r="AG160" s="123"/>
      <c r="AH160" s="123"/>
      <c r="AI160" s="123"/>
      <c r="AJ160" s="123"/>
      <c r="AK160" s="123"/>
    </row>
    <row r="161" spans="1:37" ht="14.25" customHeight="1" x14ac:dyDescent="0.2">
      <c r="A161" s="123"/>
      <c r="C161" s="123"/>
      <c r="AB161" s="123"/>
      <c r="AC161" s="123"/>
      <c r="AD161" s="125"/>
      <c r="AE161" s="123"/>
      <c r="AF161" s="123"/>
      <c r="AG161" s="123"/>
      <c r="AH161" s="123"/>
      <c r="AI161" s="123"/>
      <c r="AJ161" s="123"/>
      <c r="AK161" s="123"/>
    </row>
    <row r="162" spans="1:37" ht="14.25" customHeight="1" x14ac:dyDescent="0.2">
      <c r="A162" s="123"/>
      <c r="C162" s="123"/>
      <c r="AB162" s="123"/>
      <c r="AC162" s="123"/>
      <c r="AD162" s="125"/>
      <c r="AE162" s="123"/>
      <c r="AF162" s="123"/>
      <c r="AG162" s="123"/>
      <c r="AH162" s="123"/>
      <c r="AI162" s="123"/>
      <c r="AJ162" s="123"/>
      <c r="AK162" s="123"/>
    </row>
    <row r="163" spans="1:37" ht="14.25" customHeight="1" x14ac:dyDescent="0.2">
      <c r="A163" s="123"/>
      <c r="C163" s="123"/>
      <c r="AB163" s="123"/>
      <c r="AC163" s="123"/>
      <c r="AD163" s="125"/>
      <c r="AE163" s="123"/>
      <c r="AF163" s="123"/>
      <c r="AG163" s="123"/>
      <c r="AH163" s="123"/>
      <c r="AI163" s="123"/>
      <c r="AJ163" s="123"/>
      <c r="AK163" s="123"/>
    </row>
    <row r="164" spans="1:37" ht="14.25" customHeight="1" x14ac:dyDescent="0.2">
      <c r="A164" s="123"/>
      <c r="C164" s="123"/>
      <c r="AB164" s="123"/>
      <c r="AC164" s="123"/>
      <c r="AD164" s="125"/>
      <c r="AE164" s="123"/>
      <c r="AF164" s="123"/>
      <c r="AG164" s="123"/>
      <c r="AH164" s="123"/>
      <c r="AI164" s="123"/>
      <c r="AJ164" s="123"/>
      <c r="AK164" s="123"/>
    </row>
    <row r="165" spans="1:37" ht="14.25" customHeight="1" x14ac:dyDescent="0.2">
      <c r="A165" s="123"/>
      <c r="C165" s="123"/>
      <c r="AB165" s="123"/>
      <c r="AC165" s="123"/>
      <c r="AD165" s="125"/>
      <c r="AE165" s="123"/>
      <c r="AF165" s="123"/>
      <c r="AG165" s="123"/>
      <c r="AH165" s="123"/>
      <c r="AI165" s="123"/>
      <c r="AJ165" s="123"/>
      <c r="AK165" s="123"/>
    </row>
    <row r="166" spans="1:37" ht="14.25" customHeight="1" x14ac:dyDescent="0.2">
      <c r="A166" s="123"/>
      <c r="C166" s="123"/>
      <c r="AB166" s="123"/>
      <c r="AC166" s="123"/>
      <c r="AD166" s="125"/>
      <c r="AE166" s="123"/>
      <c r="AF166" s="123"/>
      <c r="AG166" s="123"/>
      <c r="AH166" s="123"/>
      <c r="AI166" s="123"/>
      <c r="AJ166" s="123"/>
      <c r="AK166" s="123"/>
    </row>
    <row r="167" spans="1:37" ht="14.25" customHeight="1" x14ac:dyDescent="0.2">
      <c r="A167" s="123"/>
      <c r="C167" s="123"/>
      <c r="AB167" s="123"/>
      <c r="AC167" s="123"/>
      <c r="AD167" s="125"/>
      <c r="AE167" s="123"/>
      <c r="AF167" s="123"/>
      <c r="AG167" s="123"/>
      <c r="AH167" s="123"/>
      <c r="AI167" s="123"/>
      <c r="AJ167" s="123"/>
      <c r="AK167" s="123"/>
    </row>
    <row r="168" spans="1:37" ht="14.25" customHeight="1" x14ac:dyDescent="0.2">
      <c r="A168" s="123"/>
      <c r="C168" s="123"/>
      <c r="AB168" s="123"/>
      <c r="AC168" s="123"/>
      <c r="AD168" s="125"/>
      <c r="AE168" s="123"/>
      <c r="AF168" s="123"/>
      <c r="AG168" s="123"/>
      <c r="AH168" s="123"/>
      <c r="AI168" s="123"/>
      <c r="AJ168" s="123"/>
      <c r="AK168" s="123"/>
    </row>
    <row r="169" spans="1:37" ht="14.25" customHeight="1" x14ac:dyDescent="0.2">
      <c r="A169" s="123"/>
      <c r="C169" s="123"/>
      <c r="AB169" s="123"/>
      <c r="AC169" s="123"/>
      <c r="AD169" s="125"/>
      <c r="AE169" s="123"/>
      <c r="AF169" s="123"/>
      <c r="AG169" s="123"/>
      <c r="AH169" s="123"/>
      <c r="AI169" s="123"/>
      <c r="AJ169" s="123"/>
      <c r="AK169" s="123"/>
    </row>
    <row r="170" spans="1:37" ht="14.25" customHeight="1" x14ac:dyDescent="0.2">
      <c r="A170" s="123"/>
      <c r="C170" s="123"/>
      <c r="AB170" s="123"/>
      <c r="AC170" s="123"/>
      <c r="AD170" s="125"/>
      <c r="AE170" s="123"/>
      <c r="AF170" s="123"/>
      <c r="AG170" s="123"/>
      <c r="AH170" s="123"/>
      <c r="AI170" s="123"/>
      <c r="AJ170" s="123"/>
      <c r="AK170" s="123"/>
    </row>
    <row r="171" spans="1:37" ht="14.25" customHeight="1" x14ac:dyDescent="0.2">
      <c r="A171" s="123"/>
      <c r="C171" s="123"/>
      <c r="AB171" s="123"/>
      <c r="AC171" s="123"/>
      <c r="AD171" s="125"/>
      <c r="AE171" s="123"/>
      <c r="AF171" s="123"/>
      <c r="AG171" s="123"/>
      <c r="AH171" s="123"/>
      <c r="AI171" s="123"/>
      <c r="AJ171" s="123"/>
      <c r="AK171" s="123"/>
    </row>
    <row r="172" spans="1:37" ht="14.25" customHeight="1" x14ac:dyDescent="0.2">
      <c r="A172" s="123"/>
      <c r="C172" s="123"/>
      <c r="AB172" s="123"/>
      <c r="AC172" s="123"/>
      <c r="AD172" s="125"/>
      <c r="AE172" s="123"/>
      <c r="AF172" s="123"/>
      <c r="AG172" s="123"/>
      <c r="AH172" s="123"/>
      <c r="AI172" s="123"/>
      <c r="AJ172" s="123"/>
      <c r="AK172" s="123"/>
    </row>
    <row r="173" spans="1:37" ht="14.25" customHeight="1" x14ac:dyDescent="0.2">
      <c r="A173" s="123"/>
      <c r="C173" s="123"/>
      <c r="AB173" s="123"/>
      <c r="AC173" s="123"/>
      <c r="AD173" s="125"/>
      <c r="AE173" s="123"/>
      <c r="AF173" s="123"/>
      <c r="AG173" s="123"/>
      <c r="AH173" s="123"/>
      <c r="AI173" s="123"/>
      <c r="AJ173" s="123"/>
      <c r="AK173" s="123"/>
    </row>
    <row r="174" spans="1:37" ht="14.25" customHeight="1" x14ac:dyDescent="0.2">
      <c r="A174" s="123"/>
      <c r="C174" s="123"/>
      <c r="AB174" s="123"/>
      <c r="AC174" s="123"/>
      <c r="AD174" s="125"/>
      <c r="AE174" s="123"/>
      <c r="AF174" s="123"/>
      <c r="AG174" s="123"/>
      <c r="AH174" s="123"/>
      <c r="AI174" s="123"/>
      <c r="AJ174" s="123"/>
      <c r="AK174" s="123"/>
    </row>
    <row r="175" spans="1:37" ht="14.25" customHeight="1" x14ac:dyDescent="0.2">
      <c r="A175" s="123"/>
      <c r="C175" s="123"/>
      <c r="AB175" s="123"/>
      <c r="AC175" s="123"/>
      <c r="AD175" s="125"/>
      <c r="AE175" s="123"/>
      <c r="AF175" s="123"/>
      <c r="AG175" s="123"/>
      <c r="AH175" s="123"/>
      <c r="AI175" s="123"/>
      <c r="AJ175" s="123"/>
      <c r="AK175" s="123"/>
    </row>
    <row r="176" spans="1:37" ht="14.25" customHeight="1" x14ac:dyDescent="0.2">
      <c r="A176" s="123"/>
      <c r="C176" s="123"/>
      <c r="AB176" s="123"/>
      <c r="AC176" s="123"/>
      <c r="AD176" s="125"/>
      <c r="AE176" s="123"/>
      <c r="AF176" s="123"/>
      <c r="AG176" s="123"/>
      <c r="AH176" s="123"/>
      <c r="AI176" s="123"/>
      <c r="AJ176" s="123"/>
      <c r="AK176" s="123"/>
    </row>
    <row r="177" spans="1:37" ht="14.25" customHeight="1" x14ac:dyDescent="0.2">
      <c r="A177" s="123"/>
      <c r="C177" s="123"/>
      <c r="AB177" s="123"/>
      <c r="AC177" s="123"/>
      <c r="AD177" s="125"/>
      <c r="AE177" s="123"/>
      <c r="AF177" s="123"/>
      <c r="AG177" s="123"/>
      <c r="AH177" s="123"/>
      <c r="AI177" s="123"/>
      <c r="AJ177" s="123"/>
      <c r="AK177" s="123"/>
    </row>
    <row r="178" spans="1:37" ht="14.25" customHeight="1" x14ac:dyDescent="0.2">
      <c r="A178" s="123"/>
      <c r="C178" s="123"/>
      <c r="AB178" s="123"/>
      <c r="AC178" s="123"/>
      <c r="AD178" s="125"/>
      <c r="AE178" s="123"/>
      <c r="AF178" s="123"/>
      <c r="AG178" s="123"/>
      <c r="AH178" s="123"/>
      <c r="AI178" s="123"/>
      <c r="AJ178" s="123"/>
      <c r="AK178" s="123"/>
    </row>
    <row r="179" spans="1:37" ht="14.25" customHeight="1" x14ac:dyDescent="0.2">
      <c r="A179" s="123"/>
      <c r="C179" s="123"/>
      <c r="AB179" s="123"/>
      <c r="AC179" s="123"/>
      <c r="AD179" s="125"/>
      <c r="AE179" s="123"/>
      <c r="AF179" s="123"/>
      <c r="AG179" s="123"/>
      <c r="AH179" s="123"/>
      <c r="AI179" s="123"/>
      <c r="AJ179" s="123"/>
      <c r="AK179" s="123"/>
    </row>
    <row r="180" spans="1:37" ht="14.25" customHeight="1" x14ac:dyDescent="0.2">
      <c r="A180" s="123"/>
      <c r="C180" s="123"/>
      <c r="AB180" s="123"/>
      <c r="AC180" s="123"/>
      <c r="AD180" s="125"/>
      <c r="AE180" s="123"/>
      <c r="AF180" s="123"/>
      <c r="AG180" s="123"/>
      <c r="AH180" s="123"/>
      <c r="AI180" s="123"/>
      <c r="AJ180" s="123"/>
      <c r="AK180" s="123"/>
    </row>
    <row r="181" spans="1:37" ht="14.25" customHeight="1" x14ac:dyDescent="0.2">
      <c r="A181" s="123"/>
      <c r="C181" s="123"/>
      <c r="AB181" s="123"/>
      <c r="AC181" s="123"/>
      <c r="AD181" s="125"/>
      <c r="AE181" s="123"/>
      <c r="AF181" s="123"/>
      <c r="AG181" s="123"/>
      <c r="AH181" s="123"/>
      <c r="AI181" s="123"/>
      <c r="AJ181" s="123"/>
      <c r="AK181" s="123"/>
    </row>
    <row r="182" spans="1:37" ht="14.25" customHeight="1" x14ac:dyDescent="0.2">
      <c r="A182" s="123"/>
      <c r="C182" s="123"/>
      <c r="AB182" s="123"/>
      <c r="AC182" s="123"/>
      <c r="AD182" s="125"/>
      <c r="AE182" s="123"/>
      <c r="AF182" s="123"/>
      <c r="AG182" s="123"/>
      <c r="AH182" s="123"/>
      <c r="AI182" s="123"/>
      <c r="AJ182" s="123"/>
      <c r="AK182" s="123"/>
    </row>
    <row r="183" spans="1:37" ht="14.25" customHeight="1" x14ac:dyDescent="0.2">
      <c r="A183" s="123"/>
      <c r="C183" s="123"/>
      <c r="AB183" s="123"/>
      <c r="AC183" s="123"/>
      <c r="AD183" s="125"/>
      <c r="AE183" s="123"/>
      <c r="AF183" s="123"/>
      <c r="AG183" s="123"/>
      <c r="AH183" s="123"/>
      <c r="AI183" s="123"/>
      <c r="AJ183" s="123"/>
      <c r="AK183" s="123"/>
    </row>
    <row r="184" spans="1:37" ht="14.25" customHeight="1" x14ac:dyDescent="0.2">
      <c r="A184" s="123"/>
      <c r="C184" s="123"/>
      <c r="AB184" s="123"/>
      <c r="AC184" s="123"/>
      <c r="AD184" s="125"/>
      <c r="AE184" s="123"/>
      <c r="AF184" s="123"/>
      <c r="AG184" s="123"/>
      <c r="AH184" s="123"/>
      <c r="AI184" s="123"/>
      <c r="AJ184" s="123"/>
      <c r="AK184" s="123"/>
    </row>
    <row r="185" spans="1:37" ht="14.25" customHeight="1" x14ac:dyDescent="0.2">
      <c r="A185" s="123"/>
      <c r="C185" s="123"/>
      <c r="AB185" s="123"/>
      <c r="AC185" s="123"/>
      <c r="AD185" s="125"/>
      <c r="AE185" s="123"/>
      <c r="AF185" s="123"/>
      <c r="AG185" s="123"/>
      <c r="AH185" s="123"/>
      <c r="AI185" s="123"/>
      <c r="AJ185" s="123"/>
      <c r="AK185" s="123"/>
    </row>
    <row r="186" spans="1:37" ht="14.25" customHeight="1" x14ac:dyDescent="0.2">
      <c r="A186" s="123"/>
      <c r="C186" s="123"/>
      <c r="AB186" s="123"/>
      <c r="AC186" s="123"/>
      <c r="AD186" s="125"/>
      <c r="AE186" s="123"/>
      <c r="AF186" s="123"/>
      <c r="AG186" s="123"/>
      <c r="AH186" s="123"/>
      <c r="AI186" s="123"/>
      <c r="AJ186" s="123"/>
      <c r="AK186" s="123"/>
    </row>
    <row r="187" spans="1:37" ht="14.25" customHeight="1" x14ac:dyDescent="0.2">
      <c r="A187" s="123"/>
      <c r="C187" s="123"/>
      <c r="AB187" s="123"/>
      <c r="AC187" s="123"/>
      <c r="AD187" s="125"/>
      <c r="AE187" s="123"/>
      <c r="AF187" s="123"/>
      <c r="AG187" s="123"/>
      <c r="AH187" s="123"/>
      <c r="AI187" s="123"/>
      <c r="AJ187" s="123"/>
      <c r="AK187" s="123"/>
    </row>
    <row r="188" spans="1:37" ht="14.25" customHeight="1" x14ac:dyDescent="0.2">
      <c r="A188" s="123"/>
      <c r="C188" s="123"/>
      <c r="AB188" s="123"/>
      <c r="AC188" s="123"/>
      <c r="AD188" s="125"/>
      <c r="AE188" s="123"/>
      <c r="AF188" s="123"/>
      <c r="AG188" s="123"/>
      <c r="AH188" s="123"/>
      <c r="AI188" s="123"/>
      <c r="AJ188" s="123"/>
      <c r="AK188" s="123"/>
    </row>
    <row r="189" spans="1:37" ht="14.25" customHeight="1" x14ac:dyDescent="0.2">
      <c r="A189" s="123"/>
      <c r="C189" s="123"/>
      <c r="AB189" s="123"/>
      <c r="AC189" s="123"/>
      <c r="AD189" s="125"/>
      <c r="AE189" s="123"/>
      <c r="AF189" s="123"/>
      <c r="AG189" s="123"/>
      <c r="AH189" s="123"/>
      <c r="AI189" s="123"/>
      <c r="AJ189" s="123"/>
      <c r="AK189" s="123"/>
    </row>
    <row r="190" spans="1:37" ht="14.25" customHeight="1" x14ac:dyDescent="0.2">
      <c r="A190" s="123"/>
      <c r="C190" s="123"/>
      <c r="AB190" s="123"/>
      <c r="AC190" s="123"/>
      <c r="AD190" s="125"/>
      <c r="AE190" s="123"/>
      <c r="AF190" s="123"/>
      <c r="AG190" s="123"/>
      <c r="AH190" s="123"/>
      <c r="AI190" s="123"/>
      <c r="AJ190" s="123"/>
      <c r="AK190" s="123"/>
    </row>
    <row r="191" spans="1:37" ht="14.25" customHeight="1" x14ac:dyDescent="0.2">
      <c r="A191" s="123"/>
      <c r="C191" s="123"/>
      <c r="AB191" s="123"/>
      <c r="AC191" s="123"/>
      <c r="AD191" s="125"/>
      <c r="AE191" s="123"/>
      <c r="AF191" s="123"/>
      <c r="AG191" s="123"/>
      <c r="AH191" s="123"/>
      <c r="AI191" s="123"/>
      <c r="AJ191" s="123"/>
      <c r="AK191" s="123"/>
    </row>
    <row r="192" spans="1:37" ht="14.25" customHeight="1" x14ac:dyDescent="0.2">
      <c r="A192" s="123"/>
      <c r="C192" s="123"/>
      <c r="AB192" s="123"/>
      <c r="AC192" s="123"/>
      <c r="AD192" s="125"/>
      <c r="AE192" s="123"/>
      <c r="AF192" s="123"/>
      <c r="AG192" s="123"/>
      <c r="AH192" s="123"/>
      <c r="AI192" s="123"/>
      <c r="AJ192" s="123"/>
      <c r="AK192" s="123"/>
    </row>
    <row r="193" spans="1:37" ht="14.25" customHeight="1" x14ac:dyDescent="0.2">
      <c r="A193" s="123"/>
      <c r="C193" s="123"/>
      <c r="AB193" s="123"/>
      <c r="AC193" s="123"/>
      <c r="AD193" s="125"/>
      <c r="AE193" s="123"/>
      <c r="AF193" s="123"/>
      <c r="AG193" s="123"/>
      <c r="AH193" s="123"/>
      <c r="AI193" s="123"/>
      <c r="AJ193" s="123"/>
      <c r="AK193" s="123"/>
    </row>
    <row r="194" spans="1:37" ht="14.25" customHeight="1" x14ac:dyDescent="0.2">
      <c r="A194" s="123"/>
      <c r="C194" s="123"/>
      <c r="AB194" s="123"/>
      <c r="AC194" s="123"/>
      <c r="AD194" s="125"/>
      <c r="AE194" s="123"/>
      <c r="AF194" s="123"/>
      <c r="AG194" s="123"/>
      <c r="AH194" s="123"/>
      <c r="AI194" s="123"/>
      <c r="AJ194" s="123"/>
      <c r="AK194" s="123"/>
    </row>
    <row r="195" spans="1:37" ht="14.25" customHeight="1" x14ac:dyDescent="0.2">
      <c r="A195" s="123"/>
      <c r="C195" s="123"/>
      <c r="AB195" s="123"/>
      <c r="AC195" s="123"/>
      <c r="AD195" s="125"/>
      <c r="AE195" s="123"/>
      <c r="AF195" s="123"/>
      <c r="AG195" s="123"/>
      <c r="AH195" s="123"/>
      <c r="AI195" s="123"/>
      <c r="AJ195" s="123"/>
      <c r="AK195" s="123"/>
    </row>
    <row r="196" spans="1:37" ht="14.25" customHeight="1" x14ac:dyDescent="0.2">
      <c r="A196" s="123"/>
      <c r="C196" s="123"/>
      <c r="AB196" s="123"/>
      <c r="AC196" s="123"/>
      <c r="AD196" s="125"/>
      <c r="AE196" s="123"/>
      <c r="AF196" s="123"/>
      <c r="AG196" s="123"/>
      <c r="AH196" s="123"/>
      <c r="AI196" s="123"/>
      <c r="AJ196" s="123"/>
      <c r="AK196" s="123"/>
    </row>
    <row r="197" spans="1:37" ht="14.25" customHeight="1" x14ac:dyDescent="0.2">
      <c r="A197" s="123"/>
      <c r="C197" s="123"/>
      <c r="AB197" s="123"/>
      <c r="AC197" s="123"/>
      <c r="AD197" s="125"/>
      <c r="AE197" s="123"/>
      <c r="AF197" s="123"/>
      <c r="AG197" s="123"/>
      <c r="AH197" s="123"/>
      <c r="AI197" s="123"/>
      <c r="AJ197" s="123"/>
      <c r="AK197" s="123"/>
    </row>
    <row r="198" spans="1:37" ht="14.25" customHeight="1" x14ac:dyDescent="0.2">
      <c r="A198" s="123"/>
      <c r="C198" s="123"/>
      <c r="AB198" s="123"/>
      <c r="AC198" s="123"/>
      <c r="AD198" s="125"/>
      <c r="AE198" s="123"/>
      <c r="AF198" s="123"/>
      <c r="AG198" s="123"/>
      <c r="AH198" s="123"/>
      <c r="AI198" s="123"/>
      <c r="AJ198" s="123"/>
      <c r="AK198" s="123"/>
    </row>
    <row r="199" spans="1:37" ht="14.25" customHeight="1" x14ac:dyDescent="0.2">
      <c r="A199" s="123"/>
      <c r="C199" s="123"/>
      <c r="AB199" s="123"/>
      <c r="AC199" s="123"/>
      <c r="AD199" s="125"/>
      <c r="AE199" s="123"/>
      <c r="AF199" s="123"/>
      <c r="AG199" s="123"/>
      <c r="AH199" s="123"/>
      <c r="AI199" s="123"/>
      <c r="AJ199" s="123"/>
      <c r="AK199" s="123"/>
    </row>
    <row r="200" spans="1:37" ht="14.25" customHeight="1" x14ac:dyDescent="0.2">
      <c r="A200" s="123"/>
      <c r="C200" s="123"/>
      <c r="AB200" s="123"/>
      <c r="AC200" s="123"/>
      <c r="AD200" s="125"/>
      <c r="AE200" s="123"/>
      <c r="AF200" s="123"/>
      <c r="AG200" s="123"/>
      <c r="AH200" s="123"/>
      <c r="AI200" s="123"/>
      <c r="AJ200" s="123"/>
      <c r="AK200" s="123"/>
    </row>
    <row r="201" spans="1:37" ht="14.25" customHeight="1" x14ac:dyDescent="0.2">
      <c r="A201" s="123"/>
      <c r="C201" s="123"/>
      <c r="AB201" s="123"/>
      <c r="AC201" s="123"/>
      <c r="AD201" s="125"/>
      <c r="AE201" s="123"/>
      <c r="AF201" s="123"/>
      <c r="AG201" s="123"/>
      <c r="AH201" s="123"/>
      <c r="AI201" s="123"/>
      <c r="AJ201" s="123"/>
      <c r="AK201" s="123"/>
    </row>
    <row r="202" spans="1:37" ht="14.25" customHeight="1" x14ac:dyDescent="0.2">
      <c r="A202" s="123"/>
      <c r="C202" s="123"/>
      <c r="AB202" s="123"/>
      <c r="AC202" s="123"/>
      <c r="AD202" s="125"/>
      <c r="AE202" s="123"/>
      <c r="AF202" s="123"/>
      <c r="AG202" s="123"/>
      <c r="AH202" s="123"/>
      <c r="AI202" s="123"/>
      <c r="AJ202" s="123"/>
      <c r="AK202" s="123"/>
    </row>
    <row r="203" spans="1:37" ht="14.25" customHeight="1" x14ac:dyDescent="0.2">
      <c r="A203" s="123"/>
      <c r="C203" s="123"/>
      <c r="AB203" s="123"/>
      <c r="AC203" s="123"/>
      <c r="AD203" s="125"/>
      <c r="AE203" s="123"/>
      <c r="AF203" s="123"/>
      <c r="AG203" s="123"/>
      <c r="AH203" s="123"/>
      <c r="AI203" s="123"/>
      <c r="AJ203" s="123"/>
      <c r="AK203" s="123"/>
    </row>
    <row r="204" spans="1:37" ht="14.25" customHeight="1" x14ac:dyDescent="0.2">
      <c r="A204" s="123"/>
      <c r="C204" s="123"/>
      <c r="AB204" s="123"/>
      <c r="AC204" s="123"/>
      <c r="AD204" s="125"/>
      <c r="AE204" s="123"/>
      <c r="AF204" s="123"/>
      <c r="AG204" s="123"/>
      <c r="AH204" s="123"/>
      <c r="AI204" s="123"/>
      <c r="AJ204" s="123"/>
      <c r="AK204" s="123"/>
    </row>
    <row r="205" spans="1:37" ht="14.25" customHeight="1" x14ac:dyDescent="0.2">
      <c r="A205" s="123"/>
      <c r="C205" s="123"/>
      <c r="AB205" s="123"/>
      <c r="AC205" s="123"/>
      <c r="AD205" s="125"/>
      <c r="AE205" s="123"/>
      <c r="AF205" s="123"/>
      <c r="AG205" s="123"/>
      <c r="AH205" s="123"/>
      <c r="AI205" s="123"/>
      <c r="AJ205" s="123"/>
      <c r="AK205" s="123"/>
    </row>
    <row r="206" spans="1:37" ht="14.25" customHeight="1" x14ac:dyDescent="0.2">
      <c r="A206" s="123"/>
      <c r="C206" s="123"/>
      <c r="AB206" s="123"/>
      <c r="AC206" s="123"/>
      <c r="AD206" s="125"/>
      <c r="AE206" s="123"/>
      <c r="AF206" s="123"/>
      <c r="AG206" s="123"/>
      <c r="AH206" s="123"/>
      <c r="AI206" s="123"/>
      <c r="AJ206" s="123"/>
      <c r="AK206" s="123"/>
    </row>
    <row r="207" spans="1:37" ht="14.25" customHeight="1" x14ac:dyDescent="0.2">
      <c r="A207" s="123"/>
      <c r="C207" s="123"/>
      <c r="AB207" s="123"/>
      <c r="AC207" s="123"/>
      <c r="AD207" s="125"/>
      <c r="AE207" s="123"/>
      <c r="AF207" s="123"/>
      <c r="AG207" s="123"/>
      <c r="AH207" s="123"/>
      <c r="AI207" s="123"/>
      <c r="AJ207" s="123"/>
      <c r="AK207" s="123"/>
    </row>
    <row r="208" spans="1:37" ht="14.25" customHeight="1" x14ac:dyDescent="0.2">
      <c r="A208" s="123"/>
      <c r="C208" s="123"/>
      <c r="AB208" s="123"/>
      <c r="AC208" s="123"/>
      <c r="AD208" s="125"/>
      <c r="AE208" s="123"/>
      <c r="AF208" s="123"/>
      <c r="AG208" s="123"/>
      <c r="AH208" s="123"/>
      <c r="AI208" s="123"/>
      <c r="AJ208" s="123"/>
      <c r="AK208" s="123"/>
    </row>
    <row r="209" spans="1:37" ht="14.25" customHeight="1" x14ac:dyDescent="0.2">
      <c r="A209" s="123"/>
      <c r="C209" s="123"/>
      <c r="AB209" s="123"/>
      <c r="AC209" s="123"/>
      <c r="AD209" s="125"/>
      <c r="AE209" s="123"/>
      <c r="AF209" s="123"/>
      <c r="AG209" s="123"/>
      <c r="AH209" s="123"/>
      <c r="AI209" s="123"/>
      <c r="AJ209" s="123"/>
      <c r="AK209" s="123"/>
    </row>
    <row r="210" spans="1:37" ht="14.25" customHeight="1" x14ac:dyDescent="0.2">
      <c r="A210" s="123"/>
      <c r="C210" s="123"/>
      <c r="AB210" s="123"/>
      <c r="AC210" s="123"/>
      <c r="AD210" s="125"/>
      <c r="AE210" s="123"/>
      <c r="AF210" s="123"/>
      <c r="AG210" s="123"/>
      <c r="AH210" s="123"/>
      <c r="AI210" s="123"/>
      <c r="AJ210" s="123"/>
      <c r="AK210" s="123"/>
    </row>
    <row r="211" spans="1:37" ht="14.25" customHeight="1" x14ac:dyDescent="0.2">
      <c r="A211" s="123"/>
      <c r="C211" s="123"/>
      <c r="AB211" s="123"/>
      <c r="AC211" s="123"/>
      <c r="AD211" s="125"/>
      <c r="AE211" s="123"/>
      <c r="AF211" s="123"/>
      <c r="AG211" s="123"/>
      <c r="AH211" s="123"/>
      <c r="AI211" s="123"/>
      <c r="AJ211" s="123"/>
      <c r="AK211" s="123"/>
    </row>
    <row r="212" spans="1:37" ht="14.25" customHeight="1" x14ac:dyDescent="0.2">
      <c r="A212" s="123"/>
      <c r="C212" s="123"/>
      <c r="AB212" s="123"/>
      <c r="AC212" s="123"/>
      <c r="AD212" s="125"/>
      <c r="AE212" s="123"/>
      <c r="AF212" s="123"/>
      <c r="AG212" s="123"/>
      <c r="AH212" s="123"/>
      <c r="AI212" s="123"/>
      <c r="AJ212" s="123"/>
      <c r="AK212" s="123"/>
    </row>
    <row r="213" spans="1:37" ht="14.25" customHeight="1" x14ac:dyDescent="0.2">
      <c r="A213" s="123"/>
      <c r="C213" s="123"/>
      <c r="AB213" s="123"/>
      <c r="AC213" s="123"/>
      <c r="AD213" s="125"/>
      <c r="AE213" s="123"/>
      <c r="AF213" s="123"/>
      <c r="AG213" s="123"/>
      <c r="AH213" s="123"/>
      <c r="AI213" s="123"/>
      <c r="AJ213" s="123"/>
      <c r="AK213" s="123"/>
    </row>
    <row r="214" spans="1:37" ht="14.25" customHeight="1" x14ac:dyDescent="0.2">
      <c r="A214" s="123"/>
      <c r="C214" s="123"/>
      <c r="AB214" s="123"/>
      <c r="AC214" s="123"/>
      <c r="AD214" s="125"/>
      <c r="AE214" s="123"/>
      <c r="AF214" s="123"/>
      <c r="AG214" s="123"/>
      <c r="AH214" s="123"/>
      <c r="AI214" s="123"/>
      <c r="AJ214" s="123"/>
      <c r="AK214" s="123"/>
    </row>
    <row r="215" spans="1:37" ht="14.25" customHeight="1" x14ac:dyDescent="0.2">
      <c r="A215" s="123"/>
      <c r="C215" s="123"/>
      <c r="AB215" s="123"/>
      <c r="AC215" s="123"/>
      <c r="AD215" s="125"/>
      <c r="AE215" s="123"/>
      <c r="AF215" s="123"/>
      <c r="AG215" s="123"/>
      <c r="AH215" s="123"/>
      <c r="AI215" s="123"/>
      <c r="AJ215" s="123"/>
      <c r="AK215" s="123"/>
    </row>
    <row r="216" spans="1:37" ht="14.25" customHeight="1" x14ac:dyDescent="0.2">
      <c r="A216" s="123"/>
      <c r="C216" s="123"/>
      <c r="AB216" s="123"/>
      <c r="AC216" s="123"/>
      <c r="AD216" s="125"/>
      <c r="AE216" s="123"/>
      <c r="AF216" s="123"/>
      <c r="AG216" s="123"/>
      <c r="AH216" s="123"/>
      <c r="AI216" s="123"/>
      <c r="AJ216" s="123"/>
      <c r="AK216" s="123"/>
    </row>
    <row r="217" spans="1:37" ht="14.25" customHeight="1" x14ac:dyDescent="0.2">
      <c r="A217" s="123"/>
      <c r="C217" s="123"/>
      <c r="AB217" s="123"/>
      <c r="AC217" s="123"/>
      <c r="AD217" s="125"/>
      <c r="AE217" s="123"/>
      <c r="AF217" s="123"/>
      <c r="AG217" s="123"/>
      <c r="AH217" s="123"/>
      <c r="AI217" s="123"/>
      <c r="AJ217" s="123"/>
      <c r="AK217" s="123"/>
    </row>
    <row r="218" spans="1:37" ht="14.25" customHeight="1" x14ac:dyDescent="0.2">
      <c r="A218" s="123"/>
      <c r="C218" s="123"/>
      <c r="AB218" s="123"/>
      <c r="AC218" s="123"/>
      <c r="AD218" s="125"/>
      <c r="AE218" s="123"/>
      <c r="AF218" s="123"/>
      <c r="AG218" s="123"/>
      <c r="AH218" s="123"/>
      <c r="AI218" s="123"/>
      <c r="AJ218" s="123"/>
      <c r="AK218" s="123"/>
    </row>
    <row r="219" spans="1:37" ht="14.25" customHeight="1" x14ac:dyDescent="0.2">
      <c r="A219" s="123"/>
      <c r="C219" s="123"/>
      <c r="AB219" s="123"/>
      <c r="AC219" s="123"/>
      <c r="AD219" s="125"/>
      <c r="AE219" s="123"/>
      <c r="AF219" s="123"/>
      <c r="AG219" s="123"/>
      <c r="AH219" s="123"/>
      <c r="AI219" s="123"/>
      <c r="AJ219" s="123"/>
      <c r="AK219" s="123"/>
    </row>
    <row r="220" spans="1:37" ht="14.25" customHeight="1" x14ac:dyDescent="0.2">
      <c r="A220" s="123"/>
      <c r="C220" s="123"/>
      <c r="AB220" s="123"/>
      <c r="AC220" s="123"/>
      <c r="AD220" s="125"/>
      <c r="AE220" s="123"/>
      <c r="AF220" s="123"/>
      <c r="AG220" s="123"/>
      <c r="AH220" s="123"/>
      <c r="AI220" s="123"/>
      <c r="AJ220" s="123"/>
      <c r="AK220" s="123"/>
    </row>
    <row r="221" spans="1:37" ht="14.25" customHeight="1" x14ac:dyDescent="0.2">
      <c r="A221" s="123"/>
      <c r="C221" s="123"/>
      <c r="AB221" s="123"/>
      <c r="AC221" s="123"/>
      <c r="AD221" s="125"/>
      <c r="AE221" s="123"/>
      <c r="AF221" s="123"/>
      <c r="AG221" s="123"/>
      <c r="AH221" s="123"/>
      <c r="AI221" s="123"/>
      <c r="AJ221" s="123"/>
      <c r="AK221" s="123"/>
    </row>
    <row r="222" spans="1:37" ht="14.25" customHeight="1" x14ac:dyDescent="0.2">
      <c r="A222" s="123"/>
      <c r="C222" s="123"/>
      <c r="AB222" s="123"/>
      <c r="AC222" s="123"/>
      <c r="AD222" s="125"/>
      <c r="AE222" s="123"/>
      <c r="AF222" s="123"/>
      <c r="AG222" s="123"/>
      <c r="AH222" s="123"/>
      <c r="AI222" s="123"/>
      <c r="AJ222" s="123"/>
      <c r="AK222" s="123"/>
    </row>
    <row r="223" spans="1:37" ht="14.25" customHeight="1" x14ac:dyDescent="0.2">
      <c r="A223" s="123"/>
      <c r="C223" s="123"/>
      <c r="AB223" s="123"/>
      <c r="AC223" s="123"/>
      <c r="AD223" s="125"/>
      <c r="AE223" s="123"/>
      <c r="AF223" s="123"/>
      <c r="AG223" s="123"/>
      <c r="AH223" s="123"/>
      <c r="AI223" s="123"/>
      <c r="AJ223" s="123"/>
      <c r="AK223" s="123"/>
    </row>
    <row r="224" spans="1:37" ht="14.25" customHeight="1" x14ac:dyDescent="0.2">
      <c r="A224" s="123"/>
      <c r="C224" s="123"/>
      <c r="AB224" s="123"/>
      <c r="AC224" s="123"/>
      <c r="AD224" s="125"/>
      <c r="AE224" s="123"/>
      <c r="AF224" s="123"/>
      <c r="AG224" s="123"/>
      <c r="AH224" s="123"/>
      <c r="AI224" s="123"/>
      <c r="AJ224" s="123"/>
      <c r="AK224" s="123"/>
    </row>
    <row r="225" spans="1:37" ht="14.25" customHeight="1" x14ac:dyDescent="0.2">
      <c r="A225" s="123"/>
      <c r="C225" s="123"/>
      <c r="AB225" s="123"/>
      <c r="AC225" s="123"/>
      <c r="AD225" s="125"/>
      <c r="AE225" s="123"/>
      <c r="AF225" s="123"/>
      <c r="AG225" s="123"/>
      <c r="AH225" s="123"/>
      <c r="AI225" s="123"/>
      <c r="AJ225" s="123"/>
      <c r="AK225" s="123"/>
    </row>
    <row r="226" spans="1:37" ht="14.25" customHeight="1" x14ac:dyDescent="0.2">
      <c r="A226" s="123"/>
      <c r="C226" s="123"/>
      <c r="AB226" s="123"/>
      <c r="AC226" s="123"/>
      <c r="AD226" s="125"/>
      <c r="AE226" s="123"/>
      <c r="AF226" s="123"/>
      <c r="AG226" s="123"/>
      <c r="AH226" s="123"/>
      <c r="AI226" s="123"/>
      <c r="AJ226" s="123"/>
      <c r="AK226" s="123"/>
    </row>
    <row r="227" spans="1:37" ht="14.25" customHeight="1" x14ac:dyDescent="0.2">
      <c r="A227" s="123"/>
      <c r="C227" s="123"/>
      <c r="AB227" s="123"/>
      <c r="AC227" s="123"/>
      <c r="AD227" s="125"/>
      <c r="AE227" s="123"/>
      <c r="AF227" s="123"/>
      <c r="AG227" s="123"/>
      <c r="AH227" s="123"/>
      <c r="AI227" s="123"/>
      <c r="AJ227" s="123"/>
      <c r="AK227" s="123"/>
    </row>
    <row r="228" spans="1:37" ht="14.25" customHeight="1" x14ac:dyDescent="0.2">
      <c r="A228" s="123"/>
      <c r="C228" s="123"/>
      <c r="AB228" s="123"/>
      <c r="AC228" s="123"/>
      <c r="AD228" s="125"/>
      <c r="AE228" s="123"/>
      <c r="AF228" s="123"/>
      <c r="AG228" s="123"/>
      <c r="AH228" s="123"/>
      <c r="AI228" s="123"/>
      <c r="AJ228" s="123"/>
      <c r="AK228" s="123"/>
    </row>
    <row r="229" spans="1:37" ht="14.25" customHeight="1" x14ac:dyDescent="0.2">
      <c r="A229" s="123"/>
      <c r="C229" s="123"/>
      <c r="AB229" s="123"/>
      <c r="AC229" s="123"/>
      <c r="AD229" s="125"/>
      <c r="AE229" s="123"/>
      <c r="AF229" s="123"/>
      <c r="AG229" s="123"/>
      <c r="AH229" s="123"/>
      <c r="AI229" s="123"/>
      <c r="AJ229" s="123"/>
      <c r="AK229" s="123"/>
    </row>
    <row r="230" spans="1:37" ht="14.25" customHeight="1" x14ac:dyDescent="0.2">
      <c r="A230" s="123"/>
      <c r="C230" s="123"/>
      <c r="AB230" s="123"/>
      <c r="AC230" s="123"/>
      <c r="AD230" s="125"/>
      <c r="AE230" s="123"/>
      <c r="AF230" s="123"/>
      <c r="AG230" s="123"/>
      <c r="AH230" s="123"/>
      <c r="AI230" s="123"/>
      <c r="AJ230" s="123"/>
      <c r="AK230" s="123"/>
    </row>
    <row r="231" spans="1:37" ht="14.25" customHeight="1" x14ac:dyDescent="0.2">
      <c r="A231" s="123"/>
      <c r="C231" s="123"/>
      <c r="AB231" s="123"/>
      <c r="AC231" s="123"/>
      <c r="AD231" s="125"/>
      <c r="AE231" s="123"/>
      <c r="AF231" s="123"/>
      <c r="AG231" s="123"/>
      <c r="AH231" s="123"/>
      <c r="AI231" s="123"/>
      <c r="AJ231" s="123"/>
      <c r="AK231" s="123"/>
    </row>
    <row r="232" spans="1:37" ht="14.25" customHeight="1" x14ac:dyDescent="0.2">
      <c r="A232" s="123"/>
      <c r="C232" s="123"/>
      <c r="AB232" s="123"/>
      <c r="AC232" s="123"/>
      <c r="AD232" s="125"/>
      <c r="AE232" s="123"/>
      <c r="AF232" s="123"/>
      <c r="AG232" s="123"/>
      <c r="AH232" s="123"/>
      <c r="AI232" s="123"/>
      <c r="AJ232" s="123"/>
      <c r="AK232" s="123"/>
    </row>
    <row r="233" spans="1:37" ht="14.25" customHeight="1" x14ac:dyDescent="0.2">
      <c r="A233" s="123"/>
      <c r="C233" s="123"/>
      <c r="AB233" s="123"/>
      <c r="AC233" s="123"/>
      <c r="AD233" s="125"/>
      <c r="AE233" s="123"/>
      <c r="AF233" s="123"/>
      <c r="AG233" s="123"/>
      <c r="AH233" s="123"/>
      <c r="AI233" s="123"/>
      <c r="AJ233" s="123"/>
      <c r="AK233" s="123"/>
    </row>
    <row r="234" spans="1:37" ht="14.25" customHeight="1" x14ac:dyDescent="0.2">
      <c r="A234" s="123"/>
      <c r="C234" s="123"/>
      <c r="AB234" s="123"/>
      <c r="AC234" s="123"/>
      <c r="AD234" s="125"/>
      <c r="AE234" s="123"/>
      <c r="AF234" s="123"/>
      <c r="AG234" s="123"/>
      <c r="AH234" s="123"/>
      <c r="AI234" s="123"/>
      <c r="AJ234" s="123"/>
      <c r="AK234" s="123"/>
    </row>
    <row r="235" spans="1:37" ht="14.25" customHeight="1" x14ac:dyDescent="0.2">
      <c r="A235" s="123"/>
      <c r="C235" s="123"/>
      <c r="AB235" s="123"/>
      <c r="AC235" s="123"/>
      <c r="AD235" s="125"/>
      <c r="AE235" s="123"/>
      <c r="AF235" s="123"/>
      <c r="AG235" s="123"/>
      <c r="AH235" s="123"/>
      <c r="AI235" s="123"/>
      <c r="AJ235" s="123"/>
      <c r="AK235" s="123"/>
    </row>
    <row r="236" spans="1:37" ht="14.25" customHeight="1" x14ac:dyDescent="0.2">
      <c r="A236" s="123"/>
      <c r="C236" s="123"/>
      <c r="AB236" s="123"/>
      <c r="AC236" s="123"/>
      <c r="AD236" s="125"/>
      <c r="AE236" s="123"/>
      <c r="AF236" s="123"/>
      <c r="AG236" s="123"/>
      <c r="AH236" s="123"/>
      <c r="AI236" s="123"/>
      <c r="AJ236" s="123"/>
      <c r="AK236" s="123"/>
    </row>
    <row r="237" spans="1:37" ht="14.25" customHeight="1" x14ac:dyDescent="0.2">
      <c r="A237" s="123"/>
      <c r="C237" s="123"/>
      <c r="AB237" s="123"/>
      <c r="AC237" s="123"/>
      <c r="AD237" s="125"/>
      <c r="AE237" s="123"/>
      <c r="AF237" s="123"/>
      <c r="AG237" s="123"/>
      <c r="AH237" s="123"/>
      <c r="AI237" s="123"/>
      <c r="AJ237" s="123"/>
      <c r="AK237" s="123"/>
    </row>
    <row r="238" spans="1:37" ht="14.25" customHeight="1" x14ac:dyDescent="0.2">
      <c r="A238" s="123"/>
      <c r="C238" s="123"/>
      <c r="AB238" s="123"/>
      <c r="AC238" s="123"/>
      <c r="AD238" s="125"/>
      <c r="AE238" s="123"/>
      <c r="AF238" s="123"/>
      <c r="AG238" s="123"/>
      <c r="AH238" s="123"/>
      <c r="AI238" s="123"/>
      <c r="AJ238" s="123"/>
      <c r="AK238" s="123"/>
    </row>
    <row r="239" spans="1:37" ht="14.25" customHeight="1" x14ac:dyDescent="0.2">
      <c r="A239" s="123"/>
      <c r="C239" s="123"/>
      <c r="AB239" s="123"/>
      <c r="AC239" s="123"/>
      <c r="AD239" s="125"/>
      <c r="AE239" s="123"/>
      <c r="AF239" s="123"/>
      <c r="AG239" s="123"/>
      <c r="AH239" s="123"/>
      <c r="AI239" s="123"/>
      <c r="AJ239" s="123"/>
      <c r="AK239" s="123"/>
    </row>
    <row r="240" spans="1:37" ht="14.25" customHeight="1" x14ac:dyDescent="0.2">
      <c r="A240" s="123"/>
      <c r="C240" s="123"/>
      <c r="AB240" s="123"/>
      <c r="AC240" s="123"/>
      <c r="AD240" s="125"/>
      <c r="AE240" s="123"/>
      <c r="AF240" s="123"/>
      <c r="AG240" s="123"/>
      <c r="AH240" s="123"/>
      <c r="AI240" s="123"/>
      <c r="AJ240" s="123"/>
      <c r="AK240" s="123"/>
    </row>
    <row r="241" spans="1:37" ht="14.25" customHeight="1" x14ac:dyDescent="0.2">
      <c r="A241" s="123"/>
      <c r="C241" s="123"/>
      <c r="AB241" s="123"/>
      <c r="AC241" s="123"/>
      <c r="AD241" s="125"/>
      <c r="AE241" s="123"/>
      <c r="AF241" s="123"/>
      <c r="AG241" s="123"/>
      <c r="AH241" s="123"/>
      <c r="AI241" s="123"/>
      <c r="AJ241" s="123"/>
      <c r="AK241" s="123"/>
    </row>
    <row r="242" spans="1:37" ht="14.25" customHeight="1" x14ac:dyDescent="0.2">
      <c r="A242" s="123"/>
      <c r="C242" s="123"/>
      <c r="AB242" s="123"/>
      <c r="AC242" s="123"/>
      <c r="AD242" s="125"/>
      <c r="AE242" s="123"/>
      <c r="AF242" s="123"/>
      <c r="AG242" s="123"/>
      <c r="AH242" s="123"/>
      <c r="AI242" s="123"/>
      <c r="AJ242" s="123"/>
      <c r="AK242" s="123"/>
    </row>
    <row r="243" spans="1:37" ht="14.25" customHeight="1" x14ac:dyDescent="0.2">
      <c r="A243" s="123"/>
      <c r="C243" s="123"/>
      <c r="AB243" s="123"/>
      <c r="AC243" s="123"/>
      <c r="AD243" s="125"/>
      <c r="AE243" s="123"/>
      <c r="AF243" s="123"/>
      <c r="AG243" s="123"/>
      <c r="AH243" s="123"/>
      <c r="AI243" s="123"/>
      <c r="AJ243" s="123"/>
      <c r="AK243" s="123"/>
    </row>
    <row r="244" spans="1:37" ht="14.25" customHeight="1" x14ac:dyDescent="0.2">
      <c r="A244" s="123"/>
      <c r="C244" s="123"/>
      <c r="AB244" s="123"/>
      <c r="AC244" s="123"/>
      <c r="AD244" s="125"/>
      <c r="AE244" s="123"/>
      <c r="AF244" s="123"/>
      <c r="AG244" s="123"/>
      <c r="AH244" s="123"/>
      <c r="AI244" s="123"/>
      <c r="AJ244" s="123"/>
      <c r="AK244" s="123"/>
    </row>
    <row r="245" spans="1:37" ht="14.25" customHeight="1" x14ac:dyDescent="0.2">
      <c r="A245" s="123"/>
      <c r="C245" s="123"/>
      <c r="AB245" s="123"/>
      <c r="AC245" s="123"/>
      <c r="AD245" s="125"/>
      <c r="AE245" s="123"/>
      <c r="AF245" s="123"/>
      <c r="AG245" s="123"/>
      <c r="AH245" s="123"/>
      <c r="AI245" s="123"/>
      <c r="AJ245" s="123"/>
      <c r="AK245" s="123"/>
    </row>
    <row r="246" spans="1:37" ht="14.25" customHeight="1" x14ac:dyDescent="0.2">
      <c r="A246" s="123"/>
      <c r="C246" s="123"/>
      <c r="AB246" s="123"/>
      <c r="AC246" s="123"/>
      <c r="AD246" s="125"/>
      <c r="AE246" s="123"/>
      <c r="AF246" s="123"/>
      <c r="AG246" s="123"/>
      <c r="AH246" s="123"/>
      <c r="AI246" s="123"/>
      <c r="AJ246" s="123"/>
      <c r="AK246" s="123"/>
    </row>
    <row r="247" spans="1:37" ht="14.25" customHeight="1" x14ac:dyDescent="0.2">
      <c r="A247" s="123"/>
      <c r="C247" s="123"/>
      <c r="AB247" s="123"/>
      <c r="AC247" s="123"/>
      <c r="AD247" s="125"/>
      <c r="AE247" s="123"/>
      <c r="AF247" s="123"/>
      <c r="AG247" s="123"/>
      <c r="AH247" s="123"/>
      <c r="AI247" s="123"/>
      <c r="AJ247" s="123"/>
      <c r="AK247" s="123"/>
    </row>
    <row r="248" spans="1:37" ht="14.25" customHeight="1" x14ac:dyDescent="0.2">
      <c r="A248" s="123"/>
      <c r="C248" s="123"/>
      <c r="AB248" s="123"/>
      <c r="AC248" s="123"/>
      <c r="AD248" s="125"/>
      <c r="AE248" s="123"/>
      <c r="AF248" s="123"/>
      <c r="AG248" s="123"/>
      <c r="AH248" s="123"/>
      <c r="AI248" s="123"/>
      <c r="AJ248" s="123"/>
      <c r="AK248" s="123"/>
    </row>
    <row r="249" spans="1:37" ht="14.25" customHeight="1" x14ac:dyDescent="0.2">
      <c r="A249" s="123"/>
      <c r="C249" s="123"/>
      <c r="AB249" s="123"/>
      <c r="AC249" s="123"/>
      <c r="AD249" s="125"/>
      <c r="AE249" s="123"/>
      <c r="AF249" s="123"/>
      <c r="AG249" s="123"/>
      <c r="AH249" s="123"/>
      <c r="AI249" s="123"/>
      <c r="AJ249" s="123"/>
      <c r="AK249" s="123"/>
    </row>
    <row r="250" spans="1:37" ht="14.25" customHeight="1" x14ac:dyDescent="0.2">
      <c r="A250" s="123"/>
      <c r="C250" s="123"/>
      <c r="AB250" s="123"/>
      <c r="AC250" s="123"/>
      <c r="AD250" s="125"/>
      <c r="AE250" s="123"/>
      <c r="AF250" s="123"/>
      <c r="AG250" s="123"/>
      <c r="AH250" s="123"/>
      <c r="AI250" s="123"/>
      <c r="AJ250" s="123"/>
      <c r="AK250" s="123"/>
    </row>
    <row r="251" spans="1:37" ht="14.25" customHeight="1" x14ac:dyDescent="0.2">
      <c r="A251" s="123"/>
      <c r="C251" s="123"/>
      <c r="AB251" s="123"/>
      <c r="AC251" s="123"/>
      <c r="AD251" s="125"/>
      <c r="AE251" s="123"/>
      <c r="AF251" s="123"/>
      <c r="AG251" s="123"/>
      <c r="AH251" s="123"/>
      <c r="AI251" s="123"/>
      <c r="AJ251" s="123"/>
      <c r="AK251" s="123"/>
    </row>
    <row r="252" spans="1:37" ht="14.25" customHeight="1" x14ac:dyDescent="0.2">
      <c r="A252" s="123"/>
      <c r="C252" s="123"/>
      <c r="AB252" s="123"/>
      <c r="AC252" s="123"/>
      <c r="AD252" s="125"/>
      <c r="AE252" s="123"/>
      <c r="AF252" s="123"/>
      <c r="AG252" s="123"/>
      <c r="AH252" s="123"/>
      <c r="AI252" s="123"/>
      <c r="AJ252" s="123"/>
      <c r="AK252" s="123"/>
    </row>
    <row r="253" spans="1:37" ht="14.25" customHeight="1" x14ac:dyDescent="0.2">
      <c r="A253" s="123"/>
      <c r="C253" s="123"/>
      <c r="AB253" s="123"/>
      <c r="AC253" s="123"/>
      <c r="AD253" s="125"/>
      <c r="AE253" s="123"/>
      <c r="AF253" s="123"/>
      <c r="AG253" s="123"/>
      <c r="AH253" s="123"/>
      <c r="AI253" s="123"/>
      <c r="AJ253" s="123"/>
      <c r="AK253" s="123"/>
    </row>
    <row r="254" spans="1:37" ht="14.25" customHeight="1" x14ac:dyDescent="0.2">
      <c r="A254" s="123"/>
      <c r="C254" s="123"/>
      <c r="AB254" s="123"/>
      <c r="AC254" s="123"/>
      <c r="AD254" s="125"/>
      <c r="AE254" s="123"/>
      <c r="AF254" s="123"/>
      <c r="AG254" s="123"/>
      <c r="AH254" s="123"/>
      <c r="AI254" s="123"/>
      <c r="AJ254" s="123"/>
      <c r="AK254" s="123"/>
    </row>
    <row r="255" spans="1:37" ht="14.25" customHeight="1" x14ac:dyDescent="0.2">
      <c r="A255" s="123"/>
      <c r="C255" s="123"/>
      <c r="AB255" s="123"/>
      <c r="AC255" s="123"/>
      <c r="AD255" s="125"/>
      <c r="AE255" s="123"/>
      <c r="AF255" s="123"/>
      <c r="AG255" s="123"/>
      <c r="AH255" s="123"/>
      <c r="AI255" s="123"/>
      <c r="AJ255" s="123"/>
      <c r="AK255" s="123"/>
    </row>
    <row r="256" spans="1:37" ht="14.25" customHeight="1" x14ac:dyDescent="0.2">
      <c r="A256" s="123"/>
      <c r="C256" s="123"/>
      <c r="AB256" s="123"/>
      <c r="AC256" s="123"/>
      <c r="AD256" s="125"/>
      <c r="AE256" s="123"/>
      <c r="AF256" s="123"/>
      <c r="AG256" s="123"/>
      <c r="AH256" s="123"/>
      <c r="AI256" s="123"/>
      <c r="AJ256" s="123"/>
      <c r="AK256" s="123"/>
    </row>
    <row r="257" spans="1:37" ht="14.25" customHeight="1" x14ac:dyDescent="0.2">
      <c r="A257" s="123"/>
      <c r="C257" s="123"/>
      <c r="AB257" s="123"/>
      <c r="AC257" s="123"/>
      <c r="AD257" s="125"/>
      <c r="AE257" s="123"/>
      <c r="AF257" s="123"/>
      <c r="AG257" s="123"/>
      <c r="AH257" s="123"/>
      <c r="AI257" s="123"/>
      <c r="AJ257" s="123"/>
      <c r="AK257" s="123"/>
    </row>
    <row r="258" spans="1:37" ht="14.25" customHeight="1" x14ac:dyDescent="0.2">
      <c r="A258" s="123"/>
      <c r="C258" s="123"/>
      <c r="AB258" s="123"/>
      <c r="AC258" s="123"/>
      <c r="AD258" s="125"/>
      <c r="AE258" s="123"/>
      <c r="AF258" s="123"/>
      <c r="AG258" s="123"/>
      <c r="AH258" s="123"/>
      <c r="AI258" s="123"/>
      <c r="AJ258" s="123"/>
      <c r="AK258" s="123"/>
    </row>
    <row r="259" spans="1:37" ht="14.25" customHeight="1" x14ac:dyDescent="0.2">
      <c r="A259" s="123"/>
      <c r="C259" s="123"/>
      <c r="AB259" s="123"/>
      <c r="AC259" s="123"/>
      <c r="AD259" s="125"/>
      <c r="AE259" s="123"/>
      <c r="AF259" s="123"/>
      <c r="AG259" s="123"/>
      <c r="AH259" s="123"/>
      <c r="AI259" s="123"/>
      <c r="AJ259" s="123"/>
      <c r="AK259" s="123"/>
    </row>
    <row r="260" spans="1:37" ht="14.25" customHeight="1" x14ac:dyDescent="0.2">
      <c r="A260" s="123"/>
      <c r="C260" s="123"/>
      <c r="AB260" s="123"/>
      <c r="AC260" s="123"/>
      <c r="AD260" s="125"/>
      <c r="AE260" s="123"/>
      <c r="AF260" s="123"/>
      <c r="AG260" s="123"/>
      <c r="AH260" s="123"/>
      <c r="AI260" s="123"/>
      <c r="AJ260" s="123"/>
      <c r="AK260" s="123"/>
    </row>
    <row r="261" spans="1:37" ht="14.25" customHeight="1" x14ac:dyDescent="0.2">
      <c r="A261" s="123"/>
      <c r="C261" s="123"/>
      <c r="AB261" s="123"/>
      <c r="AC261" s="123"/>
      <c r="AD261" s="125"/>
      <c r="AE261" s="123"/>
      <c r="AF261" s="123"/>
      <c r="AG261" s="123"/>
      <c r="AH261" s="123"/>
      <c r="AI261" s="123"/>
      <c r="AJ261" s="123"/>
      <c r="AK261" s="123"/>
    </row>
    <row r="262" spans="1:37" ht="14.25" customHeight="1" x14ac:dyDescent="0.2">
      <c r="A262" s="123"/>
      <c r="C262" s="123"/>
      <c r="AB262" s="123"/>
      <c r="AC262" s="123"/>
      <c r="AD262" s="125"/>
      <c r="AE262" s="123"/>
      <c r="AF262" s="123"/>
      <c r="AG262" s="123"/>
      <c r="AH262" s="123"/>
      <c r="AI262" s="123"/>
      <c r="AJ262" s="123"/>
      <c r="AK262" s="123"/>
    </row>
    <row r="263" spans="1:37" ht="14.25" customHeight="1" x14ac:dyDescent="0.2">
      <c r="A263" s="123"/>
      <c r="C263" s="123"/>
      <c r="AB263" s="123"/>
      <c r="AC263" s="123"/>
      <c r="AD263" s="125"/>
      <c r="AE263" s="123"/>
      <c r="AF263" s="123"/>
      <c r="AG263" s="123"/>
      <c r="AH263" s="123"/>
      <c r="AI263" s="123"/>
      <c r="AJ263" s="123"/>
      <c r="AK263" s="123"/>
    </row>
    <row r="264" spans="1:37" ht="14.25" customHeight="1" x14ac:dyDescent="0.2">
      <c r="A264" s="123"/>
      <c r="C264" s="123"/>
      <c r="AB264" s="123"/>
      <c r="AC264" s="123"/>
      <c r="AD264" s="125"/>
      <c r="AE264" s="123"/>
      <c r="AF264" s="123"/>
      <c r="AG264" s="123"/>
      <c r="AH264" s="123"/>
      <c r="AI264" s="123"/>
      <c r="AJ264" s="123"/>
      <c r="AK264" s="123"/>
    </row>
    <row r="265" spans="1:37" ht="14.25" customHeight="1" x14ac:dyDescent="0.2">
      <c r="A265" s="123"/>
      <c r="C265" s="123"/>
      <c r="AB265" s="123"/>
      <c r="AC265" s="123"/>
      <c r="AD265" s="125"/>
      <c r="AE265" s="123"/>
      <c r="AF265" s="123"/>
      <c r="AG265" s="123"/>
      <c r="AH265" s="123"/>
      <c r="AI265" s="123"/>
      <c r="AJ265" s="123"/>
      <c r="AK265" s="123"/>
    </row>
    <row r="266" spans="1:37" ht="14.25" customHeight="1" x14ac:dyDescent="0.2">
      <c r="A266" s="123"/>
      <c r="C266" s="123"/>
      <c r="AB266" s="123"/>
      <c r="AC266" s="123"/>
      <c r="AD266" s="125"/>
      <c r="AE266" s="123"/>
      <c r="AF266" s="123"/>
      <c r="AG266" s="123"/>
      <c r="AH266" s="123"/>
      <c r="AI266" s="123"/>
      <c r="AJ266" s="123"/>
      <c r="AK266" s="123"/>
    </row>
    <row r="267" spans="1:37" ht="14.25" customHeight="1" x14ac:dyDescent="0.2">
      <c r="A267" s="123"/>
      <c r="C267" s="123"/>
      <c r="AB267" s="123"/>
      <c r="AC267" s="123"/>
      <c r="AD267" s="125"/>
      <c r="AE267" s="123"/>
      <c r="AF267" s="123"/>
      <c r="AG267" s="123"/>
      <c r="AH267" s="123"/>
      <c r="AI267" s="123"/>
      <c r="AJ267" s="123"/>
      <c r="AK267" s="123"/>
    </row>
    <row r="268" spans="1:37" ht="14.25" customHeight="1" x14ac:dyDescent="0.2">
      <c r="A268" s="123"/>
      <c r="C268" s="123"/>
      <c r="AB268" s="123"/>
      <c r="AC268" s="123"/>
      <c r="AD268" s="125"/>
      <c r="AE268" s="123"/>
      <c r="AF268" s="123"/>
      <c r="AG268" s="123"/>
      <c r="AH268" s="123"/>
      <c r="AI268" s="123"/>
      <c r="AJ268" s="123"/>
      <c r="AK268" s="123"/>
    </row>
    <row r="269" spans="1:37" ht="14.25" customHeight="1" x14ac:dyDescent="0.2">
      <c r="A269" s="123"/>
      <c r="C269" s="123"/>
      <c r="AB269" s="123"/>
      <c r="AC269" s="123"/>
      <c r="AD269" s="125"/>
      <c r="AE269" s="123"/>
      <c r="AF269" s="123"/>
      <c r="AG269" s="123"/>
      <c r="AH269" s="123"/>
      <c r="AI269" s="123"/>
      <c r="AJ269" s="123"/>
      <c r="AK269" s="123"/>
    </row>
    <row r="270" spans="1:37" ht="14.25" customHeight="1" x14ac:dyDescent="0.2">
      <c r="A270" s="123"/>
      <c r="C270" s="123"/>
      <c r="AB270" s="123"/>
      <c r="AC270" s="123"/>
      <c r="AD270" s="125"/>
      <c r="AE270" s="123"/>
      <c r="AF270" s="123"/>
      <c r="AG270" s="123"/>
      <c r="AH270" s="123"/>
      <c r="AI270" s="123"/>
      <c r="AJ270" s="123"/>
      <c r="AK270" s="123"/>
    </row>
    <row r="271" spans="1:37" ht="14.25" customHeight="1" x14ac:dyDescent="0.2">
      <c r="A271" s="123"/>
      <c r="C271" s="123"/>
      <c r="AB271" s="123"/>
      <c r="AC271" s="123"/>
      <c r="AD271" s="125"/>
      <c r="AE271" s="123"/>
      <c r="AF271" s="123"/>
      <c r="AG271" s="123"/>
      <c r="AH271" s="123"/>
      <c r="AI271" s="123"/>
      <c r="AJ271" s="123"/>
      <c r="AK271" s="123"/>
    </row>
    <row r="272" spans="1:37" ht="14.25" customHeight="1" x14ac:dyDescent="0.2">
      <c r="A272" s="123"/>
      <c r="C272" s="123"/>
      <c r="AB272" s="123"/>
      <c r="AC272" s="123"/>
      <c r="AD272" s="125"/>
      <c r="AE272" s="123"/>
      <c r="AF272" s="123"/>
      <c r="AG272" s="123"/>
      <c r="AH272" s="123"/>
      <c r="AI272" s="123"/>
      <c r="AJ272" s="123"/>
      <c r="AK272" s="123"/>
    </row>
    <row r="273" spans="1:37" ht="14.25" customHeight="1" x14ac:dyDescent="0.2">
      <c r="A273" s="123"/>
      <c r="C273" s="123"/>
      <c r="AB273" s="123"/>
      <c r="AC273" s="123"/>
      <c r="AD273" s="125"/>
      <c r="AE273" s="123"/>
      <c r="AF273" s="123"/>
      <c r="AG273" s="123"/>
      <c r="AH273" s="123"/>
      <c r="AI273" s="123"/>
      <c r="AJ273" s="123"/>
      <c r="AK273" s="123"/>
    </row>
    <row r="274" spans="1:37" ht="14.25" customHeight="1" x14ac:dyDescent="0.2">
      <c r="A274" s="123"/>
      <c r="C274" s="123"/>
      <c r="AB274" s="123"/>
      <c r="AC274" s="123"/>
      <c r="AD274" s="125"/>
      <c r="AE274" s="123"/>
      <c r="AF274" s="123"/>
      <c r="AG274" s="123"/>
      <c r="AH274" s="123"/>
      <c r="AI274" s="123"/>
      <c r="AJ274" s="123"/>
      <c r="AK274" s="123"/>
    </row>
    <row r="275" spans="1:37" ht="14.25" customHeight="1" x14ac:dyDescent="0.2">
      <c r="A275" s="123"/>
      <c r="C275" s="123"/>
      <c r="AB275" s="123"/>
      <c r="AC275" s="123"/>
      <c r="AD275" s="125"/>
      <c r="AE275" s="123"/>
      <c r="AF275" s="123"/>
      <c r="AG275" s="123"/>
      <c r="AH275" s="123"/>
      <c r="AI275" s="123"/>
      <c r="AJ275" s="123"/>
      <c r="AK275" s="123"/>
    </row>
    <row r="276" spans="1:37" ht="14.25" customHeight="1" x14ac:dyDescent="0.2">
      <c r="A276" s="123"/>
      <c r="C276" s="123"/>
      <c r="AB276" s="123"/>
      <c r="AC276" s="123"/>
      <c r="AD276" s="125"/>
      <c r="AE276" s="123"/>
      <c r="AF276" s="123"/>
      <c r="AG276" s="123"/>
      <c r="AH276" s="123"/>
      <c r="AI276" s="123"/>
      <c r="AJ276" s="123"/>
      <c r="AK276" s="123"/>
    </row>
    <row r="277" spans="1:37" ht="14.25" customHeight="1" x14ac:dyDescent="0.2">
      <c r="A277" s="123"/>
      <c r="C277" s="123"/>
      <c r="AB277" s="123"/>
      <c r="AC277" s="123"/>
      <c r="AD277" s="125"/>
      <c r="AE277" s="123"/>
      <c r="AF277" s="123"/>
      <c r="AG277" s="123"/>
      <c r="AH277" s="123"/>
      <c r="AI277" s="123"/>
      <c r="AJ277" s="123"/>
      <c r="AK277" s="123"/>
    </row>
    <row r="278" spans="1:37" ht="14.25" customHeight="1" x14ac:dyDescent="0.2">
      <c r="A278" s="123"/>
      <c r="C278" s="123"/>
      <c r="AB278" s="123"/>
      <c r="AC278" s="123"/>
      <c r="AD278" s="125"/>
      <c r="AE278" s="123"/>
      <c r="AF278" s="123"/>
      <c r="AG278" s="123"/>
      <c r="AH278" s="123"/>
      <c r="AI278" s="123"/>
      <c r="AJ278" s="123"/>
      <c r="AK278" s="123"/>
    </row>
    <row r="279" spans="1:37" ht="14.25" customHeight="1" x14ac:dyDescent="0.2">
      <c r="A279" s="123"/>
      <c r="C279" s="123"/>
      <c r="AB279" s="123"/>
      <c r="AC279" s="123"/>
      <c r="AD279" s="125"/>
      <c r="AE279" s="123"/>
      <c r="AF279" s="123"/>
      <c r="AG279" s="123"/>
      <c r="AH279" s="123"/>
      <c r="AI279" s="123"/>
      <c r="AJ279" s="123"/>
      <c r="AK279" s="123"/>
    </row>
    <row r="280" spans="1:37" ht="14.25" customHeight="1" x14ac:dyDescent="0.2">
      <c r="A280" s="123"/>
      <c r="C280" s="123"/>
      <c r="AB280" s="123"/>
      <c r="AC280" s="123"/>
      <c r="AD280" s="125"/>
      <c r="AE280" s="123"/>
      <c r="AF280" s="123"/>
      <c r="AG280" s="123"/>
      <c r="AH280" s="123"/>
      <c r="AI280" s="123"/>
      <c r="AJ280" s="123"/>
      <c r="AK280" s="123"/>
    </row>
    <row r="281" spans="1:37" ht="14.25" customHeight="1" x14ac:dyDescent="0.2">
      <c r="A281" s="123"/>
      <c r="C281" s="123"/>
      <c r="AB281" s="123"/>
      <c r="AC281" s="123"/>
      <c r="AD281" s="125"/>
      <c r="AE281" s="123"/>
      <c r="AF281" s="123"/>
      <c r="AG281" s="123"/>
      <c r="AH281" s="123"/>
      <c r="AI281" s="123"/>
      <c r="AJ281" s="123"/>
      <c r="AK281" s="123"/>
    </row>
    <row r="282" spans="1:37" ht="14.25" customHeight="1" x14ac:dyDescent="0.2">
      <c r="A282" s="123"/>
      <c r="C282" s="123"/>
      <c r="AB282" s="123"/>
      <c r="AC282" s="123"/>
      <c r="AD282" s="125"/>
      <c r="AE282" s="123"/>
      <c r="AF282" s="123"/>
      <c r="AG282" s="123"/>
      <c r="AH282" s="123"/>
      <c r="AI282" s="123"/>
      <c r="AJ282" s="123"/>
      <c r="AK282" s="123"/>
    </row>
    <row r="283" spans="1:37" ht="14.25" customHeight="1" x14ac:dyDescent="0.2">
      <c r="A283" s="123"/>
      <c r="C283" s="123"/>
      <c r="AB283" s="123"/>
      <c r="AC283" s="123"/>
      <c r="AD283" s="125"/>
      <c r="AE283" s="123"/>
      <c r="AF283" s="123"/>
      <c r="AG283" s="123"/>
      <c r="AH283" s="123"/>
      <c r="AI283" s="123"/>
      <c r="AJ283" s="123"/>
      <c r="AK283" s="123"/>
    </row>
    <row r="284" spans="1:37" ht="14.25" customHeight="1" x14ac:dyDescent="0.2">
      <c r="A284" s="123"/>
      <c r="C284" s="123"/>
      <c r="AB284" s="123"/>
      <c r="AC284" s="123"/>
      <c r="AD284" s="125"/>
      <c r="AE284" s="123"/>
      <c r="AF284" s="123"/>
      <c r="AG284" s="123"/>
      <c r="AH284" s="123"/>
      <c r="AI284" s="123"/>
      <c r="AJ284" s="123"/>
      <c r="AK284" s="123"/>
    </row>
    <row r="285" spans="1:37" ht="14.25" customHeight="1" x14ac:dyDescent="0.2">
      <c r="A285" s="123"/>
      <c r="C285" s="123"/>
      <c r="AB285" s="123"/>
      <c r="AC285" s="123"/>
      <c r="AD285" s="125"/>
      <c r="AE285" s="123"/>
      <c r="AF285" s="123"/>
      <c r="AG285" s="123"/>
      <c r="AH285" s="123"/>
      <c r="AI285" s="123"/>
      <c r="AJ285" s="123"/>
      <c r="AK285" s="123"/>
    </row>
    <row r="286" spans="1:37" ht="14.25" customHeight="1" x14ac:dyDescent="0.2">
      <c r="A286" s="123"/>
      <c r="C286" s="123"/>
      <c r="AB286" s="123"/>
      <c r="AC286" s="123"/>
      <c r="AD286" s="125"/>
      <c r="AE286" s="123"/>
      <c r="AF286" s="123"/>
      <c r="AG286" s="123"/>
      <c r="AH286" s="123"/>
      <c r="AI286" s="123"/>
      <c r="AJ286" s="123"/>
      <c r="AK286" s="123"/>
    </row>
    <row r="287" spans="1:37" ht="14.25" customHeight="1" x14ac:dyDescent="0.2">
      <c r="A287" s="123"/>
      <c r="C287" s="123"/>
      <c r="AB287" s="123"/>
      <c r="AC287" s="123"/>
      <c r="AD287" s="125"/>
      <c r="AE287" s="123"/>
      <c r="AF287" s="123"/>
      <c r="AG287" s="123"/>
      <c r="AH287" s="123"/>
      <c r="AI287" s="123"/>
      <c r="AJ287" s="123"/>
      <c r="AK287" s="123"/>
    </row>
    <row r="288" spans="1:37" ht="14.25" customHeight="1" x14ac:dyDescent="0.2">
      <c r="A288" s="123"/>
      <c r="C288" s="123"/>
      <c r="AB288" s="123"/>
      <c r="AC288" s="123"/>
      <c r="AD288" s="125"/>
      <c r="AE288" s="123"/>
      <c r="AF288" s="123"/>
      <c r="AG288" s="123"/>
      <c r="AH288" s="123"/>
      <c r="AI288" s="123"/>
      <c r="AJ288" s="123"/>
      <c r="AK288" s="123"/>
    </row>
    <row r="289" spans="1:37" ht="14.25" customHeight="1" x14ac:dyDescent="0.2">
      <c r="A289" s="123"/>
      <c r="C289" s="123"/>
      <c r="AB289" s="123"/>
      <c r="AC289" s="123"/>
      <c r="AD289" s="125"/>
      <c r="AE289" s="123"/>
      <c r="AF289" s="123"/>
      <c r="AG289" s="123"/>
      <c r="AH289" s="123"/>
      <c r="AI289" s="123"/>
      <c r="AJ289" s="123"/>
      <c r="AK289" s="123"/>
    </row>
    <row r="290" spans="1:37" ht="14.25" customHeight="1" x14ac:dyDescent="0.2">
      <c r="A290" s="123"/>
      <c r="C290" s="123"/>
      <c r="AB290" s="123"/>
      <c r="AC290" s="123"/>
      <c r="AD290" s="125"/>
      <c r="AE290" s="123"/>
      <c r="AF290" s="123"/>
      <c r="AG290" s="123"/>
      <c r="AH290" s="123"/>
      <c r="AI290" s="123"/>
      <c r="AJ290" s="123"/>
      <c r="AK290" s="123"/>
    </row>
    <row r="291" spans="1:37" ht="14.25" customHeight="1" x14ac:dyDescent="0.2">
      <c r="A291" s="123"/>
      <c r="C291" s="123"/>
      <c r="AB291" s="123"/>
      <c r="AC291" s="123"/>
      <c r="AD291" s="125"/>
      <c r="AE291" s="123"/>
      <c r="AF291" s="123"/>
      <c r="AG291" s="123"/>
      <c r="AH291" s="123"/>
      <c r="AI291" s="123"/>
      <c r="AJ291" s="123"/>
      <c r="AK291" s="123"/>
    </row>
    <row r="292" spans="1:37" ht="14.25" customHeight="1" x14ac:dyDescent="0.2">
      <c r="A292" s="123"/>
      <c r="C292" s="123"/>
      <c r="AB292" s="123"/>
      <c r="AC292" s="123"/>
      <c r="AD292" s="125"/>
      <c r="AE292" s="123"/>
      <c r="AF292" s="123"/>
      <c r="AG292" s="123"/>
      <c r="AH292" s="123"/>
      <c r="AI292" s="123"/>
      <c r="AJ292" s="123"/>
      <c r="AK292" s="123"/>
    </row>
    <row r="293" spans="1:37" ht="14.25" customHeight="1" x14ac:dyDescent="0.2">
      <c r="A293" s="123"/>
      <c r="C293" s="123"/>
      <c r="AB293" s="123"/>
      <c r="AC293" s="123"/>
      <c r="AD293" s="125"/>
      <c r="AE293" s="123"/>
      <c r="AF293" s="123"/>
      <c r="AG293" s="123"/>
      <c r="AH293" s="123"/>
      <c r="AI293" s="123"/>
      <c r="AJ293" s="123"/>
      <c r="AK293" s="123"/>
    </row>
    <row r="294" spans="1:37" ht="14.25" customHeight="1" x14ac:dyDescent="0.2">
      <c r="A294" s="123"/>
      <c r="C294" s="123"/>
      <c r="AB294" s="123"/>
      <c r="AC294" s="123"/>
      <c r="AD294" s="125"/>
      <c r="AE294" s="123"/>
      <c r="AF294" s="123"/>
      <c r="AG294" s="123"/>
      <c r="AH294" s="123"/>
      <c r="AI294" s="123"/>
      <c r="AJ294" s="123"/>
      <c r="AK294" s="123"/>
    </row>
    <row r="295" spans="1:37" ht="14.25" customHeight="1" x14ac:dyDescent="0.2">
      <c r="A295" s="123"/>
      <c r="C295" s="123"/>
      <c r="AB295" s="123"/>
      <c r="AC295" s="123"/>
      <c r="AD295" s="125"/>
      <c r="AE295" s="123"/>
      <c r="AF295" s="123"/>
      <c r="AG295" s="123"/>
      <c r="AH295" s="123"/>
      <c r="AI295" s="123"/>
      <c r="AJ295" s="123"/>
      <c r="AK295" s="123"/>
    </row>
    <row r="296" spans="1:37" ht="14.25" customHeight="1" x14ac:dyDescent="0.2">
      <c r="A296" s="123"/>
      <c r="C296" s="123"/>
      <c r="AB296" s="123"/>
      <c r="AC296" s="123"/>
      <c r="AD296" s="125"/>
      <c r="AE296" s="123"/>
      <c r="AF296" s="123"/>
      <c r="AG296" s="123"/>
      <c r="AH296" s="123"/>
      <c r="AI296" s="123"/>
      <c r="AJ296" s="123"/>
      <c r="AK296" s="123"/>
    </row>
    <row r="297" spans="1:37" ht="14.25" customHeight="1" x14ac:dyDescent="0.2">
      <c r="A297" s="123"/>
      <c r="C297" s="123"/>
      <c r="AB297" s="123"/>
      <c r="AC297" s="123"/>
      <c r="AD297" s="125"/>
      <c r="AE297" s="123"/>
      <c r="AF297" s="123"/>
      <c r="AG297" s="123"/>
      <c r="AH297" s="123"/>
      <c r="AI297" s="123"/>
      <c r="AJ297" s="123"/>
      <c r="AK297" s="123"/>
    </row>
    <row r="298" spans="1:37" ht="14.25" customHeight="1" x14ac:dyDescent="0.2">
      <c r="A298" s="123"/>
      <c r="C298" s="123"/>
      <c r="AB298" s="123"/>
      <c r="AC298" s="123"/>
      <c r="AD298" s="125"/>
      <c r="AE298" s="123"/>
      <c r="AF298" s="123"/>
      <c r="AG298" s="123"/>
      <c r="AH298" s="123"/>
      <c r="AI298" s="123"/>
      <c r="AJ298" s="123"/>
      <c r="AK298" s="123"/>
    </row>
    <row r="299" spans="1:37" ht="14.25" customHeight="1" x14ac:dyDescent="0.2">
      <c r="A299" s="123"/>
      <c r="C299" s="123"/>
      <c r="AB299" s="123"/>
      <c r="AC299" s="123"/>
      <c r="AD299" s="125"/>
      <c r="AE299" s="123"/>
      <c r="AF299" s="123"/>
      <c r="AG299" s="123"/>
      <c r="AH299" s="123"/>
      <c r="AI299" s="123"/>
      <c r="AJ299" s="123"/>
      <c r="AK299" s="123"/>
    </row>
    <row r="300" spans="1:37" ht="14.25" customHeight="1" x14ac:dyDescent="0.2">
      <c r="A300" s="123"/>
      <c r="C300" s="123"/>
      <c r="AB300" s="123"/>
      <c r="AC300" s="123"/>
      <c r="AD300" s="125"/>
      <c r="AE300" s="123"/>
      <c r="AF300" s="123"/>
      <c r="AG300" s="123"/>
      <c r="AH300" s="123"/>
      <c r="AI300" s="123"/>
      <c r="AJ300" s="123"/>
      <c r="AK300" s="123"/>
    </row>
    <row r="301" spans="1:37" ht="14.25" customHeight="1" x14ac:dyDescent="0.2">
      <c r="A301" s="123"/>
      <c r="C301" s="123"/>
      <c r="AB301" s="123"/>
      <c r="AC301" s="123"/>
      <c r="AD301" s="125"/>
      <c r="AE301" s="123"/>
      <c r="AF301" s="123"/>
      <c r="AG301" s="123"/>
      <c r="AH301" s="123"/>
      <c r="AI301" s="123"/>
      <c r="AJ301" s="123"/>
      <c r="AK301" s="123"/>
    </row>
    <row r="302" spans="1:37" ht="14.25" customHeight="1" x14ac:dyDescent="0.2">
      <c r="A302" s="123"/>
      <c r="C302" s="123"/>
      <c r="AB302" s="123"/>
      <c r="AC302" s="123"/>
      <c r="AD302" s="125"/>
      <c r="AE302" s="123"/>
      <c r="AF302" s="123"/>
      <c r="AG302" s="123"/>
      <c r="AH302" s="123"/>
      <c r="AI302" s="123"/>
      <c r="AJ302" s="123"/>
      <c r="AK302" s="123"/>
    </row>
    <row r="303" spans="1:37" ht="14.25" customHeight="1" x14ac:dyDescent="0.2">
      <c r="A303" s="123"/>
      <c r="C303" s="123"/>
      <c r="AB303" s="123"/>
      <c r="AC303" s="123"/>
      <c r="AD303" s="125"/>
      <c r="AE303" s="123"/>
      <c r="AF303" s="123"/>
      <c r="AG303" s="123"/>
      <c r="AH303" s="123"/>
      <c r="AI303" s="123"/>
      <c r="AJ303" s="123"/>
      <c r="AK303" s="123"/>
    </row>
    <row r="304" spans="1:37" ht="14.25" customHeight="1" x14ac:dyDescent="0.2">
      <c r="A304" s="123"/>
      <c r="C304" s="123"/>
      <c r="AB304" s="123"/>
      <c r="AC304" s="123"/>
      <c r="AD304" s="125"/>
      <c r="AE304" s="123"/>
      <c r="AF304" s="123"/>
      <c r="AG304" s="123"/>
      <c r="AH304" s="123"/>
      <c r="AI304" s="123"/>
      <c r="AJ304" s="123"/>
      <c r="AK304" s="123"/>
    </row>
    <row r="305" spans="1:37" ht="14.25" customHeight="1" x14ac:dyDescent="0.2">
      <c r="A305" s="123"/>
      <c r="C305" s="123"/>
      <c r="AB305" s="123"/>
      <c r="AC305" s="123"/>
      <c r="AD305" s="125"/>
      <c r="AE305" s="123"/>
      <c r="AF305" s="123"/>
      <c r="AG305" s="123"/>
      <c r="AH305" s="123"/>
      <c r="AI305" s="123"/>
      <c r="AJ305" s="123"/>
      <c r="AK305" s="123"/>
    </row>
    <row r="306" spans="1:37" ht="14.25" customHeight="1" x14ac:dyDescent="0.2">
      <c r="A306" s="123"/>
      <c r="C306" s="123"/>
      <c r="AB306" s="123"/>
      <c r="AC306" s="123"/>
      <c r="AD306" s="125"/>
      <c r="AE306" s="123"/>
      <c r="AF306" s="123"/>
      <c r="AG306" s="123"/>
      <c r="AH306" s="123"/>
      <c r="AI306" s="123"/>
      <c r="AJ306" s="123"/>
      <c r="AK306" s="123"/>
    </row>
    <row r="307" spans="1:37" ht="14.25" customHeight="1" x14ac:dyDescent="0.2">
      <c r="A307" s="123"/>
      <c r="C307" s="123"/>
      <c r="AB307" s="123"/>
      <c r="AC307" s="123"/>
      <c r="AD307" s="125"/>
      <c r="AE307" s="123"/>
      <c r="AF307" s="123"/>
      <c r="AG307" s="123"/>
      <c r="AH307" s="123"/>
      <c r="AI307" s="123"/>
      <c r="AJ307" s="123"/>
      <c r="AK307" s="123"/>
    </row>
    <row r="308" spans="1:37" ht="14.25" customHeight="1" x14ac:dyDescent="0.2">
      <c r="A308" s="123"/>
      <c r="C308" s="123"/>
      <c r="AB308" s="123"/>
      <c r="AC308" s="123"/>
      <c r="AD308" s="125"/>
      <c r="AE308" s="123"/>
      <c r="AF308" s="123"/>
      <c r="AG308" s="123"/>
      <c r="AH308" s="123"/>
      <c r="AI308" s="123"/>
      <c r="AJ308" s="123"/>
      <c r="AK308" s="123"/>
    </row>
    <row r="309" spans="1:37" ht="14.25" customHeight="1" x14ac:dyDescent="0.2">
      <c r="A309" s="123"/>
      <c r="C309" s="123"/>
      <c r="AB309" s="123"/>
      <c r="AC309" s="123"/>
      <c r="AD309" s="125"/>
      <c r="AE309" s="123"/>
      <c r="AF309" s="123"/>
      <c r="AG309" s="123"/>
      <c r="AH309" s="123"/>
      <c r="AI309" s="123"/>
      <c r="AJ309" s="123"/>
      <c r="AK309" s="123"/>
    </row>
    <row r="310" spans="1:37" ht="14.25" customHeight="1" x14ac:dyDescent="0.2">
      <c r="A310" s="123"/>
      <c r="C310" s="123"/>
      <c r="AB310" s="123"/>
      <c r="AC310" s="123"/>
      <c r="AD310" s="125"/>
      <c r="AE310" s="123"/>
      <c r="AF310" s="123"/>
      <c r="AG310" s="123"/>
      <c r="AH310" s="123"/>
      <c r="AI310" s="123"/>
      <c r="AJ310" s="123"/>
      <c r="AK310" s="123"/>
    </row>
    <row r="311" spans="1:37" ht="14.25" customHeight="1" x14ac:dyDescent="0.2">
      <c r="A311" s="123"/>
      <c r="C311" s="123"/>
      <c r="AB311" s="123"/>
      <c r="AC311" s="123"/>
      <c r="AD311" s="125"/>
      <c r="AE311" s="123"/>
      <c r="AF311" s="123"/>
      <c r="AG311" s="123"/>
      <c r="AH311" s="123"/>
      <c r="AI311" s="123"/>
      <c r="AJ311" s="123"/>
      <c r="AK311" s="123"/>
    </row>
    <row r="312" spans="1:37" ht="14.25" customHeight="1" x14ac:dyDescent="0.2">
      <c r="A312" s="123"/>
      <c r="C312" s="123"/>
      <c r="AB312" s="123"/>
      <c r="AC312" s="123"/>
      <c r="AD312" s="125"/>
      <c r="AE312" s="123"/>
      <c r="AF312" s="123"/>
      <c r="AG312" s="123"/>
      <c r="AH312" s="123"/>
      <c r="AI312" s="123"/>
      <c r="AJ312" s="123"/>
      <c r="AK312" s="123"/>
    </row>
    <row r="313" spans="1:37" ht="14.25" customHeight="1" x14ac:dyDescent="0.2">
      <c r="A313" s="123"/>
      <c r="C313" s="123"/>
      <c r="AB313" s="123"/>
      <c r="AC313" s="123"/>
      <c r="AD313" s="125"/>
      <c r="AE313" s="123"/>
      <c r="AF313" s="123"/>
      <c r="AG313" s="123"/>
      <c r="AH313" s="123"/>
      <c r="AI313" s="123"/>
      <c r="AJ313" s="123"/>
      <c r="AK313" s="123"/>
    </row>
    <row r="314" spans="1:37" ht="14.25" customHeight="1" x14ac:dyDescent="0.2">
      <c r="A314" s="123"/>
      <c r="C314" s="123"/>
      <c r="AB314" s="123"/>
      <c r="AC314" s="123"/>
      <c r="AD314" s="125"/>
      <c r="AE314" s="123"/>
      <c r="AF314" s="123"/>
      <c r="AG314" s="123"/>
      <c r="AH314" s="123"/>
      <c r="AI314" s="123"/>
      <c r="AJ314" s="123"/>
      <c r="AK314" s="123"/>
    </row>
    <row r="315" spans="1:37" ht="14.25" customHeight="1" x14ac:dyDescent="0.2">
      <c r="A315" s="123"/>
      <c r="C315" s="123"/>
      <c r="AB315" s="123"/>
      <c r="AC315" s="123"/>
      <c r="AD315" s="125"/>
      <c r="AE315" s="123"/>
      <c r="AF315" s="123"/>
      <c r="AG315" s="123"/>
      <c r="AH315" s="123"/>
      <c r="AI315" s="123"/>
      <c r="AJ315" s="123"/>
      <c r="AK315" s="123"/>
    </row>
    <row r="316" spans="1:37" ht="14.25" customHeight="1" x14ac:dyDescent="0.2">
      <c r="A316" s="123"/>
      <c r="C316" s="123"/>
      <c r="AB316" s="123"/>
      <c r="AC316" s="123"/>
      <c r="AD316" s="125"/>
      <c r="AE316" s="123"/>
      <c r="AF316" s="123"/>
      <c r="AG316" s="123"/>
      <c r="AH316" s="123"/>
      <c r="AI316" s="123"/>
      <c r="AJ316" s="123"/>
      <c r="AK316" s="123"/>
    </row>
    <row r="317" spans="1:37" ht="14.25" customHeight="1" x14ac:dyDescent="0.2">
      <c r="A317" s="123"/>
      <c r="C317" s="123"/>
      <c r="AB317" s="123"/>
      <c r="AC317" s="123"/>
      <c r="AD317" s="125"/>
      <c r="AE317" s="123"/>
      <c r="AF317" s="123"/>
      <c r="AG317" s="123"/>
      <c r="AH317" s="123"/>
      <c r="AI317" s="123"/>
      <c r="AJ317" s="123"/>
      <c r="AK317" s="123"/>
    </row>
    <row r="318" spans="1:37" ht="14.25" customHeight="1" x14ac:dyDescent="0.2">
      <c r="A318" s="123"/>
      <c r="C318" s="123"/>
      <c r="AB318" s="123"/>
      <c r="AC318" s="123"/>
      <c r="AD318" s="125"/>
      <c r="AE318" s="123"/>
      <c r="AF318" s="123"/>
      <c r="AG318" s="123"/>
      <c r="AH318" s="123"/>
      <c r="AI318" s="123"/>
      <c r="AJ318" s="123"/>
      <c r="AK318" s="123"/>
    </row>
    <row r="319" spans="1:37" ht="14.25" customHeight="1" x14ac:dyDescent="0.2">
      <c r="A319" s="123"/>
      <c r="C319" s="123"/>
      <c r="AB319" s="123"/>
      <c r="AC319" s="123"/>
      <c r="AD319" s="125"/>
      <c r="AE319" s="123"/>
      <c r="AF319" s="123"/>
      <c r="AG319" s="123"/>
      <c r="AH319" s="123"/>
      <c r="AI319" s="123"/>
      <c r="AJ319" s="123"/>
      <c r="AK319" s="123"/>
    </row>
    <row r="320" spans="1:37" ht="14.25" customHeight="1" x14ac:dyDescent="0.2">
      <c r="A320" s="123"/>
      <c r="C320" s="123"/>
      <c r="AB320" s="123"/>
      <c r="AC320" s="123"/>
      <c r="AD320" s="125"/>
      <c r="AE320" s="123"/>
      <c r="AF320" s="123"/>
      <c r="AG320" s="123"/>
      <c r="AH320" s="123"/>
      <c r="AI320" s="123"/>
      <c r="AJ320" s="123"/>
      <c r="AK320" s="123"/>
    </row>
    <row r="321" spans="1:37" ht="14.25" customHeight="1" x14ac:dyDescent="0.2">
      <c r="A321" s="123"/>
      <c r="C321" s="123"/>
      <c r="AB321" s="123"/>
      <c r="AC321" s="123"/>
      <c r="AD321" s="125"/>
      <c r="AE321" s="123"/>
      <c r="AF321" s="123"/>
      <c r="AG321" s="123"/>
      <c r="AH321" s="123"/>
      <c r="AI321" s="123"/>
      <c r="AJ321" s="123"/>
      <c r="AK321" s="123"/>
    </row>
    <row r="322" spans="1:37" ht="14.25" customHeight="1" x14ac:dyDescent="0.2">
      <c r="A322" s="123"/>
      <c r="C322" s="123"/>
      <c r="AB322" s="123"/>
      <c r="AC322" s="123"/>
      <c r="AD322" s="125"/>
      <c r="AE322" s="123"/>
      <c r="AF322" s="123"/>
      <c r="AG322" s="123"/>
      <c r="AH322" s="123"/>
      <c r="AI322" s="123"/>
      <c r="AJ322" s="123"/>
      <c r="AK322" s="123"/>
    </row>
    <row r="323" spans="1:37" ht="14.25" customHeight="1" x14ac:dyDescent="0.2">
      <c r="A323" s="123"/>
      <c r="C323" s="123"/>
      <c r="AB323" s="123"/>
      <c r="AC323" s="123"/>
      <c r="AD323" s="125"/>
      <c r="AE323" s="123"/>
      <c r="AF323" s="123"/>
      <c r="AG323" s="123"/>
      <c r="AH323" s="123"/>
      <c r="AI323" s="123"/>
      <c r="AJ323" s="123"/>
      <c r="AK323" s="123"/>
    </row>
    <row r="324" spans="1:37" ht="14.25" customHeight="1" x14ac:dyDescent="0.2">
      <c r="A324" s="123"/>
      <c r="C324" s="123"/>
      <c r="AB324" s="123"/>
      <c r="AC324" s="123"/>
      <c r="AD324" s="125"/>
      <c r="AE324" s="123"/>
      <c r="AF324" s="123"/>
      <c r="AG324" s="123"/>
      <c r="AH324" s="123"/>
      <c r="AI324" s="123"/>
      <c r="AJ324" s="123"/>
      <c r="AK324" s="123"/>
    </row>
    <row r="325" spans="1:37" ht="14.25" customHeight="1" x14ac:dyDescent="0.2">
      <c r="A325" s="123"/>
      <c r="C325" s="123"/>
      <c r="AB325" s="123"/>
      <c r="AC325" s="123"/>
      <c r="AD325" s="125"/>
      <c r="AE325" s="123"/>
      <c r="AF325" s="123"/>
      <c r="AG325" s="123"/>
      <c r="AH325" s="123"/>
      <c r="AI325" s="123"/>
      <c r="AJ325" s="123"/>
      <c r="AK325" s="123"/>
    </row>
    <row r="326" spans="1:37" ht="14.25" customHeight="1" x14ac:dyDescent="0.2">
      <c r="A326" s="123"/>
      <c r="C326" s="123"/>
      <c r="AB326" s="123"/>
      <c r="AC326" s="123"/>
      <c r="AD326" s="125"/>
      <c r="AE326" s="123"/>
      <c r="AF326" s="123"/>
      <c r="AG326" s="123"/>
      <c r="AH326" s="123"/>
      <c r="AI326" s="123"/>
      <c r="AJ326" s="123"/>
      <c r="AK326" s="123"/>
    </row>
    <row r="327" spans="1:37" ht="14.25" customHeight="1" x14ac:dyDescent="0.2">
      <c r="A327" s="123"/>
      <c r="C327" s="123"/>
      <c r="AB327" s="123"/>
      <c r="AC327" s="123"/>
      <c r="AD327" s="125"/>
      <c r="AE327" s="123"/>
      <c r="AF327" s="123"/>
      <c r="AG327" s="123"/>
      <c r="AH327" s="123"/>
      <c r="AI327" s="123"/>
      <c r="AJ327" s="123"/>
      <c r="AK327" s="123"/>
    </row>
    <row r="328" spans="1:37" ht="14.25" customHeight="1" x14ac:dyDescent="0.2">
      <c r="A328" s="123"/>
      <c r="C328" s="123"/>
      <c r="AB328" s="123"/>
      <c r="AC328" s="123"/>
      <c r="AD328" s="125"/>
      <c r="AE328" s="123"/>
      <c r="AF328" s="123"/>
      <c r="AG328" s="123"/>
      <c r="AH328" s="123"/>
      <c r="AI328" s="123"/>
      <c r="AJ328" s="123"/>
      <c r="AK328" s="123"/>
    </row>
    <row r="329" spans="1:37" ht="14.25" customHeight="1" x14ac:dyDescent="0.2">
      <c r="A329" s="123"/>
      <c r="C329" s="123"/>
      <c r="AB329" s="123"/>
      <c r="AC329" s="123"/>
      <c r="AD329" s="125"/>
      <c r="AE329" s="123"/>
      <c r="AF329" s="123"/>
      <c r="AG329" s="123"/>
      <c r="AH329" s="123"/>
      <c r="AI329" s="123"/>
      <c r="AJ329" s="123"/>
      <c r="AK329" s="123"/>
    </row>
    <row r="330" spans="1:37" ht="14.25" customHeight="1" x14ac:dyDescent="0.2">
      <c r="A330" s="123"/>
      <c r="C330" s="123"/>
      <c r="AB330" s="123"/>
      <c r="AC330" s="123"/>
      <c r="AD330" s="125"/>
      <c r="AE330" s="123"/>
      <c r="AF330" s="123"/>
      <c r="AG330" s="123"/>
      <c r="AH330" s="123"/>
      <c r="AI330" s="123"/>
      <c r="AJ330" s="123"/>
      <c r="AK330" s="123"/>
    </row>
    <row r="331" spans="1:37" ht="14.25" customHeight="1" x14ac:dyDescent="0.2">
      <c r="A331" s="123"/>
      <c r="C331" s="123"/>
      <c r="AB331" s="123"/>
      <c r="AC331" s="123"/>
      <c r="AD331" s="125"/>
      <c r="AE331" s="123"/>
      <c r="AF331" s="123"/>
      <c r="AG331" s="123"/>
      <c r="AH331" s="123"/>
      <c r="AI331" s="123"/>
      <c r="AJ331" s="123"/>
      <c r="AK331" s="123"/>
    </row>
    <row r="332" spans="1:37" ht="14.25" customHeight="1" x14ac:dyDescent="0.2">
      <c r="A332" s="123"/>
      <c r="C332" s="123"/>
      <c r="AB332" s="123"/>
      <c r="AC332" s="123"/>
      <c r="AD332" s="125"/>
      <c r="AE332" s="123"/>
      <c r="AF332" s="123"/>
      <c r="AG332" s="123"/>
      <c r="AH332" s="123"/>
      <c r="AI332" s="123"/>
      <c r="AJ332" s="123"/>
      <c r="AK332" s="123"/>
    </row>
    <row r="333" spans="1:37" ht="14.25" customHeight="1" x14ac:dyDescent="0.2">
      <c r="A333" s="123"/>
      <c r="C333" s="123"/>
      <c r="AB333" s="123"/>
      <c r="AC333" s="123"/>
      <c r="AD333" s="125"/>
      <c r="AE333" s="123"/>
      <c r="AF333" s="123"/>
      <c r="AG333" s="123"/>
      <c r="AH333" s="123"/>
      <c r="AI333" s="123"/>
      <c r="AJ333" s="123"/>
      <c r="AK333" s="123"/>
    </row>
    <row r="334" spans="1:37" ht="14.25" customHeight="1" x14ac:dyDescent="0.2">
      <c r="A334" s="123"/>
      <c r="C334" s="123"/>
      <c r="AB334" s="123"/>
      <c r="AC334" s="123"/>
      <c r="AD334" s="125"/>
      <c r="AE334" s="123"/>
      <c r="AF334" s="123"/>
      <c r="AG334" s="123"/>
      <c r="AH334" s="123"/>
      <c r="AI334" s="123"/>
      <c r="AJ334" s="123"/>
      <c r="AK334" s="123"/>
    </row>
    <row r="335" spans="1:37" ht="14.25" customHeight="1" x14ac:dyDescent="0.2">
      <c r="A335" s="123"/>
      <c r="C335" s="123"/>
      <c r="AB335" s="123"/>
      <c r="AC335" s="123"/>
      <c r="AD335" s="125"/>
      <c r="AE335" s="123"/>
      <c r="AF335" s="123"/>
      <c r="AG335" s="123"/>
      <c r="AH335" s="123"/>
      <c r="AI335" s="123"/>
      <c r="AJ335" s="123"/>
      <c r="AK335" s="123"/>
    </row>
    <row r="336" spans="1:37" ht="14.25" customHeight="1" x14ac:dyDescent="0.2">
      <c r="A336" s="123"/>
      <c r="C336" s="123"/>
      <c r="AB336" s="123"/>
      <c r="AC336" s="123"/>
      <c r="AD336" s="125"/>
      <c r="AE336" s="123"/>
      <c r="AF336" s="123"/>
      <c r="AG336" s="123"/>
      <c r="AH336" s="123"/>
      <c r="AI336" s="123"/>
      <c r="AJ336" s="123"/>
      <c r="AK336" s="123"/>
    </row>
    <row r="337" spans="1:37" ht="14.25" customHeight="1" x14ac:dyDescent="0.2">
      <c r="A337" s="123"/>
      <c r="C337" s="123"/>
      <c r="AB337" s="123"/>
      <c r="AC337" s="123"/>
      <c r="AD337" s="125"/>
      <c r="AE337" s="123"/>
      <c r="AF337" s="123"/>
      <c r="AG337" s="123"/>
      <c r="AH337" s="123"/>
      <c r="AI337" s="123"/>
      <c r="AJ337" s="123"/>
      <c r="AK337" s="123"/>
    </row>
    <row r="338" spans="1:37" ht="14.25" customHeight="1" x14ac:dyDescent="0.2">
      <c r="A338" s="123"/>
      <c r="C338" s="123"/>
      <c r="AB338" s="123"/>
      <c r="AC338" s="123"/>
      <c r="AD338" s="125"/>
      <c r="AE338" s="123"/>
      <c r="AF338" s="123"/>
      <c r="AG338" s="123"/>
      <c r="AH338" s="123"/>
      <c r="AI338" s="123"/>
      <c r="AJ338" s="123"/>
      <c r="AK338" s="123"/>
    </row>
    <row r="339" spans="1:37" ht="14.25" customHeight="1" x14ac:dyDescent="0.2">
      <c r="A339" s="123"/>
      <c r="C339" s="123"/>
      <c r="AB339" s="123"/>
      <c r="AC339" s="123"/>
      <c r="AD339" s="125"/>
      <c r="AE339" s="123"/>
      <c r="AF339" s="123"/>
      <c r="AG339" s="123"/>
      <c r="AH339" s="123"/>
      <c r="AI339" s="123"/>
      <c r="AJ339" s="123"/>
      <c r="AK339" s="123"/>
    </row>
    <row r="340" spans="1:37" ht="14.25" customHeight="1" x14ac:dyDescent="0.2">
      <c r="A340" s="123"/>
      <c r="C340" s="123"/>
      <c r="AB340" s="123"/>
      <c r="AC340" s="123"/>
      <c r="AD340" s="125"/>
      <c r="AE340" s="123"/>
      <c r="AF340" s="123"/>
      <c r="AG340" s="123"/>
      <c r="AH340" s="123"/>
      <c r="AI340" s="123"/>
      <c r="AJ340" s="123"/>
      <c r="AK340" s="123"/>
    </row>
    <row r="341" spans="1:37" ht="14.25" customHeight="1" x14ac:dyDescent="0.2">
      <c r="A341" s="123"/>
      <c r="C341" s="123"/>
      <c r="AB341" s="123"/>
      <c r="AC341" s="123"/>
      <c r="AD341" s="125"/>
      <c r="AE341" s="123"/>
      <c r="AF341" s="123"/>
      <c r="AG341" s="123"/>
      <c r="AH341" s="123"/>
      <c r="AI341" s="123"/>
      <c r="AJ341" s="123"/>
      <c r="AK341" s="123"/>
    </row>
    <row r="342" spans="1:37" ht="14.25" customHeight="1" x14ac:dyDescent="0.2">
      <c r="A342" s="123"/>
      <c r="C342" s="123"/>
      <c r="AB342" s="123"/>
      <c r="AC342" s="123"/>
      <c r="AD342" s="125"/>
      <c r="AE342" s="123"/>
      <c r="AF342" s="123"/>
      <c r="AG342" s="123"/>
      <c r="AH342" s="123"/>
      <c r="AI342" s="123"/>
      <c r="AJ342" s="123"/>
      <c r="AK342" s="123"/>
    </row>
    <row r="343" spans="1:37" ht="14.25" customHeight="1" x14ac:dyDescent="0.2">
      <c r="A343" s="123"/>
      <c r="C343" s="123"/>
      <c r="AB343" s="123"/>
      <c r="AC343" s="123"/>
      <c r="AD343" s="125"/>
      <c r="AE343" s="123"/>
      <c r="AF343" s="123"/>
      <c r="AG343" s="123"/>
      <c r="AH343" s="123"/>
      <c r="AI343" s="123"/>
      <c r="AJ343" s="123"/>
      <c r="AK343" s="123"/>
    </row>
    <row r="344" spans="1:37" ht="14.25" customHeight="1" x14ac:dyDescent="0.2">
      <c r="A344" s="123"/>
      <c r="C344" s="123"/>
      <c r="AB344" s="123"/>
      <c r="AC344" s="123"/>
      <c r="AD344" s="125"/>
      <c r="AE344" s="123"/>
      <c r="AF344" s="123"/>
      <c r="AG344" s="123"/>
      <c r="AH344" s="123"/>
      <c r="AI344" s="123"/>
      <c r="AJ344" s="123"/>
      <c r="AK344" s="123"/>
    </row>
    <row r="345" spans="1:37" ht="14.25" customHeight="1" x14ac:dyDescent="0.2">
      <c r="A345" s="123"/>
      <c r="C345" s="123"/>
      <c r="AB345" s="123"/>
      <c r="AC345" s="123"/>
      <c r="AD345" s="125"/>
      <c r="AE345" s="123"/>
      <c r="AF345" s="123"/>
      <c r="AG345" s="123"/>
      <c r="AH345" s="123"/>
      <c r="AI345" s="123"/>
      <c r="AJ345" s="123"/>
      <c r="AK345" s="123"/>
    </row>
    <row r="346" spans="1:37" ht="14.25" customHeight="1" x14ac:dyDescent="0.2">
      <c r="A346" s="123"/>
      <c r="C346" s="123"/>
      <c r="AB346" s="123"/>
      <c r="AC346" s="123"/>
      <c r="AD346" s="125"/>
      <c r="AE346" s="123"/>
      <c r="AF346" s="123"/>
      <c r="AG346" s="123"/>
      <c r="AH346" s="123"/>
      <c r="AI346" s="123"/>
      <c r="AJ346" s="123"/>
      <c r="AK346" s="123"/>
    </row>
    <row r="347" spans="1:37" ht="14.25" customHeight="1" x14ac:dyDescent="0.2">
      <c r="A347" s="123"/>
      <c r="C347" s="123"/>
      <c r="AB347" s="123"/>
      <c r="AC347" s="123"/>
      <c r="AD347" s="125"/>
      <c r="AE347" s="123"/>
      <c r="AF347" s="123"/>
      <c r="AG347" s="123"/>
      <c r="AH347" s="123"/>
      <c r="AI347" s="123"/>
      <c r="AJ347" s="123"/>
      <c r="AK347" s="123"/>
    </row>
    <row r="348" spans="1:37" ht="14.25" customHeight="1" x14ac:dyDescent="0.2">
      <c r="A348" s="123"/>
      <c r="C348" s="123"/>
      <c r="AB348" s="123"/>
      <c r="AC348" s="123"/>
      <c r="AD348" s="125"/>
      <c r="AE348" s="123"/>
      <c r="AF348" s="123"/>
      <c r="AG348" s="123"/>
      <c r="AH348" s="123"/>
      <c r="AI348" s="123"/>
      <c r="AJ348" s="123"/>
      <c r="AK348" s="123"/>
    </row>
    <row r="349" spans="1:37" ht="14.25" customHeight="1" x14ac:dyDescent="0.2">
      <c r="A349" s="123"/>
      <c r="C349" s="123"/>
      <c r="AB349" s="123"/>
      <c r="AC349" s="123"/>
      <c r="AD349" s="125"/>
      <c r="AE349" s="123"/>
      <c r="AF349" s="123"/>
      <c r="AG349" s="123"/>
      <c r="AH349" s="123"/>
      <c r="AI349" s="123"/>
      <c r="AJ349" s="123"/>
      <c r="AK349" s="123"/>
    </row>
    <row r="350" spans="1:37" ht="14.25" customHeight="1" x14ac:dyDescent="0.2">
      <c r="A350" s="123"/>
      <c r="C350" s="123"/>
      <c r="AB350" s="123"/>
      <c r="AC350" s="123"/>
      <c r="AD350" s="125"/>
      <c r="AE350" s="123"/>
      <c r="AF350" s="123"/>
      <c r="AG350" s="123"/>
      <c r="AH350" s="123"/>
      <c r="AI350" s="123"/>
      <c r="AJ350" s="123"/>
      <c r="AK350" s="123"/>
    </row>
    <row r="351" spans="1:37" ht="14.25" customHeight="1" x14ac:dyDescent="0.2">
      <c r="A351" s="123"/>
      <c r="C351" s="123"/>
      <c r="AB351" s="123"/>
      <c r="AC351" s="123"/>
      <c r="AD351" s="125"/>
      <c r="AE351" s="123"/>
      <c r="AF351" s="123"/>
      <c r="AG351" s="123"/>
      <c r="AH351" s="123"/>
      <c r="AI351" s="123"/>
      <c r="AJ351" s="123"/>
      <c r="AK351" s="123"/>
    </row>
    <row r="352" spans="1:37" ht="14.25" customHeight="1" x14ac:dyDescent="0.2">
      <c r="A352" s="123"/>
      <c r="C352" s="123"/>
      <c r="AB352" s="123"/>
      <c r="AC352" s="123"/>
      <c r="AD352" s="125"/>
      <c r="AE352" s="123"/>
      <c r="AF352" s="123"/>
      <c r="AG352" s="123"/>
      <c r="AH352" s="123"/>
      <c r="AI352" s="123"/>
      <c r="AJ352" s="123"/>
      <c r="AK352" s="123"/>
    </row>
    <row r="353" spans="1:37" ht="14.25" customHeight="1" x14ac:dyDescent="0.2">
      <c r="A353" s="123"/>
      <c r="C353" s="123"/>
      <c r="AB353" s="123"/>
      <c r="AC353" s="123"/>
      <c r="AD353" s="125"/>
      <c r="AE353" s="123"/>
      <c r="AF353" s="123"/>
      <c r="AG353" s="123"/>
      <c r="AH353" s="123"/>
      <c r="AI353" s="123"/>
      <c r="AJ353" s="123"/>
      <c r="AK353" s="123"/>
    </row>
    <row r="354" spans="1:37" ht="14.25" customHeight="1" x14ac:dyDescent="0.2">
      <c r="A354" s="123"/>
      <c r="C354" s="123"/>
      <c r="AB354" s="123"/>
      <c r="AC354" s="123"/>
      <c r="AD354" s="125"/>
      <c r="AE354" s="123"/>
      <c r="AF354" s="123"/>
      <c r="AG354" s="123"/>
      <c r="AH354" s="123"/>
      <c r="AI354" s="123"/>
      <c r="AJ354" s="123"/>
      <c r="AK354" s="123"/>
    </row>
    <row r="355" spans="1:37" ht="14.25" customHeight="1" x14ac:dyDescent="0.2">
      <c r="A355" s="123"/>
      <c r="C355" s="123"/>
      <c r="AB355" s="123"/>
      <c r="AC355" s="123"/>
      <c r="AD355" s="125"/>
      <c r="AE355" s="123"/>
      <c r="AF355" s="123"/>
      <c r="AG355" s="123"/>
      <c r="AH355" s="123"/>
      <c r="AI355" s="123"/>
      <c r="AJ355" s="123"/>
      <c r="AK355" s="123"/>
    </row>
    <row r="356" spans="1:37" ht="14.25" customHeight="1" x14ac:dyDescent="0.2">
      <c r="A356" s="123"/>
      <c r="C356" s="123"/>
      <c r="AB356" s="123"/>
      <c r="AC356" s="123"/>
      <c r="AD356" s="125"/>
      <c r="AE356" s="123"/>
      <c r="AF356" s="123"/>
      <c r="AG356" s="123"/>
      <c r="AH356" s="123"/>
      <c r="AI356" s="123"/>
      <c r="AJ356" s="123"/>
      <c r="AK356" s="123"/>
    </row>
    <row r="357" spans="1:37" ht="14.25" customHeight="1" x14ac:dyDescent="0.2">
      <c r="A357" s="123"/>
      <c r="C357" s="123"/>
      <c r="AB357" s="123"/>
      <c r="AC357" s="123"/>
      <c r="AD357" s="125"/>
      <c r="AE357" s="123"/>
      <c r="AF357" s="123"/>
      <c r="AG357" s="123"/>
      <c r="AH357" s="123"/>
      <c r="AI357" s="123"/>
      <c r="AJ357" s="123"/>
      <c r="AK357" s="123"/>
    </row>
    <row r="358" spans="1:37" ht="14.25" customHeight="1" x14ac:dyDescent="0.2">
      <c r="A358" s="123"/>
      <c r="C358" s="123"/>
      <c r="AB358" s="123"/>
      <c r="AC358" s="123"/>
      <c r="AD358" s="125"/>
      <c r="AE358" s="123"/>
      <c r="AF358" s="123"/>
      <c r="AG358" s="123"/>
      <c r="AH358" s="123"/>
      <c r="AI358" s="123"/>
      <c r="AJ358" s="123"/>
      <c r="AK358" s="123"/>
    </row>
    <row r="359" spans="1:37" ht="14.25" customHeight="1" x14ac:dyDescent="0.2">
      <c r="A359" s="123"/>
      <c r="C359" s="123"/>
      <c r="AB359" s="123"/>
      <c r="AC359" s="123"/>
      <c r="AD359" s="125"/>
      <c r="AE359" s="123"/>
      <c r="AF359" s="123"/>
      <c r="AG359" s="123"/>
      <c r="AH359" s="123"/>
      <c r="AI359" s="123"/>
      <c r="AJ359" s="123"/>
      <c r="AK359" s="123"/>
    </row>
    <row r="360" spans="1:37" ht="14.25" customHeight="1" x14ac:dyDescent="0.2">
      <c r="A360" s="123"/>
      <c r="C360" s="123"/>
      <c r="AB360" s="123"/>
      <c r="AC360" s="123"/>
      <c r="AD360" s="125"/>
      <c r="AE360" s="123"/>
      <c r="AF360" s="123"/>
      <c r="AG360" s="123"/>
      <c r="AH360" s="123"/>
      <c r="AI360" s="123"/>
      <c r="AJ360" s="123"/>
      <c r="AK360" s="123"/>
    </row>
    <row r="361" spans="1:37" ht="14.25" customHeight="1" x14ac:dyDescent="0.2">
      <c r="A361" s="123"/>
      <c r="C361" s="123"/>
      <c r="AB361" s="123"/>
      <c r="AC361" s="123"/>
      <c r="AD361" s="125"/>
      <c r="AE361" s="123"/>
      <c r="AF361" s="123"/>
      <c r="AG361" s="123"/>
      <c r="AH361" s="123"/>
      <c r="AI361" s="123"/>
      <c r="AJ361" s="123"/>
      <c r="AK361" s="123"/>
    </row>
    <row r="362" spans="1:37" ht="14.25" customHeight="1" x14ac:dyDescent="0.2">
      <c r="A362" s="123"/>
      <c r="C362" s="123"/>
      <c r="AB362" s="123"/>
      <c r="AC362" s="123"/>
      <c r="AD362" s="125"/>
      <c r="AE362" s="123"/>
      <c r="AF362" s="123"/>
      <c r="AG362" s="123"/>
      <c r="AH362" s="123"/>
      <c r="AI362" s="123"/>
      <c r="AJ362" s="123"/>
      <c r="AK362" s="123"/>
    </row>
    <row r="363" spans="1:37" ht="14.25" customHeight="1" x14ac:dyDescent="0.2">
      <c r="A363" s="123"/>
      <c r="C363" s="123"/>
      <c r="AB363" s="123"/>
      <c r="AC363" s="123"/>
      <c r="AD363" s="125"/>
      <c r="AE363" s="123"/>
      <c r="AF363" s="123"/>
      <c r="AG363" s="123"/>
      <c r="AH363" s="123"/>
      <c r="AI363" s="123"/>
      <c r="AJ363" s="123"/>
      <c r="AK363" s="123"/>
    </row>
    <row r="364" spans="1:37" ht="14.25" customHeight="1" x14ac:dyDescent="0.2">
      <c r="A364" s="123"/>
      <c r="C364" s="123"/>
      <c r="AB364" s="123"/>
      <c r="AC364" s="123"/>
      <c r="AD364" s="125"/>
      <c r="AE364" s="123"/>
      <c r="AF364" s="123"/>
      <c r="AG364" s="123"/>
      <c r="AH364" s="123"/>
      <c r="AI364" s="123"/>
      <c r="AJ364" s="123"/>
      <c r="AK364" s="123"/>
    </row>
    <row r="365" spans="1:37" ht="14.25" customHeight="1" x14ac:dyDescent="0.2">
      <c r="A365" s="123"/>
      <c r="C365" s="123"/>
      <c r="AB365" s="123"/>
      <c r="AC365" s="123"/>
      <c r="AD365" s="125"/>
      <c r="AE365" s="123"/>
      <c r="AF365" s="123"/>
      <c r="AG365" s="123"/>
      <c r="AH365" s="123"/>
      <c r="AI365" s="123"/>
      <c r="AJ365" s="123"/>
      <c r="AK365" s="123"/>
    </row>
    <row r="366" spans="1:37" ht="14.25" customHeight="1" x14ac:dyDescent="0.2">
      <c r="A366" s="123"/>
      <c r="C366" s="123"/>
      <c r="AB366" s="123"/>
      <c r="AC366" s="123"/>
      <c r="AD366" s="125"/>
      <c r="AE366" s="123"/>
      <c r="AF366" s="123"/>
      <c r="AG366" s="123"/>
      <c r="AH366" s="123"/>
      <c r="AI366" s="123"/>
      <c r="AJ366" s="123"/>
      <c r="AK366" s="123"/>
    </row>
    <row r="367" spans="1:37" ht="14.25" customHeight="1" x14ac:dyDescent="0.2">
      <c r="A367" s="123"/>
      <c r="C367" s="123"/>
      <c r="AB367" s="123"/>
      <c r="AC367" s="123"/>
      <c r="AD367" s="125"/>
      <c r="AE367" s="123"/>
      <c r="AF367" s="123"/>
      <c r="AG367" s="123"/>
      <c r="AH367" s="123"/>
      <c r="AI367" s="123"/>
      <c r="AJ367" s="123"/>
      <c r="AK367" s="123"/>
    </row>
    <row r="368" spans="1:37" ht="14.25" customHeight="1" x14ac:dyDescent="0.2">
      <c r="A368" s="123"/>
      <c r="C368" s="123"/>
      <c r="AB368" s="123"/>
      <c r="AC368" s="123"/>
      <c r="AD368" s="125"/>
      <c r="AE368" s="123"/>
      <c r="AF368" s="123"/>
      <c r="AG368" s="123"/>
      <c r="AH368" s="123"/>
      <c r="AI368" s="123"/>
      <c r="AJ368" s="123"/>
      <c r="AK368" s="123"/>
    </row>
    <row r="369" spans="1:37" ht="14.25" customHeight="1" x14ac:dyDescent="0.2">
      <c r="A369" s="123"/>
      <c r="C369" s="123"/>
      <c r="AB369" s="123"/>
      <c r="AC369" s="123"/>
      <c r="AD369" s="125"/>
      <c r="AE369" s="123"/>
      <c r="AF369" s="123"/>
      <c r="AG369" s="123"/>
      <c r="AH369" s="123"/>
      <c r="AI369" s="123"/>
      <c r="AJ369" s="123"/>
      <c r="AK369" s="123"/>
    </row>
    <row r="370" spans="1:37" ht="14.25" customHeight="1" x14ac:dyDescent="0.2">
      <c r="A370" s="123"/>
      <c r="C370" s="123"/>
      <c r="AB370" s="123"/>
      <c r="AC370" s="123"/>
      <c r="AD370" s="125"/>
      <c r="AE370" s="123"/>
      <c r="AF370" s="123"/>
      <c r="AG370" s="123"/>
      <c r="AH370" s="123"/>
      <c r="AI370" s="123"/>
      <c r="AJ370" s="123"/>
      <c r="AK370" s="123"/>
    </row>
    <row r="371" spans="1:37" ht="14.25" customHeight="1" x14ac:dyDescent="0.2">
      <c r="A371" s="123"/>
      <c r="C371" s="123"/>
      <c r="AB371" s="123"/>
      <c r="AC371" s="123"/>
      <c r="AD371" s="125"/>
      <c r="AE371" s="123"/>
      <c r="AF371" s="123"/>
      <c r="AG371" s="123"/>
      <c r="AH371" s="123"/>
      <c r="AI371" s="123"/>
      <c r="AJ371" s="123"/>
      <c r="AK371" s="123"/>
    </row>
    <row r="372" spans="1:37" ht="14.25" customHeight="1" x14ac:dyDescent="0.2">
      <c r="A372" s="123"/>
      <c r="C372" s="123"/>
      <c r="AB372" s="123"/>
      <c r="AC372" s="123"/>
      <c r="AD372" s="125"/>
      <c r="AE372" s="123"/>
      <c r="AF372" s="123"/>
      <c r="AG372" s="123"/>
      <c r="AH372" s="123"/>
      <c r="AI372" s="123"/>
      <c r="AJ372" s="123"/>
      <c r="AK372" s="123"/>
    </row>
    <row r="373" spans="1:37" ht="14.25" customHeight="1" x14ac:dyDescent="0.2">
      <c r="A373" s="123"/>
      <c r="C373" s="123"/>
      <c r="AB373" s="123"/>
      <c r="AC373" s="123"/>
      <c r="AD373" s="125"/>
      <c r="AE373" s="123"/>
      <c r="AF373" s="123"/>
      <c r="AG373" s="123"/>
      <c r="AH373" s="123"/>
      <c r="AI373" s="123"/>
      <c r="AJ373" s="123"/>
      <c r="AK373" s="123"/>
    </row>
    <row r="374" spans="1:37" ht="14.25" customHeight="1" x14ac:dyDescent="0.2">
      <c r="A374" s="123"/>
      <c r="C374" s="123"/>
      <c r="AB374" s="123"/>
      <c r="AC374" s="123"/>
      <c r="AD374" s="125"/>
      <c r="AE374" s="123"/>
      <c r="AF374" s="123"/>
      <c r="AG374" s="123"/>
      <c r="AH374" s="123"/>
      <c r="AI374" s="123"/>
      <c r="AJ374" s="123"/>
      <c r="AK374" s="123"/>
    </row>
    <row r="375" spans="1:37" ht="14.25" customHeight="1" x14ac:dyDescent="0.2">
      <c r="A375" s="123"/>
      <c r="C375" s="123"/>
      <c r="AB375" s="123"/>
      <c r="AC375" s="123"/>
      <c r="AD375" s="125"/>
      <c r="AE375" s="123"/>
      <c r="AF375" s="123"/>
      <c r="AG375" s="123"/>
      <c r="AH375" s="123"/>
      <c r="AI375" s="123"/>
      <c r="AJ375" s="123"/>
      <c r="AK375" s="123"/>
    </row>
    <row r="376" spans="1:37" ht="14.25" customHeight="1" x14ac:dyDescent="0.2">
      <c r="A376" s="123"/>
      <c r="C376" s="123"/>
      <c r="AB376" s="123"/>
      <c r="AC376" s="123"/>
      <c r="AD376" s="125"/>
      <c r="AE376" s="123"/>
      <c r="AF376" s="123"/>
      <c r="AG376" s="123"/>
      <c r="AH376" s="123"/>
      <c r="AI376" s="123"/>
      <c r="AJ376" s="123"/>
      <c r="AK376" s="123"/>
    </row>
    <row r="377" spans="1:37" ht="14.25" customHeight="1" x14ac:dyDescent="0.2">
      <c r="A377" s="123"/>
      <c r="C377" s="123"/>
      <c r="AB377" s="123"/>
      <c r="AC377" s="123"/>
      <c r="AD377" s="125"/>
      <c r="AE377" s="123"/>
      <c r="AF377" s="123"/>
      <c r="AG377" s="123"/>
      <c r="AH377" s="123"/>
      <c r="AI377" s="123"/>
      <c r="AJ377" s="123"/>
      <c r="AK377" s="123"/>
    </row>
    <row r="378" spans="1:37" ht="14.25" customHeight="1" x14ac:dyDescent="0.2">
      <c r="A378" s="123"/>
      <c r="C378" s="123"/>
      <c r="AB378" s="123"/>
      <c r="AC378" s="123"/>
      <c r="AD378" s="125"/>
      <c r="AE378" s="123"/>
      <c r="AF378" s="123"/>
      <c r="AG378" s="123"/>
      <c r="AH378" s="123"/>
      <c r="AI378" s="123"/>
      <c r="AJ378" s="123"/>
      <c r="AK378" s="123"/>
    </row>
    <row r="379" spans="1:37" ht="14.25" customHeight="1" x14ac:dyDescent="0.2">
      <c r="A379" s="123"/>
      <c r="C379" s="123"/>
      <c r="AB379" s="123"/>
      <c r="AC379" s="123"/>
      <c r="AD379" s="125"/>
      <c r="AE379" s="123"/>
      <c r="AF379" s="123"/>
      <c r="AG379" s="123"/>
      <c r="AH379" s="123"/>
      <c r="AI379" s="123"/>
      <c r="AJ379" s="123"/>
      <c r="AK379" s="123"/>
    </row>
    <row r="380" spans="1:37" ht="14.25" customHeight="1" x14ac:dyDescent="0.2">
      <c r="A380" s="123"/>
      <c r="C380" s="123"/>
      <c r="AB380" s="123"/>
      <c r="AC380" s="123"/>
      <c r="AD380" s="125"/>
      <c r="AE380" s="123"/>
      <c r="AF380" s="123"/>
      <c r="AG380" s="123"/>
      <c r="AH380" s="123"/>
      <c r="AI380" s="123"/>
      <c r="AJ380" s="123"/>
      <c r="AK380" s="123"/>
    </row>
    <row r="381" spans="1:37" ht="14.25" customHeight="1" x14ac:dyDescent="0.2">
      <c r="A381" s="123"/>
      <c r="C381" s="123"/>
      <c r="AB381" s="123"/>
      <c r="AC381" s="123"/>
      <c r="AD381" s="125"/>
      <c r="AE381" s="123"/>
      <c r="AF381" s="123"/>
      <c r="AG381" s="123"/>
      <c r="AH381" s="123"/>
      <c r="AI381" s="123"/>
      <c r="AJ381" s="123"/>
      <c r="AK381" s="123"/>
    </row>
    <row r="382" spans="1:37" ht="14.25" customHeight="1" x14ac:dyDescent="0.2">
      <c r="A382" s="123"/>
      <c r="C382" s="123"/>
      <c r="AB382" s="123"/>
      <c r="AC382" s="123"/>
      <c r="AD382" s="125"/>
      <c r="AE382" s="123"/>
      <c r="AF382" s="123"/>
      <c r="AG382" s="123"/>
      <c r="AH382" s="123"/>
      <c r="AI382" s="123"/>
      <c r="AJ382" s="123"/>
      <c r="AK382" s="123"/>
    </row>
    <row r="383" spans="1:37" ht="14.25" customHeight="1" x14ac:dyDescent="0.2">
      <c r="A383" s="123"/>
      <c r="C383" s="123"/>
      <c r="AB383" s="123"/>
      <c r="AC383" s="123"/>
      <c r="AD383" s="125"/>
      <c r="AE383" s="123"/>
      <c r="AF383" s="123"/>
      <c r="AG383" s="123"/>
      <c r="AH383" s="123"/>
      <c r="AI383" s="123"/>
      <c r="AJ383" s="123"/>
      <c r="AK383" s="123"/>
    </row>
    <row r="384" spans="1:37" ht="14.25" customHeight="1" x14ac:dyDescent="0.2">
      <c r="A384" s="123"/>
      <c r="C384" s="123"/>
      <c r="AB384" s="123"/>
      <c r="AC384" s="123"/>
      <c r="AD384" s="125"/>
      <c r="AE384" s="123"/>
      <c r="AF384" s="123"/>
      <c r="AG384" s="123"/>
      <c r="AH384" s="123"/>
      <c r="AI384" s="123"/>
      <c r="AJ384" s="123"/>
      <c r="AK384" s="123"/>
    </row>
    <row r="385" spans="1:37" ht="14.25" customHeight="1" x14ac:dyDescent="0.2">
      <c r="A385" s="123"/>
      <c r="C385" s="123"/>
      <c r="AB385" s="123"/>
      <c r="AC385" s="123"/>
      <c r="AD385" s="125"/>
      <c r="AE385" s="123"/>
      <c r="AF385" s="123"/>
      <c r="AG385" s="123"/>
      <c r="AH385" s="123"/>
      <c r="AI385" s="123"/>
      <c r="AJ385" s="123"/>
      <c r="AK385" s="123"/>
    </row>
    <row r="386" spans="1:37" ht="14.25" customHeight="1" x14ac:dyDescent="0.2">
      <c r="A386" s="123"/>
      <c r="C386" s="123"/>
      <c r="AB386" s="123"/>
      <c r="AC386" s="123"/>
      <c r="AD386" s="125"/>
      <c r="AE386" s="123"/>
      <c r="AF386" s="123"/>
      <c r="AG386" s="123"/>
      <c r="AH386" s="123"/>
      <c r="AI386" s="123"/>
      <c r="AJ386" s="123"/>
      <c r="AK386" s="123"/>
    </row>
    <row r="387" spans="1:37" ht="14.25" customHeight="1" x14ac:dyDescent="0.2">
      <c r="A387" s="123"/>
      <c r="C387" s="123"/>
      <c r="AB387" s="123"/>
      <c r="AC387" s="123"/>
      <c r="AD387" s="125"/>
      <c r="AE387" s="123"/>
      <c r="AF387" s="123"/>
      <c r="AG387" s="123"/>
      <c r="AH387" s="123"/>
      <c r="AI387" s="123"/>
      <c r="AJ387" s="123"/>
      <c r="AK387" s="123"/>
    </row>
    <row r="388" spans="1:37" ht="14.25" customHeight="1" x14ac:dyDescent="0.2">
      <c r="A388" s="123"/>
      <c r="C388" s="123"/>
      <c r="AB388" s="123"/>
      <c r="AC388" s="123"/>
      <c r="AD388" s="125"/>
      <c r="AE388" s="123"/>
      <c r="AF388" s="123"/>
      <c r="AG388" s="123"/>
      <c r="AH388" s="123"/>
      <c r="AI388" s="123"/>
      <c r="AJ388" s="123"/>
      <c r="AK388" s="123"/>
    </row>
    <row r="389" spans="1:37" ht="14.25" customHeight="1" x14ac:dyDescent="0.2">
      <c r="A389" s="123"/>
      <c r="C389" s="123"/>
      <c r="AB389" s="123"/>
      <c r="AC389" s="123"/>
      <c r="AD389" s="125"/>
      <c r="AE389" s="123"/>
      <c r="AF389" s="123"/>
      <c r="AG389" s="123"/>
      <c r="AH389" s="123"/>
      <c r="AI389" s="123"/>
      <c r="AJ389" s="123"/>
      <c r="AK389" s="123"/>
    </row>
    <row r="390" spans="1:37" ht="14.25" customHeight="1" x14ac:dyDescent="0.2">
      <c r="A390" s="123"/>
      <c r="C390" s="123"/>
      <c r="AB390" s="123"/>
      <c r="AC390" s="123"/>
      <c r="AD390" s="125"/>
      <c r="AE390" s="123"/>
      <c r="AF390" s="123"/>
      <c r="AG390" s="123"/>
      <c r="AH390" s="123"/>
      <c r="AI390" s="123"/>
      <c r="AJ390" s="123"/>
      <c r="AK390" s="123"/>
    </row>
    <row r="391" spans="1:37" ht="14.25" customHeight="1" x14ac:dyDescent="0.2">
      <c r="A391" s="123"/>
      <c r="C391" s="123"/>
      <c r="AB391" s="123"/>
      <c r="AC391" s="123"/>
      <c r="AD391" s="125"/>
      <c r="AE391" s="123"/>
      <c r="AF391" s="123"/>
      <c r="AG391" s="123"/>
      <c r="AH391" s="123"/>
      <c r="AI391" s="123"/>
      <c r="AJ391" s="123"/>
      <c r="AK391" s="123"/>
    </row>
    <row r="392" spans="1:37" ht="14.25" customHeight="1" x14ac:dyDescent="0.2">
      <c r="A392" s="123"/>
      <c r="C392" s="123"/>
      <c r="AB392" s="123"/>
      <c r="AC392" s="123"/>
      <c r="AD392" s="125"/>
      <c r="AE392" s="123"/>
      <c r="AF392" s="123"/>
      <c r="AG392" s="123"/>
      <c r="AH392" s="123"/>
      <c r="AI392" s="123"/>
      <c r="AJ392" s="123"/>
      <c r="AK392" s="123"/>
    </row>
    <row r="393" spans="1:37" ht="14.25" customHeight="1" x14ac:dyDescent="0.2">
      <c r="A393" s="123"/>
      <c r="C393" s="123"/>
      <c r="AB393" s="123"/>
      <c r="AC393" s="123"/>
      <c r="AD393" s="125"/>
      <c r="AE393" s="123"/>
      <c r="AF393" s="123"/>
      <c r="AG393" s="123"/>
      <c r="AH393" s="123"/>
      <c r="AI393" s="123"/>
      <c r="AJ393" s="123"/>
      <c r="AK393" s="123"/>
    </row>
    <row r="394" spans="1:37" ht="14.25" customHeight="1" x14ac:dyDescent="0.2">
      <c r="A394" s="123"/>
      <c r="C394" s="123"/>
      <c r="AB394" s="123"/>
      <c r="AC394" s="123"/>
      <c r="AD394" s="125"/>
      <c r="AE394" s="123"/>
      <c r="AF394" s="123"/>
      <c r="AG394" s="123"/>
      <c r="AH394" s="123"/>
      <c r="AI394" s="123"/>
      <c r="AJ394" s="123"/>
      <c r="AK394" s="123"/>
    </row>
    <row r="395" spans="1:37" ht="14.25" customHeight="1" x14ac:dyDescent="0.2">
      <c r="A395" s="123"/>
      <c r="C395" s="123"/>
      <c r="AB395" s="123"/>
      <c r="AC395" s="123"/>
      <c r="AD395" s="125"/>
      <c r="AE395" s="123"/>
      <c r="AF395" s="123"/>
      <c r="AG395" s="123"/>
      <c r="AH395" s="123"/>
      <c r="AI395" s="123"/>
      <c r="AJ395" s="123"/>
      <c r="AK395" s="123"/>
    </row>
    <row r="396" spans="1:37" ht="14.25" customHeight="1" x14ac:dyDescent="0.2">
      <c r="A396" s="123"/>
      <c r="C396" s="123"/>
      <c r="AB396" s="123"/>
      <c r="AC396" s="123"/>
      <c r="AD396" s="125"/>
      <c r="AE396" s="123"/>
      <c r="AF396" s="123"/>
      <c r="AG396" s="123"/>
      <c r="AH396" s="123"/>
      <c r="AI396" s="123"/>
      <c r="AJ396" s="123"/>
      <c r="AK396" s="123"/>
    </row>
    <row r="397" spans="1:37" ht="14.25" customHeight="1" x14ac:dyDescent="0.2">
      <c r="A397" s="123"/>
      <c r="C397" s="123"/>
      <c r="AB397" s="123"/>
      <c r="AC397" s="123"/>
      <c r="AD397" s="125"/>
      <c r="AE397" s="123"/>
      <c r="AF397" s="123"/>
      <c r="AG397" s="123"/>
      <c r="AH397" s="123"/>
      <c r="AI397" s="123"/>
      <c r="AJ397" s="123"/>
      <c r="AK397" s="123"/>
    </row>
    <row r="398" spans="1:37" ht="14.25" customHeight="1" x14ac:dyDescent="0.2">
      <c r="A398" s="123"/>
      <c r="C398" s="123"/>
      <c r="AB398" s="123"/>
      <c r="AC398" s="123"/>
      <c r="AD398" s="125"/>
      <c r="AE398" s="123"/>
      <c r="AF398" s="123"/>
      <c r="AG398" s="123"/>
      <c r="AH398" s="123"/>
      <c r="AI398" s="123"/>
      <c r="AJ398" s="123"/>
      <c r="AK398" s="123"/>
    </row>
    <row r="399" spans="1:37" ht="14.25" customHeight="1" x14ac:dyDescent="0.2">
      <c r="A399" s="123"/>
      <c r="C399" s="123"/>
      <c r="AB399" s="123"/>
      <c r="AC399" s="123"/>
      <c r="AD399" s="125"/>
      <c r="AE399" s="123"/>
      <c r="AF399" s="123"/>
      <c r="AG399" s="123"/>
      <c r="AH399" s="123"/>
      <c r="AI399" s="123"/>
      <c r="AJ399" s="123"/>
      <c r="AK399" s="123"/>
    </row>
    <row r="400" spans="1:37" ht="14.25" customHeight="1" x14ac:dyDescent="0.2">
      <c r="A400" s="123"/>
      <c r="C400" s="123"/>
      <c r="AB400" s="123"/>
      <c r="AC400" s="123"/>
      <c r="AD400" s="125"/>
      <c r="AE400" s="123"/>
      <c r="AF400" s="123"/>
      <c r="AG400" s="123"/>
      <c r="AH400" s="123"/>
      <c r="AI400" s="123"/>
      <c r="AJ400" s="123"/>
      <c r="AK400" s="123"/>
    </row>
    <row r="401" spans="1:37" ht="14.25" customHeight="1" x14ac:dyDescent="0.2">
      <c r="A401" s="123"/>
      <c r="C401" s="123"/>
      <c r="AB401" s="123"/>
      <c r="AC401" s="123"/>
      <c r="AD401" s="125"/>
      <c r="AE401" s="123"/>
      <c r="AF401" s="123"/>
      <c r="AG401" s="123"/>
      <c r="AH401" s="123"/>
      <c r="AI401" s="123"/>
      <c r="AJ401" s="123"/>
      <c r="AK401" s="123"/>
    </row>
    <row r="402" spans="1:37" ht="14.25" customHeight="1" x14ac:dyDescent="0.2">
      <c r="A402" s="123"/>
      <c r="C402" s="123"/>
      <c r="AB402" s="123"/>
      <c r="AC402" s="123"/>
      <c r="AD402" s="125"/>
      <c r="AE402" s="123"/>
      <c r="AF402" s="123"/>
      <c r="AG402" s="123"/>
      <c r="AH402" s="123"/>
      <c r="AI402" s="123"/>
      <c r="AJ402" s="123"/>
      <c r="AK402" s="123"/>
    </row>
    <row r="403" spans="1:37" ht="14.25" customHeight="1" x14ac:dyDescent="0.2">
      <c r="A403" s="123"/>
      <c r="C403" s="123"/>
      <c r="AB403" s="123"/>
      <c r="AC403" s="123"/>
      <c r="AD403" s="125"/>
      <c r="AE403" s="123"/>
      <c r="AF403" s="123"/>
      <c r="AG403" s="123"/>
      <c r="AH403" s="123"/>
      <c r="AI403" s="123"/>
      <c r="AJ403" s="123"/>
      <c r="AK403" s="123"/>
    </row>
    <row r="404" spans="1:37" ht="14.25" customHeight="1" x14ac:dyDescent="0.2">
      <c r="A404" s="123"/>
      <c r="C404" s="123"/>
      <c r="AB404" s="123"/>
      <c r="AC404" s="123"/>
      <c r="AD404" s="125"/>
      <c r="AE404" s="123"/>
      <c r="AF404" s="123"/>
      <c r="AG404" s="123"/>
      <c r="AH404" s="123"/>
      <c r="AI404" s="123"/>
      <c r="AJ404" s="123"/>
      <c r="AK404" s="123"/>
    </row>
    <row r="405" spans="1:37" ht="14.25" customHeight="1" x14ac:dyDescent="0.2">
      <c r="A405" s="123"/>
      <c r="C405" s="123"/>
      <c r="AB405" s="123"/>
      <c r="AC405" s="123"/>
      <c r="AD405" s="125"/>
      <c r="AE405" s="123"/>
      <c r="AF405" s="123"/>
      <c r="AG405" s="123"/>
      <c r="AH405" s="123"/>
      <c r="AI405" s="123"/>
      <c r="AJ405" s="123"/>
      <c r="AK405" s="123"/>
    </row>
    <row r="406" spans="1:37" ht="14.25" customHeight="1" x14ac:dyDescent="0.2">
      <c r="A406" s="123"/>
      <c r="C406" s="123"/>
      <c r="AB406" s="123"/>
      <c r="AC406" s="123"/>
      <c r="AD406" s="125"/>
      <c r="AE406" s="123"/>
      <c r="AF406" s="123"/>
      <c r="AG406" s="123"/>
      <c r="AH406" s="123"/>
      <c r="AI406" s="123"/>
      <c r="AJ406" s="123"/>
      <c r="AK406" s="123"/>
    </row>
    <row r="407" spans="1:37" ht="14.25" customHeight="1" x14ac:dyDescent="0.2">
      <c r="A407" s="123"/>
      <c r="C407" s="123"/>
      <c r="AB407" s="123"/>
      <c r="AC407" s="123"/>
      <c r="AD407" s="125"/>
      <c r="AE407" s="123"/>
      <c r="AF407" s="123"/>
      <c r="AG407" s="123"/>
      <c r="AH407" s="123"/>
      <c r="AI407" s="123"/>
      <c r="AJ407" s="123"/>
      <c r="AK407" s="123"/>
    </row>
    <row r="408" spans="1:37" ht="14.25" customHeight="1" x14ac:dyDescent="0.2">
      <c r="A408" s="123"/>
      <c r="C408" s="123"/>
      <c r="AB408" s="123"/>
      <c r="AC408" s="123"/>
      <c r="AD408" s="125"/>
      <c r="AE408" s="123"/>
      <c r="AF408" s="123"/>
      <c r="AG408" s="123"/>
      <c r="AH408" s="123"/>
      <c r="AI408" s="123"/>
      <c r="AJ408" s="123"/>
      <c r="AK408" s="123"/>
    </row>
    <row r="409" spans="1:37" ht="14.25" customHeight="1" x14ac:dyDescent="0.2">
      <c r="A409" s="123"/>
      <c r="C409" s="123"/>
      <c r="AB409" s="123"/>
      <c r="AC409" s="123"/>
      <c r="AD409" s="125"/>
      <c r="AE409" s="123"/>
      <c r="AF409" s="123"/>
      <c r="AG409" s="123"/>
      <c r="AH409" s="123"/>
      <c r="AI409" s="123"/>
      <c r="AJ409" s="123"/>
      <c r="AK409" s="123"/>
    </row>
    <row r="410" spans="1:37" ht="14.25" customHeight="1" x14ac:dyDescent="0.2">
      <c r="A410" s="123"/>
      <c r="C410" s="123"/>
      <c r="AB410" s="123"/>
      <c r="AC410" s="123"/>
      <c r="AD410" s="125"/>
      <c r="AE410" s="123"/>
      <c r="AF410" s="123"/>
      <c r="AG410" s="123"/>
      <c r="AH410" s="123"/>
      <c r="AI410" s="123"/>
      <c r="AJ410" s="123"/>
      <c r="AK410" s="123"/>
    </row>
    <row r="411" spans="1:37" ht="14.25" customHeight="1" x14ac:dyDescent="0.2">
      <c r="A411" s="123"/>
      <c r="C411" s="123"/>
      <c r="AB411" s="123"/>
      <c r="AC411" s="123"/>
      <c r="AD411" s="125"/>
      <c r="AE411" s="123"/>
      <c r="AF411" s="123"/>
      <c r="AG411" s="123"/>
      <c r="AH411" s="123"/>
      <c r="AI411" s="123"/>
      <c r="AJ411" s="123"/>
      <c r="AK411" s="123"/>
    </row>
    <row r="412" spans="1:37" ht="14.25" customHeight="1" x14ac:dyDescent="0.2">
      <c r="A412" s="123"/>
      <c r="C412" s="123"/>
      <c r="AB412" s="123"/>
      <c r="AC412" s="123"/>
      <c r="AD412" s="125"/>
      <c r="AE412" s="123"/>
      <c r="AF412" s="123"/>
      <c r="AG412" s="123"/>
      <c r="AH412" s="123"/>
      <c r="AI412" s="123"/>
      <c r="AJ412" s="123"/>
      <c r="AK412" s="123"/>
    </row>
    <row r="413" spans="1:37" ht="14.25" customHeight="1" x14ac:dyDescent="0.2">
      <c r="A413" s="123"/>
      <c r="C413" s="123"/>
      <c r="AB413" s="123"/>
      <c r="AC413" s="123"/>
      <c r="AD413" s="125"/>
      <c r="AE413" s="123"/>
      <c r="AF413" s="123"/>
      <c r="AG413" s="123"/>
      <c r="AH413" s="123"/>
      <c r="AI413" s="123"/>
      <c r="AJ413" s="123"/>
      <c r="AK413" s="123"/>
    </row>
    <row r="414" spans="1:37" ht="14.25" customHeight="1" x14ac:dyDescent="0.2">
      <c r="A414" s="123"/>
      <c r="C414" s="123"/>
      <c r="AB414" s="123"/>
      <c r="AC414" s="123"/>
      <c r="AD414" s="125"/>
      <c r="AE414" s="123"/>
      <c r="AF414" s="123"/>
      <c r="AG414" s="123"/>
      <c r="AH414" s="123"/>
      <c r="AI414" s="123"/>
      <c r="AJ414" s="123"/>
      <c r="AK414" s="123"/>
    </row>
    <row r="415" spans="1:37" ht="14.25" customHeight="1" x14ac:dyDescent="0.2">
      <c r="A415" s="123"/>
      <c r="C415" s="123"/>
      <c r="AB415" s="123"/>
      <c r="AC415" s="123"/>
      <c r="AD415" s="125"/>
      <c r="AE415" s="123"/>
      <c r="AF415" s="123"/>
      <c r="AG415" s="123"/>
      <c r="AH415" s="123"/>
      <c r="AI415" s="123"/>
      <c r="AJ415" s="123"/>
      <c r="AK415" s="123"/>
    </row>
    <row r="416" spans="1:37" ht="14.25" customHeight="1" x14ac:dyDescent="0.2">
      <c r="A416" s="123"/>
      <c r="C416" s="123"/>
      <c r="AB416" s="123"/>
      <c r="AC416" s="123"/>
      <c r="AD416" s="125"/>
      <c r="AE416" s="123"/>
      <c r="AF416" s="123"/>
      <c r="AG416" s="123"/>
      <c r="AH416" s="123"/>
      <c r="AI416" s="123"/>
      <c r="AJ416" s="123"/>
      <c r="AK416" s="123"/>
    </row>
    <row r="417" spans="1:37" ht="14.25" customHeight="1" x14ac:dyDescent="0.2">
      <c r="A417" s="123"/>
      <c r="C417" s="123"/>
      <c r="AB417" s="123"/>
      <c r="AC417" s="123"/>
      <c r="AD417" s="125"/>
      <c r="AE417" s="123"/>
      <c r="AF417" s="123"/>
      <c r="AG417" s="123"/>
      <c r="AH417" s="123"/>
      <c r="AI417" s="123"/>
      <c r="AJ417" s="123"/>
      <c r="AK417" s="123"/>
    </row>
    <row r="418" spans="1:37" ht="14.25" customHeight="1" x14ac:dyDescent="0.2">
      <c r="A418" s="123"/>
      <c r="C418" s="123"/>
      <c r="AB418" s="123"/>
      <c r="AC418" s="123"/>
      <c r="AD418" s="125"/>
      <c r="AE418" s="123"/>
      <c r="AF418" s="123"/>
      <c r="AG418" s="123"/>
      <c r="AH418" s="123"/>
      <c r="AI418" s="123"/>
      <c r="AJ418" s="123"/>
      <c r="AK418" s="123"/>
    </row>
    <row r="419" spans="1:37" ht="14.25" customHeight="1" x14ac:dyDescent="0.2">
      <c r="A419" s="123"/>
      <c r="C419" s="123"/>
      <c r="AB419" s="123"/>
      <c r="AC419" s="123"/>
      <c r="AD419" s="125"/>
      <c r="AE419" s="123"/>
      <c r="AF419" s="123"/>
      <c r="AG419" s="123"/>
      <c r="AH419" s="123"/>
      <c r="AI419" s="123"/>
      <c r="AJ419" s="123"/>
      <c r="AK419" s="123"/>
    </row>
    <row r="420" spans="1:37" ht="14.25" customHeight="1" x14ac:dyDescent="0.2">
      <c r="A420" s="123"/>
      <c r="C420" s="123"/>
      <c r="AB420" s="123"/>
      <c r="AC420" s="123"/>
      <c r="AD420" s="125"/>
      <c r="AE420" s="123"/>
      <c r="AF420" s="123"/>
      <c r="AG420" s="123"/>
      <c r="AH420" s="123"/>
      <c r="AI420" s="123"/>
      <c r="AJ420" s="123"/>
      <c r="AK420" s="123"/>
    </row>
    <row r="421" spans="1:37" ht="14.25" customHeight="1" x14ac:dyDescent="0.2">
      <c r="A421" s="123"/>
      <c r="C421" s="123"/>
      <c r="AB421" s="123"/>
      <c r="AC421" s="123"/>
      <c r="AD421" s="125"/>
      <c r="AE421" s="123"/>
      <c r="AF421" s="123"/>
      <c r="AG421" s="123"/>
      <c r="AH421" s="123"/>
      <c r="AI421" s="123"/>
      <c r="AJ421" s="123"/>
      <c r="AK421" s="123"/>
    </row>
    <row r="422" spans="1:37" ht="14.25" customHeight="1" x14ac:dyDescent="0.2">
      <c r="A422" s="123"/>
      <c r="C422" s="123"/>
      <c r="AB422" s="123"/>
      <c r="AC422" s="123"/>
      <c r="AD422" s="125"/>
      <c r="AE422" s="123"/>
      <c r="AF422" s="123"/>
      <c r="AG422" s="123"/>
      <c r="AH422" s="123"/>
      <c r="AI422" s="123"/>
      <c r="AJ422" s="123"/>
      <c r="AK422" s="123"/>
    </row>
    <row r="423" spans="1:37" ht="14.25" customHeight="1" x14ac:dyDescent="0.2">
      <c r="A423" s="123"/>
      <c r="C423" s="123"/>
      <c r="AB423" s="123"/>
      <c r="AC423" s="123"/>
      <c r="AD423" s="125"/>
      <c r="AE423" s="123"/>
      <c r="AF423" s="123"/>
      <c r="AG423" s="123"/>
      <c r="AH423" s="123"/>
      <c r="AI423" s="123"/>
      <c r="AJ423" s="123"/>
      <c r="AK423" s="123"/>
    </row>
    <row r="424" spans="1:37" ht="14.25" customHeight="1" x14ac:dyDescent="0.2">
      <c r="A424" s="123"/>
      <c r="C424" s="123"/>
      <c r="AB424" s="123"/>
      <c r="AC424" s="123"/>
      <c r="AD424" s="125"/>
      <c r="AE424" s="123"/>
      <c r="AF424" s="123"/>
      <c r="AG424" s="123"/>
      <c r="AH424" s="123"/>
      <c r="AI424" s="123"/>
      <c r="AJ424" s="123"/>
      <c r="AK424" s="123"/>
    </row>
    <row r="425" spans="1:37" ht="14.25" customHeight="1" x14ac:dyDescent="0.2">
      <c r="A425" s="123"/>
      <c r="C425" s="123"/>
      <c r="AB425" s="123"/>
      <c r="AC425" s="123"/>
      <c r="AD425" s="125"/>
      <c r="AE425" s="123"/>
      <c r="AF425" s="123"/>
      <c r="AG425" s="123"/>
      <c r="AH425" s="123"/>
      <c r="AI425" s="123"/>
      <c r="AJ425" s="123"/>
      <c r="AK425" s="123"/>
    </row>
    <row r="426" spans="1:37" ht="14.25" customHeight="1" x14ac:dyDescent="0.2">
      <c r="A426" s="123"/>
      <c r="C426" s="123"/>
      <c r="AB426" s="123"/>
      <c r="AC426" s="123"/>
      <c r="AD426" s="125"/>
      <c r="AE426" s="123"/>
      <c r="AF426" s="123"/>
      <c r="AG426" s="123"/>
      <c r="AH426" s="123"/>
      <c r="AI426" s="123"/>
      <c r="AJ426" s="123"/>
      <c r="AK426" s="123"/>
    </row>
    <row r="427" spans="1:37" ht="14.25" customHeight="1" x14ac:dyDescent="0.2">
      <c r="A427" s="123"/>
      <c r="C427" s="123"/>
      <c r="AB427" s="123"/>
      <c r="AC427" s="123"/>
      <c r="AD427" s="125"/>
      <c r="AE427" s="123"/>
      <c r="AF427" s="123"/>
      <c r="AG427" s="123"/>
      <c r="AH427" s="123"/>
      <c r="AI427" s="123"/>
      <c r="AJ427" s="123"/>
      <c r="AK427" s="123"/>
    </row>
    <row r="428" spans="1:37" ht="14.25" customHeight="1" x14ac:dyDescent="0.2">
      <c r="A428" s="123"/>
      <c r="C428" s="123"/>
      <c r="AB428" s="123"/>
      <c r="AC428" s="123"/>
      <c r="AD428" s="125"/>
      <c r="AE428" s="123"/>
      <c r="AF428" s="123"/>
      <c r="AG428" s="123"/>
      <c r="AH428" s="123"/>
      <c r="AI428" s="123"/>
      <c r="AJ428" s="123"/>
      <c r="AK428" s="123"/>
    </row>
    <row r="429" spans="1:37" ht="14.25" customHeight="1" x14ac:dyDescent="0.2">
      <c r="A429" s="123"/>
      <c r="C429" s="123"/>
      <c r="AB429" s="123"/>
      <c r="AC429" s="123"/>
      <c r="AD429" s="125"/>
      <c r="AE429" s="123"/>
      <c r="AF429" s="123"/>
      <c r="AG429" s="123"/>
      <c r="AH429" s="123"/>
      <c r="AI429" s="123"/>
      <c r="AJ429" s="123"/>
      <c r="AK429" s="123"/>
    </row>
    <row r="430" spans="1:37" ht="14.25" customHeight="1" x14ac:dyDescent="0.2">
      <c r="A430" s="123"/>
      <c r="C430" s="123"/>
      <c r="AB430" s="123"/>
      <c r="AC430" s="123"/>
      <c r="AD430" s="125"/>
      <c r="AE430" s="123"/>
      <c r="AF430" s="123"/>
      <c r="AG430" s="123"/>
      <c r="AH430" s="123"/>
      <c r="AI430" s="123"/>
      <c r="AJ430" s="123"/>
      <c r="AK430" s="123"/>
    </row>
    <row r="431" spans="1:37" ht="14.25" customHeight="1" x14ac:dyDescent="0.2">
      <c r="A431" s="123"/>
      <c r="C431" s="123"/>
      <c r="AB431" s="123"/>
      <c r="AC431" s="123"/>
      <c r="AD431" s="125"/>
      <c r="AE431" s="123"/>
      <c r="AF431" s="123"/>
      <c r="AG431" s="123"/>
      <c r="AH431" s="123"/>
      <c r="AI431" s="123"/>
      <c r="AJ431" s="123"/>
      <c r="AK431" s="123"/>
    </row>
    <row r="432" spans="1:37" ht="14.25" customHeight="1" x14ac:dyDescent="0.2">
      <c r="A432" s="123"/>
      <c r="C432" s="123"/>
      <c r="AB432" s="123"/>
      <c r="AC432" s="123"/>
      <c r="AD432" s="125"/>
      <c r="AE432" s="123"/>
      <c r="AF432" s="123"/>
      <c r="AG432" s="123"/>
      <c r="AH432" s="123"/>
      <c r="AI432" s="123"/>
      <c r="AJ432" s="123"/>
      <c r="AK432" s="123"/>
    </row>
    <row r="433" spans="1:37" ht="14.25" customHeight="1" x14ac:dyDescent="0.2">
      <c r="A433" s="123"/>
      <c r="C433" s="123"/>
      <c r="AB433" s="123"/>
      <c r="AC433" s="123"/>
      <c r="AD433" s="125"/>
      <c r="AE433" s="123"/>
      <c r="AF433" s="123"/>
      <c r="AG433" s="123"/>
      <c r="AH433" s="123"/>
      <c r="AI433" s="123"/>
      <c r="AJ433" s="123"/>
      <c r="AK433" s="123"/>
    </row>
    <row r="434" spans="1:37" ht="14.25" customHeight="1" x14ac:dyDescent="0.2">
      <c r="A434" s="123"/>
      <c r="C434" s="123"/>
      <c r="AB434" s="123"/>
      <c r="AC434" s="123"/>
      <c r="AD434" s="125"/>
      <c r="AE434" s="123"/>
      <c r="AF434" s="123"/>
      <c r="AG434" s="123"/>
      <c r="AH434" s="123"/>
      <c r="AI434" s="123"/>
      <c r="AJ434" s="123"/>
      <c r="AK434" s="123"/>
    </row>
    <row r="435" spans="1:37" ht="14.25" customHeight="1" x14ac:dyDescent="0.2">
      <c r="A435" s="123"/>
      <c r="C435" s="123"/>
      <c r="AB435" s="123"/>
      <c r="AC435" s="123"/>
      <c r="AD435" s="125"/>
      <c r="AE435" s="123"/>
      <c r="AF435" s="123"/>
      <c r="AG435" s="123"/>
      <c r="AH435" s="123"/>
      <c r="AI435" s="123"/>
      <c r="AJ435" s="123"/>
      <c r="AK435" s="123"/>
    </row>
    <row r="436" spans="1:37" ht="14.25" customHeight="1" x14ac:dyDescent="0.2">
      <c r="A436" s="123"/>
      <c r="C436" s="123"/>
      <c r="AB436" s="123"/>
      <c r="AC436" s="123"/>
      <c r="AD436" s="125"/>
      <c r="AE436" s="123"/>
      <c r="AF436" s="123"/>
      <c r="AG436" s="123"/>
      <c r="AH436" s="123"/>
      <c r="AI436" s="123"/>
      <c r="AJ436" s="123"/>
      <c r="AK436" s="123"/>
    </row>
    <row r="437" spans="1:37" ht="14.25" customHeight="1" x14ac:dyDescent="0.2">
      <c r="A437" s="123"/>
      <c r="C437" s="123"/>
      <c r="AB437" s="123"/>
      <c r="AC437" s="123"/>
      <c r="AD437" s="125"/>
      <c r="AE437" s="123"/>
      <c r="AF437" s="123"/>
      <c r="AG437" s="123"/>
      <c r="AH437" s="123"/>
      <c r="AI437" s="123"/>
      <c r="AJ437" s="123"/>
      <c r="AK437" s="123"/>
    </row>
    <row r="438" spans="1:37" ht="14.25" customHeight="1" x14ac:dyDescent="0.2">
      <c r="A438" s="123"/>
      <c r="C438" s="123"/>
      <c r="AB438" s="123"/>
      <c r="AC438" s="123"/>
      <c r="AD438" s="125"/>
      <c r="AE438" s="123"/>
      <c r="AF438" s="123"/>
      <c r="AG438" s="123"/>
      <c r="AH438" s="123"/>
      <c r="AI438" s="123"/>
      <c r="AJ438" s="123"/>
      <c r="AK438" s="123"/>
    </row>
    <row r="439" spans="1:37" ht="14.25" customHeight="1" x14ac:dyDescent="0.2">
      <c r="A439" s="123"/>
      <c r="C439" s="123"/>
      <c r="AB439" s="123"/>
      <c r="AC439" s="123"/>
      <c r="AD439" s="125"/>
      <c r="AE439" s="123"/>
      <c r="AF439" s="123"/>
      <c r="AG439" s="123"/>
      <c r="AH439" s="123"/>
      <c r="AI439" s="123"/>
      <c r="AJ439" s="123"/>
      <c r="AK439" s="123"/>
    </row>
    <row r="440" spans="1:37" ht="14.25" customHeight="1" x14ac:dyDescent="0.2">
      <c r="A440" s="123"/>
      <c r="C440" s="123"/>
      <c r="AB440" s="123"/>
      <c r="AC440" s="123"/>
      <c r="AD440" s="125"/>
      <c r="AE440" s="123"/>
      <c r="AF440" s="123"/>
      <c r="AG440" s="123"/>
      <c r="AH440" s="123"/>
      <c r="AI440" s="123"/>
      <c r="AJ440" s="123"/>
      <c r="AK440" s="123"/>
    </row>
    <row r="441" spans="1:37" ht="14.25" customHeight="1" x14ac:dyDescent="0.2">
      <c r="A441" s="123"/>
      <c r="C441" s="123"/>
      <c r="AB441" s="123"/>
      <c r="AC441" s="123"/>
      <c r="AD441" s="125"/>
      <c r="AE441" s="123"/>
      <c r="AF441" s="123"/>
      <c r="AG441" s="123"/>
      <c r="AH441" s="123"/>
      <c r="AI441" s="123"/>
      <c r="AJ441" s="123"/>
      <c r="AK441" s="123"/>
    </row>
    <row r="442" spans="1:37" ht="14.25" customHeight="1" x14ac:dyDescent="0.2">
      <c r="A442" s="123"/>
      <c r="C442" s="123"/>
      <c r="AB442" s="123"/>
      <c r="AC442" s="123"/>
      <c r="AD442" s="125"/>
      <c r="AE442" s="123"/>
      <c r="AF442" s="123"/>
      <c r="AG442" s="123"/>
      <c r="AH442" s="123"/>
      <c r="AI442" s="123"/>
      <c r="AJ442" s="123"/>
      <c r="AK442" s="123"/>
    </row>
    <row r="443" spans="1:37" ht="14.25" customHeight="1" x14ac:dyDescent="0.2">
      <c r="A443" s="123"/>
      <c r="C443" s="123"/>
      <c r="AB443" s="123"/>
      <c r="AC443" s="123"/>
      <c r="AD443" s="125"/>
      <c r="AE443" s="123"/>
      <c r="AF443" s="123"/>
      <c r="AG443" s="123"/>
      <c r="AH443" s="123"/>
      <c r="AI443" s="123"/>
      <c r="AJ443" s="123"/>
      <c r="AK443" s="123"/>
    </row>
    <row r="444" spans="1:37" ht="14.25" customHeight="1" x14ac:dyDescent="0.2">
      <c r="A444" s="123"/>
      <c r="C444" s="123"/>
      <c r="AB444" s="123"/>
      <c r="AC444" s="123"/>
      <c r="AD444" s="125"/>
      <c r="AE444" s="123"/>
      <c r="AF444" s="123"/>
      <c r="AG444" s="123"/>
      <c r="AH444" s="123"/>
      <c r="AI444" s="123"/>
      <c r="AJ444" s="123"/>
      <c r="AK444" s="123"/>
    </row>
    <row r="445" spans="1:37" ht="14.25" customHeight="1" x14ac:dyDescent="0.2">
      <c r="A445" s="123"/>
      <c r="C445" s="123"/>
      <c r="AB445" s="123"/>
      <c r="AC445" s="123"/>
      <c r="AD445" s="125"/>
      <c r="AE445" s="123"/>
      <c r="AF445" s="123"/>
      <c r="AG445" s="123"/>
      <c r="AH445" s="123"/>
      <c r="AI445" s="123"/>
      <c r="AJ445" s="123"/>
      <c r="AK445" s="123"/>
    </row>
    <row r="446" spans="1:37" ht="14.25" customHeight="1" x14ac:dyDescent="0.2">
      <c r="A446" s="123"/>
      <c r="C446" s="123"/>
      <c r="AB446" s="123"/>
      <c r="AC446" s="123"/>
      <c r="AD446" s="125"/>
      <c r="AE446" s="123"/>
      <c r="AF446" s="123"/>
      <c r="AG446" s="123"/>
      <c r="AH446" s="123"/>
      <c r="AI446" s="123"/>
      <c r="AJ446" s="123"/>
      <c r="AK446" s="123"/>
    </row>
    <row r="447" spans="1:37" ht="14.25" customHeight="1" x14ac:dyDescent="0.2">
      <c r="A447" s="123"/>
      <c r="C447" s="123"/>
      <c r="AB447" s="123"/>
      <c r="AC447" s="123"/>
      <c r="AD447" s="125"/>
      <c r="AE447" s="123"/>
      <c r="AF447" s="123"/>
      <c r="AG447" s="123"/>
      <c r="AH447" s="123"/>
      <c r="AI447" s="123"/>
      <c r="AJ447" s="123"/>
      <c r="AK447" s="123"/>
    </row>
    <row r="448" spans="1:37" ht="14.25" customHeight="1" x14ac:dyDescent="0.2">
      <c r="A448" s="123"/>
      <c r="C448" s="123"/>
      <c r="AB448" s="123"/>
      <c r="AC448" s="123"/>
      <c r="AD448" s="125"/>
      <c r="AE448" s="123"/>
      <c r="AF448" s="123"/>
      <c r="AG448" s="123"/>
      <c r="AH448" s="123"/>
      <c r="AI448" s="123"/>
      <c r="AJ448" s="123"/>
      <c r="AK448" s="123"/>
    </row>
    <row r="449" spans="1:37" ht="14.25" customHeight="1" x14ac:dyDescent="0.2">
      <c r="A449" s="123"/>
      <c r="C449" s="123"/>
      <c r="AB449" s="123"/>
      <c r="AC449" s="123"/>
      <c r="AD449" s="125"/>
      <c r="AE449" s="123"/>
      <c r="AF449" s="123"/>
      <c r="AG449" s="123"/>
      <c r="AH449" s="123"/>
      <c r="AI449" s="123"/>
      <c r="AJ449" s="123"/>
      <c r="AK449" s="123"/>
    </row>
    <row r="450" spans="1:37" ht="14.25" customHeight="1" x14ac:dyDescent="0.2">
      <c r="A450" s="123"/>
      <c r="C450" s="123"/>
      <c r="AB450" s="123"/>
      <c r="AC450" s="123"/>
      <c r="AD450" s="125"/>
      <c r="AE450" s="123"/>
      <c r="AF450" s="123"/>
      <c r="AG450" s="123"/>
      <c r="AH450" s="123"/>
      <c r="AI450" s="123"/>
      <c r="AJ450" s="123"/>
      <c r="AK450" s="123"/>
    </row>
    <row r="451" spans="1:37" ht="14.25" customHeight="1" x14ac:dyDescent="0.2">
      <c r="A451" s="123"/>
      <c r="C451" s="123"/>
      <c r="AB451" s="123"/>
      <c r="AC451" s="123"/>
      <c r="AD451" s="125"/>
      <c r="AE451" s="123"/>
      <c r="AF451" s="123"/>
      <c r="AG451" s="123"/>
      <c r="AH451" s="123"/>
      <c r="AI451" s="123"/>
      <c r="AJ451" s="123"/>
      <c r="AK451" s="123"/>
    </row>
    <row r="452" spans="1:37" ht="14.25" customHeight="1" x14ac:dyDescent="0.2">
      <c r="A452" s="123"/>
      <c r="C452" s="123"/>
      <c r="AB452" s="123"/>
      <c r="AC452" s="123"/>
      <c r="AD452" s="125"/>
      <c r="AE452" s="123"/>
      <c r="AF452" s="123"/>
      <c r="AG452" s="123"/>
      <c r="AH452" s="123"/>
      <c r="AI452" s="123"/>
      <c r="AJ452" s="123"/>
      <c r="AK452" s="123"/>
    </row>
    <row r="453" spans="1:37" ht="14.25" customHeight="1" x14ac:dyDescent="0.2">
      <c r="A453" s="123"/>
      <c r="C453" s="123"/>
      <c r="AB453" s="123"/>
      <c r="AC453" s="123"/>
      <c r="AD453" s="125"/>
      <c r="AE453" s="123"/>
      <c r="AF453" s="123"/>
      <c r="AG453" s="123"/>
      <c r="AH453" s="123"/>
      <c r="AI453" s="123"/>
      <c r="AJ453" s="123"/>
      <c r="AK453" s="123"/>
    </row>
    <row r="454" spans="1:37" ht="14.25" customHeight="1" x14ac:dyDescent="0.2">
      <c r="A454" s="123"/>
      <c r="C454" s="123"/>
      <c r="AB454" s="123"/>
      <c r="AC454" s="123"/>
      <c r="AD454" s="125"/>
      <c r="AE454" s="123"/>
      <c r="AF454" s="123"/>
      <c r="AG454" s="123"/>
      <c r="AH454" s="123"/>
      <c r="AI454" s="123"/>
      <c r="AJ454" s="123"/>
      <c r="AK454" s="123"/>
    </row>
    <row r="455" spans="1:37" ht="14.25" customHeight="1" x14ac:dyDescent="0.2">
      <c r="A455" s="123"/>
      <c r="C455" s="123"/>
      <c r="AB455" s="123"/>
      <c r="AC455" s="123"/>
      <c r="AD455" s="125"/>
      <c r="AE455" s="123"/>
      <c r="AF455" s="123"/>
      <c r="AG455" s="123"/>
      <c r="AH455" s="123"/>
      <c r="AI455" s="123"/>
      <c r="AJ455" s="123"/>
      <c r="AK455" s="123"/>
    </row>
    <row r="456" spans="1:37" ht="14.25" customHeight="1" x14ac:dyDescent="0.2">
      <c r="A456" s="123"/>
      <c r="C456" s="123"/>
      <c r="AB456" s="123"/>
      <c r="AC456" s="123"/>
      <c r="AD456" s="125"/>
      <c r="AE456" s="123"/>
      <c r="AF456" s="123"/>
      <c r="AG456" s="123"/>
      <c r="AH456" s="123"/>
      <c r="AI456" s="123"/>
      <c r="AJ456" s="123"/>
      <c r="AK456" s="123"/>
    </row>
    <row r="457" spans="1:37" ht="14.25" customHeight="1" x14ac:dyDescent="0.2">
      <c r="A457" s="123"/>
      <c r="C457" s="123"/>
      <c r="AB457" s="123"/>
      <c r="AC457" s="123"/>
      <c r="AD457" s="125"/>
      <c r="AE457" s="123"/>
      <c r="AF457" s="123"/>
      <c r="AG457" s="123"/>
      <c r="AH457" s="123"/>
      <c r="AI457" s="123"/>
      <c r="AJ457" s="123"/>
      <c r="AK457" s="123"/>
    </row>
    <row r="458" spans="1:37" ht="14.25" customHeight="1" x14ac:dyDescent="0.2">
      <c r="A458" s="123"/>
      <c r="C458" s="123"/>
      <c r="AB458" s="123"/>
      <c r="AC458" s="123"/>
      <c r="AD458" s="125"/>
      <c r="AE458" s="123"/>
      <c r="AF458" s="123"/>
      <c r="AG458" s="123"/>
      <c r="AH458" s="123"/>
      <c r="AI458" s="123"/>
      <c r="AJ458" s="123"/>
      <c r="AK458" s="123"/>
    </row>
    <row r="459" spans="1:37" ht="14.25" customHeight="1" x14ac:dyDescent="0.2">
      <c r="A459" s="123"/>
      <c r="C459" s="123"/>
      <c r="AB459" s="123"/>
      <c r="AC459" s="123"/>
      <c r="AD459" s="125"/>
      <c r="AE459" s="123"/>
      <c r="AF459" s="123"/>
      <c r="AG459" s="123"/>
      <c r="AH459" s="123"/>
      <c r="AI459" s="123"/>
      <c r="AJ459" s="123"/>
      <c r="AK459" s="123"/>
    </row>
    <row r="460" spans="1:37" ht="14.25" customHeight="1" x14ac:dyDescent="0.2">
      <c r="A460" s="123"/>
      <c r="C460" s="123"/>
      <c r="AB460" s="123"/>
      <c r="AC460" s="123"/>
      <c r="AD460" s="125"/>
      <c r="AE460" s="123"/>
      <c r="AF460" s="123"/>
      <c r="AG460" s="123"/>
      <c r="AH460" s="123"/>
      <c r="AI460" s="123"/>
      <c r="AJ460" s="123"/>
      <c r="AK460" s="123"/>
    </row>
    <row r="461" spans="1:37" ht="14.25" customHeight="1" x14ac:dyDescent="0.2">
      <c r="A461" s="123"/>
      <c r="C461" s="123"/>
      <c r="AB461" s="123"/>
      <c r="AC461" s="123"/>
      <c r="AD461" s="125"/>
      <c r="AE461" s="123"/>
      <c r="AF461" s="123"/>
      <c r="AG461" s="123"/>
      <c r="AH461" s="123"/>
      <c r="AI461" s="123"/>
      <c r="AJ461" s="123"/>
      <c r="AK461" s="123"/>
    </row>
    <row r="462" spans="1:37" ht="14.25" customHeight="1" x14ac:dyDescent="0.2">
      <c r="A462" s="123"/>
      <c r="C462" s="123"/>
      <c r="AB462" s="123"/>
      <c r="AC462" s="123"/>
      <c r="AD462" s="125"/>
      <c r="AE462" s="123"/>
      <c r="AF462" s="123"/>
      <c r="AG462" s="123"/>
      <c r="AH462" s="123"/>
      <c r="AI462" s="123"/>
      <c r="AJ462" s="123"/>
      <c r="AK462" s="123"/>
    </row>
    <row r="463" spans="1:37" ht="14.25" customHeight="1" x14ac:dyDescent="0.2">
      <c r="A463" s="123"/>
      <c r="C463" s="123"/>
      <c r="AB463" s="123"/>
      <c r="AC463" s="123"/>
      <c r="AD463" s="125"/>
      <c r="AE463" s="123"/>
      <c r="AF463" s="123"/>
      <c r="AG463" s="123"/>
      <c r="AH463" s="123"/>
      <c r="AI463" s="123"/>
      <c r="AJ463" s="123"/>
      <c r="AK463" s="123"/>
    </row>
    <row r="464" spans="1:37" ht="14.25" customHeight="1" x14ac:dyDescent="0.2">
      <c r="A464" s="123"/>
      <c r="C464" s="123"/>
      <c r="AB464" s="123"/>
      <c r="AC464" s="123"/>
      <c r="AD464" s="125"/>
      <c r="AE464" s="123"/>
      <c r="AF464" s="123"/>
      <c r="AG464" s="123"/>
      <c r="AH464" s="123"/>
      <c r="AI464" s="123"/>
      <c r="AJ464" s="123"/>
      <c r="AK464" s="123"/>
    </row>
    <row r="465" spans="1:37" ht="14.25" customHeight="1" x14ac:dyDescent="0.2">
      <c r="A465" s="123"/>
      <c r="C465" s="123"/>
      <c r="AB465" s="123"/>
      <c r="AC465" s="123"/>
      <c r="AD465" s="125"/>
      <c r="AE465" s="123"/>
      <c r="AF465" s="123"/>
      <c r="AG465" s="123"/>
      <c r="AH465" s="123"/>
      <c r="AI465" s="123"/>
      <c r="AJ465" s="123"/>
      <c r="AK465" s="123"/>
    </row>
    <row r="466" spans="1:37" ht="14.25" customHeight="1" x14ac:dyDescent="0.2">
      <c r="A466" s="123"/>
      <c r="C466" s="123"/>
      <c r="AB466" s="123"/>
      <c r="AC466" s="123"/>
      <c r="AD466" s="125"/>
      <c r="AE466" s="123"/>
      <c r="AF466" s="123"/>
      <c r="AG466" s="123"/>
      <c r="AH466" s="123"/>
      <c r="AI466" s="123"/>
      <c r="AJ466" s="123"/>
      <c r="AK466" s="123"/>
    </row>
    <row r="467" spans="1:37" ht="14.25" customHeight="1" x14ac:dyDescent="0.2">
      <c r="A467" s="123"/>
      <c r="C467" s="123"/>
      <c r="AB467" s="123"/>
      <c r="AC467" s="123"/>
      <c r="AD467" s="125"/>
      <c r="AE467" s="123"/>
      <c r="AF467" s="123"/>
      <c r="AG467" s="123"/>
      <c r="AH467" s="123"/>
      <c r="AI467" s="123"/>
      <c r="AJ467" s="123"/>
      <c r="AK467" s="123"/>
    </row>
    <row r="468" spans="1:37" ht="14.25" customHeight="1" x14ac:dyDescent="0.2">
      <c r="A468" s="123"/>
      <c r="C468" s="123"/>
      <c r="AB468" s="123"/>
      <c r="AC468" s="123"/>
      <c r="AD468" s="125"/>
      <c r="AE468" s="123"/>
      <c r="AF468" s="123"/>
      <c r="AG468" s="123"/>
      <c r="AH468" s="123"/>
      <c r="AI468" s="123"/>
      <c r="AJ468" s="123"/>
      <c r="AK468" s="123"/>
    </row>
    <row r="469" spans="1:37" ht="14.25" customHeight="1" x14ac:dyDescent="0.2">
      <c r="A469" s="123"/>
      <c r="C469" s="123"/>
      <c r="AB469" s="123"/>
      <c r="AC469" s="123"/>
      <c r="AD469" s="125"/>
      <c r="AE469" s="123"/>
      <c r="AF469" s="123"/>
      <c r="AG469" s="123"/>
      <c r="AH469" s="123"/>
      <c r="AI469" s="123"/>
      <c r="AJ469" s="123"/>
      <c r="AK469" s="123"/>
    </row>
    <row r="470" spans="1:37" ht="14.25" customHeight="1" x14ac:dyDescent="0.2">
      <c r="A470" s="123"/>
      <c r="C470" s="123"/>
      <c r="AB470" s="123"/>
      <c r="AC470" s="123"/>
      <c r="AD470" s="125"/>
      <c r="AE470" s="123"/>
      <c r="AF470" s="123"/>
      <c r="AG470" s="123"/>
      <c r="AH470" s="123"/>
      <c r="AI470" s="123"/>
      <c r="AJ470" s="123"/>
      <c r="AK470" s="123"/>
    </row>
    <row r="471" spans="1:37" ht="14.25" customHeight="1" x14ac:dyDescent="0.2">
      <c r="A471" s="123"/>
      <c r="C471" s="123"/>
      <c r="AB471" s="123"/>
      <c r="AC471" s="123"/>
      <c r="AD471" s="125"/>
      <c r="AE471" s="123"/>
      <c r="AF471" s="123"/>
      <c r="AG471" s="123"/>
      <c r="AH471" s="123"/>
      <c r="AI471" s="123"/>
      <c r="AJ471" s="123"/>
      <c r="AK471" s="123"/>
    </row>
    <row r="472" spans="1:37" ht="14.25" customHeight="1" x14ac:dyDescent="0.2">
      <c r="A472" s="123"/>
      <c r="C472" s="123"/>
      <c r="AB472" s="123"/>
      <c r="AC472" s="123"/>
      <c r="AD472" s="125"/>
      <c r="AE472" s="123"/>
      <c r="AF472" s="123"/>
      <c r="AG472" s="123"/>
      <c r="AH472" s="123"/>
      <c r="AI472" s="123"/>
      <c r="AJ472" s="123"/>
      <c r="AK472" s="123"/>
    </row>
    <row r="473" spans="1:37" ht="14.25" customHeight="1" x14ac:dyDescent="0.2">
      <c r="A473" s="123"/>
      <c r="C473" s="123"/>
      <c r="AB473" s="123"/>
      <c r="AC473" s="123"/>
      <c r="AD473" s="125"/>
      <c r="AE473" s="123"/>
      <c r="AF473" s="123"/>
      <c r="AG473" s="123"/>
      <c r="AH473" s="123"/>
      <c r="AI473" s="123"/>
      <c r="AJ473" s="123"/>
      <c r="AK473" s="123"/>
    </row>
    <row r="474" spans="1:37" ht="14.25" customHeight="1" x14ac:dyDescent="0.2">
      <c r="A474" s="123"/>
      <c r="C474" s="123"/>
      <c r="AB474" s="123"/>
      <c r="AC474" s="123"/>
      <c r="AD474" s="125"/>
      <c r="AE474" s="123"/>
      <c r="AF474" s="123"/>
      <c r="AG474" s="123"/>
      <c r="AH474" s="123"/>
      <c r="AI474" s="123"/>
      <c r="AJ474" s="123"/>
      <c r="AK474" s="123"/>
    </row>
    <row r="475" spans="1:37" ht="14.25" customHeight="1" x14ac:dyDescent="0.2">
      <c r="A475" s="123"/>
      <c r="C475" s="123"/>
      <c r="AB475" s="123"/>
      <c r="AC475" s="123"/>
      <c r="AD475" s="125"/>
      <c r="AE475" s="123"/>
      <c r="AF475" s="123"/>
      <c r="AG475" s="123"/>
      <c r="AH475" s="123"/>
      <c r="AI475" s="123"/>
      <c r="AJ475" s="123"/>
      <c r="AK475" s="123"/>
    </row>
    <row r="476" spans="1:37" ht="14.25" customHeight="1" x14ac:dyDescent="0.2">
      <c r="A476" s="123"/>
      <c r="C476" s="123"/>
      <c r="AB476" s="123"/>
      <c r="AC476" s="123"/>
      <c r="AD476" s="125"/>
      <c r="AE476" s="123"/>
      <c r="AF476" s="123"/>
      <c r="AG476" s="123"/>
      <c r="AH476" s="123"/>
      <c r="AI476" s="123"/>
      <c r="AJ476" s="123"/>
      <c r="AK476" s="123"/>
    </row>
    <row r="477" spans="1:37" ht="14.25" customHeight="1" x14ac:dyDescent="0.2">
      <c r="A477" s="123"/>
      <c r="C477" s="123"/>
      <c r="AB477" s="123"/>
      <c r="AC477" s="123"/>
      <c r="AD477" s="125"/>
      <c r="AE477" s="123"/>
      <c r="AF477" s="123"/>
      <c r="AG477" s="123"/>
      <c r="AH477" s="123"/>
      <c r="AI477" s="123"/>
      <c r="AJ477" s="123"/>
      <c r="AK477" s="123"/>
    </row>
    <row r="478" spans="1:37" ht="14.25" customHeight="1" x14ac:dyDescent="0.2">
      <c r="A478" s="123"/>
      <c r="C478" s="123"/>
      <c r="AB478" s="123"/>
      <c r="AC478" s="123"/>
      <c r="AD478" s="125"/>
      <c r="AE478" s="123"/>
      <c r="AF478" s="123"/>
      <c r="AG478" s="123"/>
      <c r="AH478" s="123"/>
      <c r="AI478" s="123"/>
      <c r="AJ478" s="123"/>
      <c r="AK478" s="123"/>
    </row>
    <row r="479" spans="1:37" ht="14.25" customHeight="1" x14ac:dyDescent="0.2">
      <c r="A479" s="123"/>
      <c r="C479" s="123"/>
      <c r="AB479" s="123"/>
      <c r="AC479" s="123"/>
      <c r="AD479" s="125"/>
      <c r="AE479" s="123"/>
      <c r="AF479" s="123"/>
      <c r="AG479" s="123"/>
      <c r="AH479" s="123"/>
      <c r="AI479" s="123"/>
      <c r="AJ479" s="123"/>
      <c r="AK479" s="123"/>
    </row>
    <row r="480" spans="1:37" ht="14.25" customHeight="1" x14ac:dyDescent="0.2">
      <c r="A480" s="123"/>
      <c r="C480" s="123"/>
      <c r="AB480" s="123"/>
      <c r="AC480" s="123"/>
      <c r="AD480" s="125"/>
      <c r="AE480" s="123"/>
      <c r="AF480" s="123"/>
      <c r="AG480" s="123"/>
      <c r="AH480" s="123"/>
      <c r="AI480" s="123"/>
      <c r="AJ480" s="123"/>
      <c r="AK480" s="123"/>
    </row>
    <row r="481" spans="1:37" ht="14.25" customHeight="1" x14ac:dyDescent="0.2">
      <c r="A481" s="123"/>
      <c r="C481" s="123"/>
      <c r="AB481" s="123"/>
      <c r="AC481" s="123"/>
      <c r="AD481" s="125"/>
      <c r="AE481" s="123"/>
      <c r="AF481" s="123"/>
      <c r="AG481" s="123"/>
      <c r="AH481" s="123"/>
      <c r="AI481" s="123"/>
      <c r="AJ481" s="123"/>
      <c r="AK481" s="123"/>
    </row>
    <row r="482" spans="1:37" ht="14.25" customHeight="1" x14ac:dyDescent="0.2">
      <c r="A482" s="123"/>
      <c r="C482" s="123"/>
      <c r="AB482" s="123"/>
      <c r="AC482" s="123"/>
      <c r="AD482" s="125"/>
      <c r="AE482" s="123"/>
      <c r="AF482" s="123"/>
      <c r="AG482" s="123"/>
      <c r="AH482" s="123"/>
      <c r="AI482" s="123"/>
      <c r="AJ482" s="123"/>
      <c r="AK482" s="123"/>
    </row>
    <row r="483" spans="1:37" ht="14.25" customHeight="1" x14ac:dyDescent="0.2">
      <c r="A483" s="123"/>
      <c r="C483" s="123"/>
      <c r="AB483" s="123"/>
      <c r="AC483" s="123"/>
      <c r="AD483" s="125"/>
      <c r="AE483" s="123"/>
      <c r="AF483" s="123"/>
      <c r="AG483" s="123"/>
      <c r="AH483" s="123"/>
      <c r="AI483" s="123"/>
      <c r="AJ483" s="123"/>
      <c r="AK483" s="123"/>
    </row>
    <row r="484" spans="1:37" ht="14.25" customHeight="1" x14ac:dyDescent="0.2">
      <c r="A484" s="123"/>
      <c r="C484" s="123"/>
      <c r="AB484" s="123"/>
      <c r="AC484" s="123"/>
      <c r="AD484" s="125"/>
      <c r="AE484" s="123"/>
      <c r="AF484" s="123"/>
      <c r="AG484" s="123"/>
      <c r="AH484" s="123"/>
      <c r="AI484" s="123"/>
      <c r="AJ484" s="123"/>
      <c r="AK484" s="123"/>
    </row>
    <row r="485" spans="1:37" ht="14.25" customHeight="1" x14ac:dyDescent="0.2">
      <c r="A485" s="123"/>
      <c r="C485" s="123"/>
      <c r="AB485" s="123"/>
      <c r="AC485" s="123"/>
      <c r="AD485" s="125"/>
      <c r="AE485" s="123"/>
      <c r="AF485" s="123"/>
      <c r="AG485" s="123"/>
      <c r="AH485" s="123"/>
      <c r="AI485" s="123"/>
      <c r="AJ485" s="123"/>
      <c r="AK485" s="123"/>
    </row>
    <row r="486" spans="1:37" ht="14.25" customHeight="1" x14ac:dyDescent="0.2">
      <c r="A486" s="123"/>
      <c r="C486" s="123"/>
      <c r="AB486" s="123"/>
      <c r="AC486" s="123"/>
      <c r="AD486" s="125"/>
      <c r="AE486" s="123"/>
      <c r="AF486" s="123"/>
      <c r="AG486" s="123"/>
      <c r="AH486" s="123"/>
      <c r="AI486" s="123"/>
      <c r="AJ486" s="123"/>
      <c r="AK486" s="123"/>
    </row>
    <row r="487" spans="1:37" ht="14.25" customHeight="1" x14ac:dyDescent="0.2">
      <c r="A487" s="123"/>
      <c r="C487" s="123"/>
      <c r="AB487" s="123"/>
      <c r="AC487" s="123"/>
      <c r="AD487" s="125"/>
      <c r="AE487" s="123"/>
      <c r="AF487" s="123"/>
      <c r="AG487" s="123"/>
      <c r="AH487" s="123"/>
      <c r="AI487" s="123"/>
      <c r="AJ487" s="123"/>
      <c r="AK487" s="123"/>
    </row>
    <row r="488" spans="1:37" ht="14.25" customHeight="1" x14ac:dyDescent="0.2">
      <c r="A488" s="123"/>
      <c r="C488" s="123"/>
      <c r="AB488" s="123"/>
      <c r="AC488" s="123"/>
      <c r="AD488" s="125"/>
      <c r="AE488" s="123"/>
      <c r="AF488" s="123"/>
      <c r="AG488" s="123"/>
      <c r="AH488" s="123"/>
      <c r="AI488" s="123"/>
      <c r="AJ488" s="123"/>
      <c r="AK488" s="123"/>
    </row>
    <row r="489" spans="1:37" ht="14.25" customHeight="1" x14ac:dyDescent="0.2">
      <c r="A489" s="123"/>
      <c r="C489" s="123"/>
      <c r="AB489" s="123"/>
      <c r="AC489" s="123"/>
      <c r="AD489" s="125"/>
      <c r="AE489" s="123"/>
      <c r="AF489" s="123"/>
      <c r="AG489" s="123"/>
      <c r="AH489" s="123"/>
      <c r="AI489" s="123"/>
      <c r="AJ489" s="123"/>
      <c r="AK489" s="123"/>
    </row>
    <row r="490" spans="1:37" ht="14.25" customHeight="1" x14ac:dyDescent="0.2">
      <c r="A490" s="123"/>
      <c r="C490" s="123"/>
      <c r="AB490" s="123"/>
      <c r="AC490" s="123"/>
      <c r="AD490" s="125"/>
      <c r="AE490" s="123"/>
      <c r="AF490" s="123"/>
      <c r="AG490" s="123"/>
      <c r="AH490" s="123"/>
      <c r="AI490" s="123"/>
      <c r="AJ490" s="123"/>
      <c r="AK490" s="123"/>
    </row>
    <row r="491" spans="1:37" ht="14.25" customHeight="1" x14ac:dyDescent="0.2">
      <c r="A491" s="123"/>
      <c r="C491" s="123"/>
      <c r="AB491" s="123"/>
      <c r="AC491" s="123"/>
      <c r="AD491" s="125"/>
      <c r="AE491" s="123"/>
      <c r="AF491" s="123"/>
      <c r="AG491" s="123"/>
      <c r="AH491" s="123"/>
      <c r="AI491" s="123"/>
      <c r="AJ491" s="123"/>
      <c r="AK491" s="123"/>
    </row>
    <row r="492" spans="1:37" ht="14.25" customHeight="1" x14ac:dyDescent="0.2">
      <c r="A492" s="123"/>
      <c r="C492" s="123"/>
      <c r="AB492" s="123"/>
      <c r="AC492" s="123"/>
      <c r="AD492" s="125"/>
      <c r="AE492" s="123"/>
      <c r="AF492" s="123"/>
      <c r="AG492" s="123"/>
      <c r="AH492" s="123"/>
      <c r="AI492" s="123"/>
      <c r="AJ492" s="123"/>
      <c r="AK492" s="123"/>
    </row>
    <row r="493" spans="1:37" ht="14.25" customHeight="1" x14ac:dyDescent="0.2">
      <c r="A493" s="123"/>
      <c r="C493" s="123"/>
      <c r="AB493" s="123"/>
      <c r="AC493" s="123"/>
      <c r="AD493" s="125"/>
      <c r="AE493" s="123"/>
      <c r="AF493" s="123"/>
      <c r="AG493" s="123"/>
      <c r="AH493" s="123"/>
      <c r="AI493" s="123"/>
      <c r="AJ493" s="123"/>
      <c r="AK493" s="123"/>
    </row>
    <row r="494" spans="1:37" ht="14.25" customHeight="1" x14ac:dyDescent="0.2">
      <c r="A494" s="123"/>
      <c r="C494" s="123"/>
      <c r="AB494" s="123"/>
      <c r="AC494" s="123"/>
      <c r="AD494" s="125"/>
      <c r="AE494" s="123"/>
      <c r="AF494" s="123"/>
      <c r="AG494" s="123"/>
      <c r="AH494" s="123"/>
      <c r="AI494" s="123"/>
      <c r="AJ494" s="123"/>
      <c r="AK494" s="123"/>
    </row>
    <row r="495" spans="1:37" ht="14.25" customHeight="1" x14ac:dyDescent="0.2">
      <c r="A495" s="123"/>
      <c r="C495" s="123"/>
      <c r="AB495" s="123"/>
      <c r="AC495" s="123"/>
      <c r="AD495" s="125"/>
      <c r="AE495" s="123"/>
      <c r="AF495" s="123"/>
      <c r="AG495" s="123"/>
      <c r="AH495" s="123"/>
      <c r="AI495" s="123"/>
      <c r="AJ495" s="123"/>
      <c r="AK495" s="123"/>
    </row>
    <row r="496" spans="1:37" ht="14.25" customHeight="1" x14ac:dyDescent="0.2">
      <c r="A496" s="123"/>
      <c r="C496" s="123"/>
      <c r="AB496" s="123"/>
      <c r="AC496" s="123"/>
      <c r="AD496" s="125"/>
      <c r="AE496" s="123"/>
      <c r="AF496" s="123"/>
      <c r="AG496" s="123"/>
      <c r="AH496" s="123"/>
      <c r="AI496" s="123"/>
      <c r="AJ496" s="123"/>
      <c r="AK496" s="123"/>
    </row>
    <row r="497" spans="1:37" ht="14.25" customHeight="1" x14ac:dyDescent="0.2">
      <c r="A497" s="123"/>
      <c r="C497" s="123"/>
      <c r="AB497" s="123"/>
      <c r="AC497" s="123"/>
      <c r="AD497" s="125"/>
      <c r="AE497" s="123"/>
      <c r="AF497" s="123"/>
      <c r="AG497" s="123"/>
      <c r="AH497" s="123"/>
      <c r="AI497" s="123"/>
      <c r="AJ497" s="123"/>
      <c r="AK497" s="123"/>
    </row>
    <row r="498" spans="1:37" ht="14.25" customHeight="1" x14ac:dyDescent="0.2">
      <c r="A498" s="123"/>
      <c r="C498" s="123"/>
      <c r="AB498" s="123"/>
      <c r="AC498" s="123"/>
      <c r="AD498" s="125"/>
      <c r="AE498" s="123"/>
      <c r="AF498" s="123"/>
      <c r="AG498" s="123"/>
      <c r="AH498" s="123"/>
      <c r="AI498" s="123"/>
      <c r="AJ498" s="123"/>
      <c r="AK498" s="123"/>
    </row>
    <row r="499" spans="1:37" ht="14.25" customHeight="1" x14ac:dyDescent="0.2">
      <c r="A499" s="123"/>
      <c r="C499" s="123"/>
      <c r="AB499" s="123"/>
      <c r="AC499" s="123"/>
      <c r="AD499" s="125"/>
      <c r="AE499" s="123"/>
      <c r="AF499" s="123"/>
      <c r="AG499" s="123"/>
      <c r="AH499" s="123"/>
      <c r="AI499" s="123"/>
      <c r="AJ499" s="123"/>
      <c r="AK499" s="123"/>
    </row>
    <row r="500" spans="1:37" ht="14.25" customHeight="1" x14ac:dyDescent="0.2">
      <c r="A500" s="123"/>
      <c r="C500" s="123"/>
      <c r="AB500" s="123"/>
      <c r="AC500" s="123"/>
      <c r="AD500" s="125"/>
      <c r="AE500" s="123"/>
      <c r="AF500" s="123"/>
      <c r="AG500" s="123"/>
      <c r="AH500" s="123"/>
      <c r="AI500" s="123"/>
      <c r="AJ500" s="123"/>
      <c r="AK500" s="123"/>
    </row>
    <row r="501" spans="1:37" ht="14.25" customHeight="1" x14ac:dyDescent="0.2">
      <c r="A501" s="123"/>
      <c r="C501" s="123"/>
      <c r="AB501" s="123"/>
      <c r="AC501" s="123"/>
      <c r="AD501" s="125"/>
      <c r="AE501" s="123"/>
      <c r="AF501" s="123"/>
      <c r="AG501" s="123"/>
      <c r="AH501" s="123"/>
      <c r="AI501" s="123"/>
      <c r="AJ501" s="123"/>
      <c r="AK501" s="123"/>
    </row>
    <row r="502" spans="1:37" ht="14.25" customHeight="1" x14ac:dyDescent="0.2">
      <c r="A502" s="123"/>
      <c r="C502" s="123"/>
      <c r="AB502" s="123"/>
      <c r="AC502" s="123"/>
      <c r="AD502" s="125"/>
      <c r="AE502" s="123"/>
      <c r="AF502" s="123"/>
      <c r="AG502" s="123"/>
      <c r="AH502" s="123"/>
      <c r="AI502" s="123"/>
      <c r="AJ502" s="123"/>
      <c r="AK502" s="123"/>
    </row>
    <row r="503" spans="1:37" ht="14.25" customHeight="1" x14ac:dyDescent="0.2">
      <c r="A503" s="123"/>
      <c r="C503" s="123"/>
      <c r="AB503" s="123"/>
      <c r="AC503" s="123"/>
      <c r="AD503" s="125"/>
      <c r="AE503" s="123"/>
      <c r="AF503" s="123"/>
      <c r="AG503" s="123"/>
      <c r="AH503" s="123"/>
      <c r="AI503" s="123"/>
      <c r="AJ503" s="123"/>
      <c r="AK503" s="123"/>
    </row>
    <row r="504" spans="1:37" ht="14.25" customHeight="1" x14ac:dyDescent="0.2">
      <c r="A504" s="123"/>
      <c r="C504" s="123"/>
      <c r="AB504" s="123"/>
      <c r="AC504" s="123"/>
      <c r="AD504" s="125"/>
      <c r="AE504" s="123"/>
      <c r="AF504" s="123"/>
      <c r="AG504" s="123"/>
      <c r="AH504" s="123"/>
      <c r="AI504" s="123"/>
      <c r="AJ504" s="123"/>
      <c r="AK504" s="123"/>
    </row>
    <row r="505" spans="1:37" ht="14.25" customHeight="1" x14ac:dyDescent="0.2">
      <c r="A505" s="123"/>
      <c r="C505" s="123"/>
      <c r="AB505" s="123"/>
      <c r="AC505" s="123"/>
      <c r="AD505" s="125"/>
      <c r="AE505" s="123"/>
      <c r="AF505" s="123"/>
      <c r="AG505" s="123"/>
      <c r="AH505" s="123"/>
      <c r="AI505" s="123"/>
      <c r="AJ505" s="123"/>
      <c r="AK505" s="123"/>
    </row>
    <row r="506" spans="1:37" ht="14.25" customHeight="1" x14ac:dyDescent="0.2">
      <c r="A506" s="123"/>
      <c r="C506" s="123"/>
      <c r="AB506" s="123"/>
      <c r="AC506" s="123"/>
      <c r="AD506" s="125"/>
      <c r="AE506" s="123"/>
      <c r="AF506" s="123"/>
      <c r="AG506" s="123"/>
      <c r="AH506" s="123"/>
      <c r="AI506" s="123"/>
      <c r="AJ506" s="123"/>
      <c r="AK506" s="123"/>
    </row>
    <row r="507" spans="1:37" ht="14.25" customHeight="1" x14ac:dyDescent="0.2">
      <c r="A507" s="123"/>
      <c r="C507" s="123"/>
      <c r="AB507" s="123"/>
      <c r="AC507" s="123"/>
      <c r="AD507" s="125"/>
      <c r="AE507" s="123"/>
      <c r="AF507" s="123"/>
      <c r="AG507" s="123"/>
      <c r="AH507" s="123"/>
      <c r="AI507" s="123"/>
      <c r="AJ507" s="123"/>
      <c r="AK507" s="123"/>
    </row>
    <row r="508" spans="1:37" ht="14.25" customHeight="1" x14ac:dyDescent="0.2">
      <c r="A508" s="123"/>
      <c r="C508" s="123"/>
      <c r="AB508" s="123"/>
      <c r="AC508" s="123"/>
      <c r="AD508" s="125"/>
      <c r="AE508" s="123"/>
      <c r="AF508" s="123"/>
      <c r="AG508" s="123"/>
      <c r="AH508" s="123"/>
      <c r="AI508" s="123"/>
      <c r="AJ508" s="123"/>
      <c r="AK508" s="123"/>
    </row>
    <row r="509" spans="1:37" ht="14.25" customHeight="1" x14ac:dyDescent="0.2">
      <c r="A509" s="123"/>
      <c r="C509" s="123"/>
      <c r="AB509" s="123"/>
      <c r="AC509" s="123"/>
      <c r="AD509" s="125"/>
      <c r="AE509" s="123"/>
      <c r="AF509" s="123"/>
      <c r="AG509" s="123"/>
      <c r="AH509" s="123"/>
      <c r="AI509" s="123"/>
      <c r="AJ509" s="123"/>
      <c r="AK509" s="123"/>
    </row>
    <row r="510" spans="1:37" ht="14.25" customHeight="1" x14ac:dyDescent="0.2">
      <c r="A510" s="123"/>
      <c r="C510" s="123"/>
      <c r="AB510" s="123"/>
      <c r="AC510" s="123"/>
      <c r="AD510" s="125"/>
      <c r="AE510" s="123"/>
      <c r="AF510" s="123"/>
      <c r="AG510" s="123"/>
      <c r="AH510" s="123"/>
      <c r="AI510" s="123"/>
      <c r="AJ510" s="123"/>
      <c r="AK510" s="123"/>
    </row>
    <row r="511" spans="1:37" ht="14.25" customHeight="1" x14ac:dyDescent="0.2">
      <c r="A511" s="123"/>
      <c r="C511" s="123"/>
      <c r="AB511" s="123"/>
      <c r="AC511" s="123"/>
      <c r="AD511" s="125"/>
      <c r="AE511" s="123"/>
      <c r="AF511" s="123"/>
      <c r="AG511" s="123"/>
      <c r="AH511" s="123"/>
      <c r="AI511" s="123"/>
      <c r="AJ511" s="123"/>
      <c r="AK511" s="123"/>
    </row>
    <row r="512" spans="1:37" ht="14.25" customHeight="1" x14ac:dyDescent="0.2">
      <c r="A512" s="123"/>
      <c r="C512" s="123"/>
      <c r="AB512" s="123"/>
      <c r="AC512" s="123"/>
      <c r="AD512" s="125"/>
      <c r="AE512" s="123"/>
      <c r="AF512" s="123"/>
      <c r="AG512" s="123"/>
      <c r="AH512" s="123"/>
      <c r="AI512" s="123"/>
      <c r="AJ512" s="123"/>
      <c r="AK512" s="123"/>
    </row>
    <row r="513" spans="1:37" ht="14.25" customHeight="1" x14ac:dyDescent="0.2">
      <c r="A513" s="123"/>
      <c r="C513" s="123"/>
      <c r="AB513" s="123"/>
      <c r="AC513" s="123"/>
      <c r="AD513" s="125"/>
      <c r="AE513" s="123"/>
      <c r="AF513" s="123"/>
      <c r="AG513" s="123"/>
      <c r="AH513" s="123"/>
      <c r="AI513" s="123"/>
      <c r="AJ513" s="123"/>
      <c r="AK513" s="123"/>
    </row>
    <row r="514" spans="1:37" ht="14.25" customHeight="1" x14ac:dyDescent="0.2">
      <c r="A514" s="123"/>
      <c r="C514" s="123"/>
      <c r="AB514" s="123"/>
      <c r="AC514" s="123"/>
      <c r="AD514" s="125"/>
      <c r="AE514" s="123"/>
      <c r="AF514" s="123"/>
      <c r="AG514" s="123"/>
      <c r="AH514" s="123"/>
      <c r="AI514" s="123"/>
      <c r="AJ514" s="123"/>
      <c r="AK514" s="123"/>
    </row>
    <row r="515" spans="1:37" ht="14.25" customHeight="1" x14ac:dyDescent="0.2">
      <c r="A515" s="123"/>
      <c r="C515" s="123"/>
      <c r="AB515" s="123"/>
      <c r="AC515" s="123"/>
      <c r="AD515" s="125"/>
      <c r="AE515" s="123"/>
      <c r="AF515" s="123"/>
      <c r="AG515" s="123"/>
      <c r="AH515" s="123"/>
      <c r="AI515" s="123"/>
      <c r="AJ515" s="123"/>
      <c r="AK515" s="123"/>
    </row>
    <row r="516" spans="1:37" ht="14.25" customHeight="1" x14ac:dyDescent="0.2">
      <c r="A516" s="123"/>
      <c r="C516" s="123"/>
      <c r="AB516" s="123"/>
      <c r="AC516" s="123"/>
      <c r="AD516" s="125"/>
      <c r="AE516" s="123"/>
      <c r="AF516" s="123"/>
      <c r="AG516" s="123"/>
      <c r="AH516" s="123"/>
      <c r="AI516" s="123"/>
      <c r="AJ516" s="123"/>
      <c r="AK516" s="123"/>
    </row>
    <row r="517" spans="1:37" ht="14.25" customHeight="1" x14ac:dyDescent="0.2">
      <c r="A517" s="123"/>
      <c r="C517" s="123"/>
      <c r="AB517" s="123"/>
      <c r="AC517" s="123"/>
      <c r="AD517" s="125"/>
      <c r="AE517" s="123"/>
      <c r="AF517" s="123"/>
      <c r="AG517" s="123"/>
      <c r="AH517" s="123"/>
      <c r="AI517" s="123"/>
      <c r="AJ517" s="123"/>
      <c r="AK517" s="123"/>
    </row>
    <row r="518" spans="1:37" ht="14.25" customHeight="1" x14ac:dyDescent="0.2">
      <c r="A518" s="123"/>
      <c r="C518" s="123"/>
      <c r="AB518" s="123"/>
      <c r="AC518" s="123"/>
      <c r="AD518" s="125"/>
      <c r="AE518" s="123"/>
      <c r="AF518" s="123"/>
      <c r="AG518" s="123"/>
      <c r="AH518" s="123"/>
      <c r="AI518" s="123"/>
      <c r="AJ518" s="123"/>
      <c r="AK518" s="123"/>
    </row>
    <row r="519" spans="1:37" ht="14.25" customHeight="1" x14ac:dyDescent="0.2">
      <c r="A519" s="123"/>
      <c r="C519" s="123"/>
      <c r="AB519" s="123"/>
      <c r="AC519" s="123"/>
      <c r="AD519" s="125"/>
      <c r="AE519" s="123"/>
      <c r="AF519" s="123"/>
      <c r="AG519" s="123"/>
      <c r="AH519" s="123"/>
      <c r="AI519" s="123"/>
      <c r="AJ519" s="123"/>
      <c r="AK519" s="123"/>
    </row>
    <row r="520" spans="1:37" ht="14.25" customHeight="1" x14ac:dyDescent="0.2">
      <c r="A520" s="123"/>
      <c r="C520" s="123"/>
      <c r="AB520" s="123"/>
      <c r="AC520" s="123"/>
      <c r="AD520" s="125"/>
      <c r="AE520" s="123"/>
      <c r="AF520" s="123"/>
      <c r="AG520" s="123"/>
      <c r="AH520" s="123"/>
      <c r="AI520" s="123"/>
      <c r="AJ520" s="123"/>
      <c r="AK520" s="123"/>
    </row>
    <row r="521" spans="1:37" ht="14.25" customHeight="1" x14ac:dyDescent="0.2">
      <c r="A521" s="123"/>
      <c r="C521" s="123"/>
      <c r="AB521" s="123"/>
      <c r="AC521" s="123"/>
      <c r="AD521" s="125"/>
      <c r="AE521" s="123"/>
      <c r="AF521" s="123"/>
      <c r="AG521" s="123"/>
      <c r="AH521" s="123"/>
      <c r="AI521" s="123"/>
      <c r="AJ521" s="123"/>
      <c r="AK521" s="123"/>
    </row>
    <row r="522" spans="1:37" ht="14.25" customHeight="1" x14ac:dyDescent="0.2">
      <c r="A522" s="123"/>
      <c r="C522" s="123"/>
      <c r="AB522" s="123"/>
      <c r="AC522" s="123"/>
      <c r="AD522" s="125"/>
      <c r="AE522" s="123"/>
      <c r="AF522" s="123"/>
      <c r="AG522" s="123"/>
      <c r="AH522" s="123"/>
      <c r="AI522" s="123"/>
      <c r="AJ522" s="123"/>
      <c r="AK522" s="123"/>
    </row>
    <row r="523" spans="1:37" ht="14.25" customHeight="1" x14ac:dyDescent="0.2">
      <c r="A523" s="123"/>
      <c r="C523" s="123"/>
      <c r="AB523" s="123"/>
      <c r="AC523" s="123"/>
      <c r="AD523" s="125"/>
      <c r="AE523" s="123"/>
      <c r="AF523" s="123"/>
      <c r="AG523" s="123"/>
      <c r="AH523" s="123"/>
      <c r="AI523" s="123"/>
      <c r="AJ523" s="123"/>
      <c r="AK523" s="123"/>
    </row>
    <row r="524" spans="1:37" ht="14.25" customHeight="1" x14ac:dyDescent="0.2">
      <c r="A524" s="123"/>
      <c r="C524" s="123"/>
      <c r="AB524" s="123"/>
      <c r="AC524" s="123"/>
      <c r="AD524" s="125"/>
      <c r="AE524" s="123"/>
      <c r="AF524" s="123"/>
      <c r="AG524" s="123"/>
      <c r="AH524" s="123"/>
      <c r="AI524" s="123"/>
      <c r="AJ524" s="123"/>
      <c r="AK524" s="123"/>
    </row>
    <row r="525" spans="1:37" ht="14.25" customHeight="1" x14ac:dyDescent="0.2">
      <c r="A525" s="123"/>
      <c r="C525" s="123"/>
      <c r="AB525" s="123"/>
      <c r="AC525" s="123"/>
      <c r="AD525" s="125"/>
      <c r="AE525" s="123"/>
      <c r="AF525" s="123"/>
      <c r="AG525" s="123"/>
      <c r="AH525" s="123"/>
      <c r="AI525" s="123"/>
      <c r="AJ525" s="123"/>
      <c r="AK525" s="123"/>
    </row>
    <row r="526" spans="1:37" ht="14.25" customHeight="1" x14ac:dyDescent="0.2">
      <c r="A526" s="123"/>
      <c r="C526" s="123"/>
      <c r="AB526" s="123"/>
      <c r="AC526" s="123"/>
      <c r="AD526" s="125"/>
      <c r="AE526" s="123"/>
      <c r="AF526" s="123"/>
      <c r="AG526" s="123"/>
      <c r="AH526" s="123"/>
      <c r="AI526" s="123"/>
      <c r="AJ526" s="123"/>
      <c r="AK526" s="123"/>
    </row>
    <row r="527" spans="1:37" ht="14.25" customHeight="1" x14ac:dyDescent="0.2">
      <c r="A527" s="123"/>
      <c r="C527" s="123"/>
      <c r="AB527" s="123"/>
      <c r="AC527" s="123"/>
      <c r="AD527" s="125"/>
      <c r="AE527" s="123"/>
      <c r="AF527" s="123"/>
      <c r="AG527" s="123"/>
      <c r="AH527" s="123"/>
      <c r="AI527" s="123"/>
      <c r="AJ527" s="123"/>
      <c r="AK527" s="123"/>
    </row>
    <row r="528" spans="1:37" ht="14.25" customHeight="1" x14ac:dyDescent="0.2">
      <c r="A528" s="123"/>
      <c r="C528" s="123"/>
      <c r="AB528" s="123"/>
      <c r="AC528" s="123"/>
      <c r="AD528" s="125"/>
      <c r="AE528" s="123"/>
      <c r="AF528" s="123"/>
      <c r="AG528" s="123"/>
      <c r="AH528" s="123"/>
      <c r="AI528" s="123"/>
      <c r="AJ528" s="123"/>
      <c r="AK528" s="123"/>
    </row>
    <row r="529" spans="1:37" ht="14.25" customHeight="1" x14ac:dyDescent="0.2">
      <c r="A529" s="123"/>
      <c r="C529" s="123"/>
      <c r="AB529" s="123"/>
      <c r="AC529" s="123"/>
      <c r="AD529" s="125"/>
      <c r="AE529" s="123"/>
      <c r="AF529" s="123"/>
      <c r="AG529" s="123"/>
      <c r="AH529" s="123"/>
      <c r="AI529" s="123"/>
      <c r="AJ529" s="123"/>
      <c r="AK529" s="123"/>
    </row>
    <row r="530" spans="1:37" ht="14.25" customHeight="1" x14ac:dyDescent="0.2">
      <c r="A530" s="123"/>
      <c r="C530" s="123"/>
      <c r="AB530" s="123"/>
      <c r="AC530" s="123"/>
      <c r="AD530" s="125"/>
      <c r="AE530" s="123"/>
      <c r="AF530" s="123"/>
      <c r="AG530" s="123"/>
      <c r="AH530" s="123"/>
      <c r="AI530" s="123"/>
      <c r="AJ530" s="123"/>
      <c r="AK530" s="123"/>
    </row>
    <row r="531" spans="1:37" ht="14.25" customHeight="1" x14ac:dyDescent="0.2">
      <c r="A531" s="123"/>
      <c r="C531" s="123"/>
      <c r="AB531" s="123"/>
      <c r="AC531" s="123"/>
      <c r="AD531" s="125"/>
      <c r="AE531" s="123"/>
      <c r="AF531" s="123"/>
      <c r="AG531" s="123"/>
      <c r="AH531" s="123"/>
      <c r="AI531" s="123"/>
      <c r="AJ531" s="123"/>
      <c r="AK531" s="123"/>
    </row>
    <row r="532" spans="1:37" ht="14.25" customHeight="1" x14ac:dyDescent="0.2">
      <c r="A532" s="123"/>
      <c r="C532" s="123"/>
      <c r="AB532" s="123"/>
      <c r="AC532" s="123"/>
      <c r="AD532" s="125"/>
      <c r="AE532" s="123"/>
      <c r="AF532" s="123"/>
      <c r="AG532" s="123"/>
      <c r="AH532" s="123"/>
      <c r="AI532" s="123"/>
      <c r="AJ532" s="123"/>
      <c r="AK532" s="123"/>
    </row>
    <row r="533" spans="1:37" ht="14.25" customHeight="1" x14ac:dyDescent="0.2">
      <c r="A533" s="123"/>
      <c r="C533" s="123"/>
      <c r="AB533" s="123"/>
      <c r="AC533" s="123"/>
      <c r="AD533" s="125"/>
      <c r="AE533" s="123"/>
      <c r="AF533" s="123"/>
      <c r="AG533" s="123"/>
      <c r="AH533" s="123"/>
      <c r="AI533" s="123"/>
      <c r="AJ533" s="123"/>
      <c r="AK533" s="123"/>
    </row>
    <row r="534" spans="1:37" ht="14.25" customHeight="1" x14ac:dyDescent="0.2">
      <c r="A534" s="123"/>
      <c r="C534" s="123"/>
      <c r="AB534" s="123"/>
      <c r="AC534" s="123"/>
      <c r="AD534" s="125"/>
      <c r="AE534" s="123"/>
      <c r="AF534" s="123"/>
      <c r="AG534" s="123"/>
      <c r="AH534" s="123"/>
      <c r="AI534" s="123"/>
      <c r="AJ534" s="123"/>
      <c r="AK534" s="123"/>
    </row>
    <row r="535" spans="1:37" ht="14.25" customHeight="1" x14ac:dyDescent="0.2">
      <c r="A535" s="123"/>
      <c r="C535" s="123"/>
      <c r="AB535" s="123"/>
      <c r="AC535" s="123"/>
      <c r="AD535" s="125"/>
      <c r="AE535" s="123"/>
      <c r="AF535" s="123"/>
      <c r="AG535" s="123"/>
      <c r="AH535" s="123"/>
      <c r="AI535" s="123"/>
      <c r="AJ535" s="123"/>
      <c r="AK535" s="123"/>
    </row>
    <row r="536" spans="1:37" ht="14.25" customHeight="1" x14ac:dyDescent="0.2">
      <c r="A536" s="123"/>
      <c r="C536" s="123"/>
      <c r="AB536" s="123"/>
      <c r="AC536" s="123"/>
      <c r="AD536" s="125"/>
      <c r="AE536" s="123"/>
      <c r="AF536" s="123"/>
      <c r="AG536" s="123"/>
      <c r="AH536" s="123"/>
      <c r="AI536" s="123"/>
      <c r="AJ536" s="123"/>
      <c r="AK536" s="123"/>
    </row>
    <row r="537" spans="1:37" ht="14.25" customHeight="1" x14ac:dyDescent="0.2">
      <c r="A537" s="123"/>
      <c r="C537" s="123"/>
      <c r="AB537" s="123"/>
      <c r="AC537" s="123"/>
      <c r="AD537" s="125"/>
      <c r="AE537" s="123"/>
      <c r="AF537" s="123"/>
      <c r="AG537" s="123"/>
      <c r="AH537" s="123"/>
      <c r="AI537" s="123"/>
      <c r="AJ537" s="123"/>
      <c r="AK537" s="123"/>
    </row>
    <row r="538" spans="1:37" ht="14.25" customHeight="1" x14ac:dyDescent="0.2">
      <c r="A538" s="123"/>
      <c r="C538" s="123"/>
      <c r="AB538" s="123"/>
      <c r="AC538" s="123"/>
      <c r="AD538" s="125"/>
      <c r="AE538" s="123"/>
      <c r="AF538" s="123"/>
      <c r="AG538" s="123"/>
      <c r="AH538" s="123"/>
      <c r="AI538" s="123"/>
      <c r="AJ538" s="123"/>
      <c r="AK538" s="123"/>
    </row>
    <row r="539" spans="1:37" ht="14.25" customHeight="1" x14ac:dyDescent="0.2">
      <c r="A539" s="123"/>
      <c r="C539" s="123"/>
      <c r="AB539" s="123"/>
      <c r="AC539" s="123"/>
      <c r="AD539" s="125"/>
      <c r="AE539" s="123"/>
      <c r="AF539" s="123"/>
      <c r="AG539" s="123"/>
      <c r="AH539" s="123"/>
      <c r="AI539" s="123"/>
      <c r="AJ539" s="123"/>
      <c r="AK539" s="123"/>
    </row>
    <row r="540" spans="1:37" ht="14.25" customHeight="1" x14ac:dyDescent="0.2">
      <c r="A540" s="123"/>
      <c r="C540" s="123"/>
      <c r="AB540" s="123"/>
      <c r="AC540" s="123"/>
      <c r="AD540" s="125"/>
      <c r="AE540" s="123"/>
      <c r="AF540" s="123"/>
      <c r="AG540" s="123"/>
      <c r="AH540" s="123"/>
      <c r="AI540" s="123"/>
      <c r="AJ540" s="123"/>
      <c r="AK540" s="123"/>
    </row>
    <row r="541" spans="1:37" ht="14.25" customHeight="1" x14ac:dyDescent="0.2">
      <c r="A541" s="123"/>
      <c r="C541" s="123"/>
      <c r="AB541" s="123"/>
      <c r="AC541" s="123"/>
      <c r="AD541" s="125"/>
      <c r="AE541" s="123"/>
      <c r="AF541" s="123"/>
      <c r="AG541" s="123"/>
      <c r="AH541" s="123"/>
      <c r="AI541" s="123"/>
      <c r="AJ541" s="123"/>
      <c r="AK541" s="123"/>
    </row>
    <row r="542" spans="1:37" ht="14.25" customHeight="1" x14ac:dyDescent="0.2">
      <c r="A542" s="123"/>
      <c r="C542" s="123"/>
      <c r="AB542" s="123"/>
      <c r="AC542" s="123"/>
      <c r="AD542" s="125"/>
      <c r="AE542" s="123"/>
      <c r="AF542" s="123"/>
      <c r="AG542" s="123"/>
      <c r="AH542" s="123"/>
      <c r="AI542" s="123"/>
      <c r="AJ542" s="123"/>
      <c r="AK542" s="123"/>
    </row>
    <row r="543" spans="1:37" ht="14.25" customHeight="1" x14ac:dyDescent="0.2">
      <c r="A543" s="123"/>
      <c r="C543" s="123"/>
      <c r="AB543" s="123"/>
      <c r="AC543" s="123"/>
      <c r="AD543" s="125"/>
      <c r="AE543" s="123"/>
      <c r="AF543" s="123"/>
      <c r="AG543" s="123"/>
      <c r="AH543" s="123"/>
      <c r="AI543" s="123"/>
      <c r="AJ543" s="123"/>
      <c r="AK543" s="123"/>
    </row>
    <row r="544" spans="1:37" ht="14.25" customHeight="1" x14ac:dyDescent="0.2">
      <c r="A544" s="123"/>
      <c r="C544" s="123"/>
      <c r="AB544" s="123"/>
      <c r="AC544" s="123"/>
      <c r="AD544" s="125"/>
      <c r="AE544" s="123"/>
      <c r="AF544" s="123"/>
      <c r="AG544" s="123"/>
      <c r="AH544" s="123"/>
      <c r="AI544" s="123"/>
      <c r="AJ544" s="123"/>
      <c r="AK544" s="123"/>
    </row>
    <row r="545" spans="1:37" ht="14.25" customHeight="1" x14ac:dyDescent="0.2">
      <c r="A545" s="123"/>
      <c r="C545" s="123"/>
      <c r="AB545" s="123"/>
      <c r="AC545" s="123"/>
      <c r="AD545" s="125"/>
      <c r="AE545" s="123"/>
      <c r="AF545" s="123"/>
      <c r="AG545" s="123"/>
      <c r="AH545" s="123"/>
      <c r="AI545" s="123"/>
      <c r="AJ545" s="123"/>
      <c r="AK545" s="123"/>
    </row>
    <row r="546" spans="1:37" ht="14.25" customHeight="1" x14ac:dyDescent="0.2">
      <c r="A546" s="123"/>
      <c r="C546" s="123"/>
      <c r="AB546" s="123"/>
      <c r="AC546" s="123"/>
      <c r="AD546" s="125"/>
      <c r="AE546" s="123"/>
      <c r="AF546" s="123"/>
      <c r="AG546" s="123"/>
      <c r="AH546" s="123"/>
      <c r="AI546" s="123"/>
      <c r="AJ546" s="123"/>
      <c r="AK546" s="123"/>
    </row>
    <row r="547" spans="1:37" ht="14.25" customHeight="1" x14ac:dyDescent="0.2">
      <c r="A547" s="123"/>
      <c r="C547" s="123"/>
      <c r="AB547" s="123"/>
      <c r="AC547" s="123"/>
      <c r="AD547" s="125"/>
      <c r="AE547" s="123"/>
      <c r="AF547" s="123"/>
      <c r="AG547" s="123"/>
      <c r="AH547" s="123"/>
      <c r="AI547" s="123"/>
      <c r="AJ547" s="123"/>
      <c r="AK547" s="123"/>
    </row>
    <row r="548" spans="1:37" ht="14.25" customHeight="1" x14ac:dyDescent="0.2">
      <c r="A548" s="123"/>
      <c r="C548" s="123"/>
      <c r="AB548" s="123"/>
      <c r="AC548" s="123"/>
      <c r="AD548" s="125"/>
      <c r="AE548" s="123"/>
      <c r="AF548" s="123"/>
      <c r="AG548" s="123"/>
      <c r="AH548" s="123"/>
      <c r="AI548" s="123"/>
      <c r="AJ548" s="123"/>
      <c r="AK548" s="123"/>
    </row>
    <row r="549" spans="1:37" ht="14.25" customHeight="1" x14ac:dyDescent="0.2">
      <c r="A549" s="123"/>
      <c r="C549" s="123"/>
      <c r="AB549" s="123"/>
      <c r="AC549" s="123"/>
      <c r="AD549" s="125"/>
      <c r="AE549" s="123"/>
      <c r="AF549" s="123"/>
      <c r="AG549" s="123"/>
      <c r="AH549" s="123"/>
      <c r="AI549" s="123"/>
      <c r="AJ549" s="123"/>
      <c r="AK549" s="123"/>
    </row>
    <row r="550" spans="1:37" ht="14.25" customHeight="1" x14ac:dyDescent="0.2">
      <c r="A550" s="123"/>
      <c r="C550" s="123"/>
      <c r="AB550" s="123"/>
      <c r="AC550" s="123"/>
      <c r="AD550" s="125"/>
      <c r="AE550" s="123"/>
      <c r="AF550" s="123"/>
      <c r="AG550" s="123"/>
      <c r="AH550" s="123"/>
      <c r="AI550" s="123"/>
      <c r="AJ550" s="123"/>
      <c r="AK550" s="123"/>
    </row>
    <row r="551" spans="1:37" ht="14.25" customHeight="1" x14ac:dyDescent="0.2">
      <c r="A551" s="123"/>
      <c r="C551" s="123"/>
      <c r="AB551" s="123"/>
      <c r="AC551" s="123"/>
      <c r="AD551" s="125"/>
      <c r="AE551" s="123"/>
      <c r="AF551" s="123"/>
      <c r="AG551" s="123"/>
      <c r="AH551" s="123"/>
      <c r="AI551" s="123"/>
      <c r="AJ551" s="123"/>
      <c r="AK551" s="123"/>
    </row>
    <row r="552" spans="1:37" ht="14.25" customHeight="1" x14ac:dyDescent="0.2">
      <c r="A552" s="123"/>
      <c r="C552" s="123"/>
      <c r="AB552" s="123"/>
      <c r="AC552" s="123"/>
      <c r="AD552" s="125"/>
      <c r="AE552" s="123"/>
      <c r="AF552" s="123"/>
      <c r="AG552" s="123"/>
      <c r="AH552" s="123"/>
      <c r="AI552" s="123"/>
      <c r="AJ552" s="123"/>
      <c r="AK552" s="123"/>
    </row>
    <row r="553" spans="1:37" ht="14.25" customHeight="1" x14ac:dyDescent="0.2">
      <c r="A553" s="123"/>
      <c r="C553" s="123"/>
      <c r="AB553" s="123"/>
      <c r="AC553" s="123"/>
      <c r="AD553" s="125"/>
      <c r="AE553" s="123"/>
      <c r="AF553" s="123"/>
      <c r="AG553" s="123"/>
      <c r="AH553" s="123"/>
      <c r="AI553" s="123"/>
      <c r="AJ553" s="123"/>
      <c r="AK553" s="123"/>
    </row>
    <row r="554" spans="1:37" ht="14.25" customHeight="1" x14ac:dyDescent="0.2">
      <c r="A554" s="123"/>
      <c r="C554" s="123"/>
      <c r="AB554" s="123"/>
      <c r="AC554" s="123"/>
      <c r="AD554" s="125"/>
      <c r="AE554" s="123"/>
      <c r="AF554" s="123"/>
      <c r="AG554" s="123"/>
      <c r="AH554" s="123"/>
      <c r="AI554" s="123"/>
      <c r="AJ554" s="123"/>
      <c r="AK554" s="123"/>
    </row>
    <row r="555" spans="1:37" ht="14.25" customHeight="1" x14ac:dyDescent="0.2">
      <c r="A555" s="123"/>
      <c r="C555" s="123"/>
      <c r="AB555" s="123"/>
      <c r="AC555" s="123"/>
      <c r="AD555" s="125"/>
      <c r="AE555" s="123"/>
      <c r="AF555" s="123"/>
      <c r="AG555" s="123"/>
      <c r="AH555" s="123"/>
      <c r="AI555" s="123"/>
      <c r="AJ555" s="123"/>
      <c r="AK555" s="123"/>
    </row>
    <row r="556" spans="1:37" ht="14.25" customHeight="1" x14ac:dyDescent="0.2">
      <c r="A556" s="123"/>
      <c r="C556" s="123"/>
      <c r="AB556" s="123"/>
      <c r="AC556" s="123"/>
      <c r="AD556" s="125"/>
      <c r="AE556" s="123"/>
      <c r="AF556" s="123"/>
      <c r="AG556" s="123"/>
      <c r="AH556" s="123"/>
      <c r="AI556" s="123"/>
      <c r="AJ556" s="123"/>
      <c r="AK556" s="123"/>
    </row>
    <row r="557" spans="1:37" ht="14.25" customHeight="1" x14ac:dyDescent="0.2">
      <c r="A557" s="123"/>
      <c r="C557" s="123"/>
      <c r="AB557" s="123"/>
      <c r="AC557" s="123"/>
      <c r="AD557" s="125"/>
      <c r="AE557" s="123"/>
      <c r="AF557" s="123"/>
      <c r="AG557" s="123"/>
      <c r="AH557" s="123"/>
      <c r="AI557" s="123"/>
      <c r="AJ557" s="123"/>
      <c r="AK557" s="123"/>
    </row>
    <row r="558" spans="1:37" ht="14.25" customHeight="1" x14ac:dyDescent="0.2">
      <c r="A558" s="123"/>
      <c r="C558" s="123"/>
      <c r="AB558" s="123"/>
      <c r="AC558" s="123"/>
      <c r="AD558" s="125"/>
      <c r="AE558" s="123"/>
      <c r="AF558" s="123"/>
      <c r="AG558" s="123"/>
      <c r="AH558" s="123"/>
      <c r="AI558" s="123"/>
      <c r="AJ558" s="123"/>
      <c r="AK558" s="123"/>
    </row>
    <row r="559" spans="1:37" ht="14.25" customHeight="1" x14ac:dyDescent="0.2">
      <c r="A559" s="123"/>
      <c r="C559" s="123"/>
      <c r="AB559" s="123"/>
      <c r="AC559" s="123"/>
      <c r="AD559" s="125"/>
      <c r="AE559" s="123"/>
      <c r="AF559" s="123"/>
      <c r="AG559" s="123"/>
      <c r="AH559" s="123"/>
      <c r="AI559" s="123"/>
      <c r="AJ559" s="123"/>
      <c r="AK559" s="123"/>
    </row>
    <row r="560" spans="1:37" ht="14.25" customHeight="1" x14ac:dyDescent="0.2">
      <c r="A560" s="123"/>
      <c r="C560" s="123"/>
      <c r="AB560" s="123"/>
      <c r="AC560" s="123"/>
      <c r="AD560" s="125"/>
      <c r="AE560" s="123"/>
      <c r="AF560" s="123"/>
      <c r="AG560" s="123"/>
      <c r="AH560" s="123"/>
      <c r="AI560" s="123"/>
      <c r="AJ560" s="123"/>
      <c r="AK560" s="123"/>
    </row>
    <row r="561" spans="1:37" ht="14.25" customHeight="1" x14ac:dyDescent="0.2">
      <c r="A561" s="123"/>
      <c r="C561" s="123"/>
      <c r="AB561" s="123"/>
      <c r="AC561" s="123"/>
      <c r="AD561" s="125"/>
      <c r="AE561" s="123"/>
      <c r="AF561" s="123"/>
      <c r="AG561" s="123"/>
      <c r="AH561" s="123"/>
      <c r="AI561" s="123"/>
      <c r="AJ561" s="123"/>
      <c r="AK561" s="123"/>
    </row>
    <row r="562" spans="1:37" ht="14.25" customHeight="1" x14ac:dyDescent="0.2">
      <c r="A562" s="123"/>
      <c r="C562" s="123"/>
      <c r="AB562" s="123"/>
      <c r="AC562" s="123"/>
      <c r="AD562" s="125"/>
      <c r="AE562" s="123"/>
      <c r="AF562" s="123"/>
      <c r="AG562" s="123"/>
      <c r="AH562" s="123"/>
      <c r="AI562" s="123"/>
      <c r="AJ562" s="123"/>
      <c r="AK562" s="123"/>
    </row>
    <row r="563" spans="1:37" ht="14.25" customHeight="1" x14ac:dyDescent="0.2">
      <c r="A563" s="123"/>
      <c r="C563" s="123"/>
      <c r="AB563" s="123"/>
      <c r="AC563" s="123"/>
      <c r="AD563" s="125"/>
      <c r="AE563" s="123"/>
      <c r="AF563" s="123"/>
      <c r="AG563" s="123"/>
      <c r="AH563" s="123"/>
      <c r="AI563" s="123"/>
      <c r="AJ563" s="123"/>
      <c r="AK563" s="123"/>
    </row>
    <row r="564" spans="1:37" ht="14.25" customHeight="1" x14ac:dyDescent="0.2">
      <c r="A564" s="123"/>
      <c r="C564" s="123"/>
      <c r="AB564" s="123"/>
      <c r="AC564" s="123"/>
      <c r="AD564" s="125"/>
      <c r="AE564" s="123"/>
      <c r="AF564" s="123"/>
      <c r="AG564" s="123"/>
      <c r="AH564" s="123"/>
      <c r="AI564" s="123"/>
      <c r="AJ564" s="123"/>
      <c r="AK564" s="123"/>
    </row>
    <row r="565" spans="1:37" ht="14.25" customHeight="1" x14ac:dyDescent="0.2">
      <c r="A565" s="123"/>
      <c r="C565" s="123"/>
      <c r="AB565" s="123"/>
      <c r="AC565" s="123"/>
      <c r="AD565" s="125"/>
      <c r="AE565" s="123"/>
      <c r="AF565" s="123"/>
      <c r="AG565" s="123"/>
      <c r="AH565" s="123"/>
      <c r="AI565" s="123"/>
      <c r="AJ565" s="123"/>
      <c r="AK565" s="123"/>
    </row>
    <row r="566" spans="1:37" ht="14.25" customHeight="1" x14ac:dyDescent="0.2">
      <c r="A566" s="123"/>
      <c r="C566" s="123"/>
      <c r="AB566" s="123"/>
      <c r="AC566" s="123"/>
      <c r="AD566" s="125"/>
      <c r="AE566" s="123"/>
      <c r="AF566" s="123"/>
      <c r="AG566" s="123"/>
      <c r="AH566" s="123"/>
      <c r="AI566" s="123"/>
      <c r="AJ566" s="123"/>
      <c r="AK566" s="123"/>
    </row>
    <row r="567" spans="1:37" ht="14.25" customHeight="1" x14ac:dyDescent="0.2">
      <c r="A567" s="123"/>
      <c r="C567" s="123"/>
      <c r="AB567" s="123"/>
      <c r="AC567" s="123"/>
      <c r="AD567" s="125"/>
      <c r="AE567" s="123"/>
      <c r="AF567" s="123"/>
      <c r="AG567" s="123"/>
      <c r="AH567" s="123"/>
      <c r="AI567" s="123"/>
      <c r="AJ567" s="123"/>
      <c r="AK567" s="123"/>
    </row>
    <row r="568" spans="1:37" ht="14.25" customHeight="1" x14ac:dyDescent="0.2">
      <c r="A568" s="123"/>
      <c r="C568" s="123"/>
      <c r="AB568" s="123"/>
      <c r="AC568" s="123"/>
      <c r="AD568" s="125"/>
      <c r="AE568" s="123"/>
      <c r="AF568" s="123"/>
      <c r="AG568" s="123"/>
      <c r="AH568" s="123"/>
      <c r="AI568" s="123"/>
      <c r="AJ568" s="123"/>
      <c r="AK568" s="123"/>
    </row>
    <row r="569" spans="1:37" ht="14.25" customHeight="1" x14ac:dyDescent="0.2">
      <c r="A569" s="123"/>
      <c r="C569" s="123"/>
      <c r="AB569" s="123"/>
      <c r="AC569" s="123"/>
      <c r="AD569" s="125"/>
      <c r="AE569" s="123"/>
      <c r="AF569" s="123"/>
      <c r="AG569" s="123"/>
      <c r="AH569" s="123"/>
      <c r="AI569" s="123"/>
      <c r="AJ569" s="123"/>
      <c r="AK569" s="123"/>
    </row>
    <row r="570" spans="1:37" ht="14.25" customHeight="1" x14ac:dyDescent="0.2">
      <c r="A570" s="123"/>
      <c r="C570" s="123"/>
      <c r="AB570" s="123"/>
      <c r="AC570" s="123"/>
      <c r="AD570" s="125"/>
      <c r="AE570" s="123"/>
      <c r="AF570" s="123"/>
      <c r="AG570" s="123"/>
      <c r="AH570" s="123"/>
      <c r="AI570" s="123"/>
      <c r="AJ570" s="123"/>
      <c r="AK570" s="123"/>
    </row>
    <row r="571" spans="1:37" ht="14.25" customHeight="1" x14ac:dyDescent="0.2">
      <c r="A571" s="123"/>
      <c r="C571" s="123"/>
      <c r="AB571" s="123"/>
      <c r="AC571" s="123"/>
      <c r="AD571" s="125"/>
      <c r="AE571" s="123"/>
      <c r="AF571" s="123"/>
      <c r="AG571" s="123"/>
      <c r="AH571" s="123"/>
      <c r="AI571" s="123"/>
      <c r="AJ571" s="123"/>
      <c r="AK571" s="123"/>
    </row>
    <row r="572" spans="1:37" ht="14.25" customHeight="1" x14ac:dyDescent="0.2">
      <c r="A572" s="123"/>
      <c r="C572" s="123"/>
      <c r="AB572" s="123"/>
      <c r="AC572" s="123"/>
      <c r="AD572" s="125"/>
      <c r="AE572" s="123"/>
      <c r="AF572" s="123"/>
      <c r="AG572" s="123"/>
      <c r="AH572" s="123"/>
      <c r="AI572" s="123"/>
      <c r="AJ572" s="123"/>
      <c r="AK572" s="123"/>
    </row>
    <row r="573" spans="1:37" ht="14.25" customHeight="1" x14ac:dyDescent="0.2">
      <c r="A573" s="123"/>
      <c r="C573" s="123"/>
      <c r="AB573" s="123"/>
      <c r="AC573" s="123"/>
      <c r="AD573" s="125"/>
      <c r="AE573" s="123"/>
      <c r="AF573" s="123"/>
      <c r="AG573" s="123"/>
      <c r="AH573" s="123"/>
      <c r="AI573" s="123"/>
      <c r="AJ573" s="123"/>
      <c r="AK573" s="123"/>
    </row>
    <row r="574" spans="1:37" ht="14.25" customHeight="1" x14ac:dyDescent="0.2">
      <c r="A574" s="123"/>
      <c r="C574" s="123"/>
      <c r="AB574" s="123"/>
      <c r="AC574" s="123"/>
      <c r="AD574" s="125"/>
      <c r="AE574" s="123"/>
      <c r="AF574" s="123"/>
      <c r="AG574" s="123"/>
      <c r="AH574" s="123"/>
      <c r="AI574" s="123"/>
      <c r="AJ574" s="123"/>
      <c r="AK574" s="123"/>
    </row>
    <row r="575" spans="1:37" ht="14.25" customHeight="1" x14ac:dyDescent="0.2">
      <c r="A575" s="123"/>
      <c r="C575" s="123"/>
      <c r="AB575" s="123"/>
      <c r="AC575" s="123"/>
      <c r="AD575" s="125"/>
      <c r="AE575" s="123"/>
      <c r="AF575" s="123"/>
      <c r="AG575" s="123"/>
      <c r="AH575" s="123"/>
      <c r="AI575" s="123"/>
      <c r="AJ575" s="123"/>
      <c r="AK575" s="123"/>
    </row>
    <row r="576" spans="1:37" ht="14.25" customHeight="1" x14ac:dyDescent="0.2">
      <c r="A576" s="123"/>
      <c r="C576" s="123"/>
      <c r="AB576" s="123"/>
      <c r="AC576" s="123"/>
      <c r="AD576" s="125"/>
      <c r="AE576" s="123"/>
      <c r="AF576" s="123"/>
      <c r="AG576" s="123"/>
      <c r="AH576" s="123"/>
      <c r="AI576" s="123"/>
      <c r="AJ576" s="123"/>
      <c r="AK576" s="123"/>
    </row>
    <row r="577" spans="1:37" ht="14.25" customHeight="1" x14ac:dyDescent="0.2">
      <c r="A577" s="123"/>
      <c r="C577" s="123"/>
      <c r="AB577" s="123"/>
      <c r="AC577" s="123"/>
      <c r="AD577" s="125"/>
      <c r="AE577" s="123"/>
      <c r="AF577" s="123"/>
      <c r="AG577" s="123"/>
      <c r="AH577" s="123"/>
      <c r="AI577" s="123"/>
      <c r="AJ577" s="123"/>
      <c r="AK577" s="123"/>
    </row>
    <row r="578" spans="1:37" ht="14.25" customHeight="1" x14ac:dyDescent="0.2">
      <c r="A578" s="123"/>
      <c r="C578" s="123"/>
      <c r="AB578" s="123"/>
      <c r="AC578" s="123"/>
      <c r="AD578" s="125"/>
      <c r="AE578" s="123"/>
      <c r="AF578" s="123"/>
      <c r="AG578" s="123"/>
      <c r="AH578" s="123"/>
      <c r="AI578" s="123"/>
      <c r="AJ578" s="123"/>
      <c r="AK578" s="123"/>
    </row>
    <row r="579" spans="1:37" ht="14.25" customHeight="1" x14ac:dyDescent="0.2">
      <c r="A579" s="123"/>
      <c r="C579" s="123"/>
      <c r="AB579" s="123"/>
      <c r="AC579" s="123"/>
      <c r="AD579" s="125"/>
      <c r="AE579" s="123"/>
      <c r="AF579" s="123"/>
      <c r="AG579" s="123"/>
      <c r="AH579" s="123"/>
      <c r="AI579" s="123"/>
      <c r="AJ579" s="123"/>
      <c r="AK579" s="123"/>
    </row>
    <row r="580" spans="1:37" ht="14.25" customHeight="1" x14ac:dyDescent="0.2">
      <c r="A580" s="123"/>
      <c r="C580" s="123"/>
      <c r="AB580" s="123"/>
      <c r="AC580" s="123"/>
      <c r="AD580" s="125"/>
      <c r="AE580" s="123"/>
      <c r="AF580" s="123"/>
      <c r="AG580" s="123"/>
      <c r="AH580" s="123"/>
      <c r="AI580" s="123"/>
      <c r="AJ580" s="123"/>
      <c r="AK580" s="123"/>
    </row>
    <row r="581" spans="1:37" ht="14.25" customHeight="1" x14ac:dyDescent="0.2">
      <c r="A581" s="123"/>
      <c r="C581" s="123"/>
      <c r="AB581" s="123"/>
      <c r="AC581" s="123"/>
      <c r="AD581" s="125"/>
      <c r="AE581" s="123"/>
      <c r="AF581" s="123"/>
      <c r="AG581" s="123"/>
      <c r="AH581" s="123"/>
      <c r="AI581" s="123"/>
      <c r="AJ581" s="123"/>
      <c r="AK581" s="123"/>
    </row>
    <row r="582" spans="1:37" ht="14.25" customHeight="1" x14ac:dyDescent="0.2">
      <c r="A582" s="123"/>
      <c r="C582" s="123"/>
      <c r="AB582" s="123"/>
      <c r="AC582" s="123"/>
      <c r="AD582" s="125"/>
      <c r="AE582" s="123"/>
      <c r="AF582" s="123"/>
      <c r="AG582" s="123"/>
      <c r="AH582" s="123"/>
      <c r="AI582" s="123"/>
      <c r="AJ582" s="123"/>
      <c r="AK582" s="123"/>
    </row>
    <row r="583" spans="1:37" ht="14.25" customHeight="1" x14ac:dyDescent="0.2">
      <c r="A583" s="123"/>
      <c r="C583" s="123"/>
      <c r="AB583" s="123"/>
      <c r="AC583" s="123"/>
      <c r="AD583" s="125"/>
      <c r="AE583" s="123"/>
      <c r="AF583" s="123"/>
      <c r="AG583" s="123"/>
      <c r="AH583" s="123"/>
      <c r="AI583" s="123"/>
      <c r="AJ583" s="123"/>
      <c r="AK583" s="123"/>
    </row>
    <row r="584" spans="1:37" ht="14.25" customHeight="1" x14ac:dyDescent="0.2">
      <c r="A584" s="123"/>
      <c r="C584" s="123"/>
      <c r="AB584" s="123"/>
      <c r="AC584" s="123"/>
      <c r="AD584" s="125"/>
      <c r="AE584" s="123"/>
      <c r="AF584" s="123"/>
      <c r="AG584" s="123"/>
      <c r="AH584" s="123"/>
      <c r="AI584" s="123"/>
      <c r="AJ584" s="123"/>
      <c r="AK584" s="123"/>
    </row>
    <row r="585" spans="1:37" ht="14.25" customHeight="1" x14ac:dyDescent="0.2">
      <c r="A585" s="123"/>
      <c r="C585" s="123"/>
      <c r="AB585" s="123"/>
      <c r="AC585" s="123"/>
      <c r="AD585" s="125"/>
      <c r="AE585" s="123"/>
      <c r="AF585" s="123"/>
      <c r="AG585" s="123"/>
      <c r="AH585" s="123"/>
      <c r="AI585" s="123"/>
      <c r="AJ585" s="123"/>
      <c r="AK585" s="123"/>
    </row>
    <row r="586" spans="1:37" ht="14.25" customHeight="1" x14ac:dyDescent="0.2">
      <c r="A586" s="123"/>
      <c r="C586" s="123"/>
      <c r="AB586" s="123"/>
      <c r="AC586" s="123"/>
      <c r="AD586" s="125"/>
      <c r="AE586" s="123"/>
      <c r="AF586" s="123"/>
      <c r="AG586" s="123"/>
      <c r="AH586" s="123"/>
      <c r="AI586" s="123"/>
      <c r="AJ586" s="123"/>
      <c r="AK586" s="123"/>
    </row>
    <row r="587" spans="1:37" ht="14.25" customHeight="1" x14ac:dyDescent="0.2">
      <c r="A587" s="123"/>
      <c r="C587" s="123"/>
      <c r="AB587" s="123"/>
      <c r="AC587" s="123"/>
      <c r="AD587" s="125"/>
      <c r="AE587" s="123"/>
      <c r="AF587" s="123"/>
      <c r="AG587" s="123"/>
      <c r="AH587" s="123"/>
      <c r="AI587" s="123"/>
      <c r="AJ587" s="123"/>
      <c r="AK587" s="123"/>
    </row>
    <row r="588" spans="1:37" ht="14.25" customHeight="1" x14ac:dyDescent="0.2">
      <c r="A588" s="123"/>
      <c r="C588" s="123"/>
      <c r="AB588" s="123"/>
      <c r="AC588" s="123"/>
      <c r="AD588" s="125"/>
      <c r="AE588" s="123"/>
      <c r="AF588" s="123"/>
      <c r="AG588" s="123"/>
      <c r="AH588" s="123"/>
      <c r="AI588" s="123"/>
      <c r="AJ588" s="123"/>
      <c r="AK588" s="123"/>
    </row>
    <row r="589" spans="1:37" ht="14.25" customHeight="1" x14ac:dyDescent="0.2">
      <c r="A589" s="123"/>
      <c r="C589" s="123"/>
      <c r="AB589" s="123"/>
      <c r="AC589" s="123"/>
      <c r="AD589" s="125"/>
      <c r="AE589" s="123"/>
      <c r="AF589" s="123"/>
      <c r="AG589" s="123"/>
      <c r="AH589" s="123"/>
      <c r="AI589" s="123"/>
      <c r="AJ589" s="123"/>
      <c r="AK589" s="123"/>
    </row>
    <row r="590" spans="1:37" ht="14.25" customHeight="1" x14ac:dyDescent="0.2">
      <c r="A590" s="123"/>
      <c r="C590" s="123"/>
      <c r="AB590" s="123"/>
      <c r="AC590" s="123"/>
      <c r="AD590" s="125"/>
      <c r="AE590" s="123"/>
      <c r="AF590" s="123"/>
      <c r="AG590" s="123"/>
      <c r="AH590" s="123"/>
      <c r="AI590" s="123"/>
      <c r="AJ590" s="123"/>
      <c r="AK590" s="123"/>
    </row>
    <row r="591" spans="1:37" ht="14.25" customHeight="1" x14ac:dyDescent="0.2">
      <c r="A591" s="123"/>
      <c r="C591" s="123"/>
      <c r="AB591" s="123"/>
      <c r="AC591" s="123"/>
      <c r="AD591" s="125"/>
      <c r="AE591" s="123"/>
      <c r="AF591" s="123"/>
      <c r="AG591" s="123"/>
      <c r="AH591" s="123"/>
      <c r="AI591" s="123"/>
      <c r="AJ591" s="123"/>
      <c r="AK591" s="123"/>
    </row>
    <row r="592" spans="1:37" ht="14.25" customHeight="1" x14ac:dyDescent="0.2">
      <c r="A592" s="123"/>
      <c r="C592" s="123"/>
      <c r="AB592" s="123"/>
      <c r="AC592" s="123"/>
      <c r="AD592" s="125"/>
      <c r="AE592" s="123"/>
      <c r="AF592" s="123"/>
      <c r="AG592" s="123"/>
      <c r="AH592" s="123"/>
      <c r="AI592" s="123"/>
      <c r="AJ592" s="123"/>
      <c r="AK592" s="123"/>
    </row>
    <row r="593" spans="1:37" ht="14.25" customHeight="1" x14ac:dyDescent="0.2">
      <c r="A593" s="123"/>
      <c r="C593" s="123"/>
      <c r="AB593" s="123"/>
      <c r="AC593" s="123"/>
      <c r="AD593" s="125"/>
      <c r="AE593" s="123"/>
      <c r="AF593" s="123"/>
      <c r="AG593" s="123"/>
      <c r="AH593" s="123"/>
      <c r="AI593" s="123"/>
      <c r="AJ593" s="123"/>
      <c r="AK593" s="123"/>
    </row>
    <row r="594" spans="1:37" ht="14.25" customHeight="1" x14ac:dyDescent="0.2">
      <c r="A594" s="123"/>
      <c r="C594" s="123"/>
      <c r="AB594" s="123"/>
      <c r="AC594" s="123"/>
      <c r="AD594" s="125"/>
      <c r="AE594" s="123"/>
      <c r="AF594" s="123"/>
      <c r="AG594" s="123"/>
      <c r="AH594" s="123"/>
      <c r="AI594" s="123"/>
      <c r="AJ594" s="123"/>
      <c r="AK594" s="123"/>
    </row>
    <row r="595" spans="1:37" ht="14.25" customHeight="1" x14ac:dyDescent="0.2">
      <c r="A595" s="123"/>
      <c r="C595" s="123"/>
      <c r="AB595" s="123"/>
      <c r="AC595" s="123"/>
      <c r="AD595" s="125"/>
      <c r="AE595" s="123"/>
      <c r="AF595" s="123"/>
      <c r="AG595" s="123"/>
      <c r="AH595" s="123"/>
      <c r="AI595" s="123"/>
      <c r="AJ595" s="123"/>
      <c r="AK595" s="123"/>
    </row>
    <row r="596" spans="1:37" ht="14.25" customHeight="1" x14ac:dyDescent="0.2">
      <c r="A596" s="123"/>
      <c r="C596" s="123"/>
      <c r="AB596" s="123"/>
      <c r="AC596" s="123"/>
      <c r="AD596" s="125"/>
      <c r="AE596" s="123"/>
      <c r="AF596" s="123"/>
      <c r="AG596" s="123"/>
      <c r="AH596" s="123"/>
      <c r="AI596" s="123"/>
      <c r="AJ596" s="123"/>
      <c r="AK596" s="123"/>
    </row>
    <row r="597" spans="1:37" ht="14.25" customHeight="1" x14ac:dyDescent="0.2">
      <c r="A597" s="123"/>
      <c r="C597" s="123"/>
      <c r="AB597" s="123"/>
      <c r="AC597" s="123"/>
      <c r="AD597" s="125"/>
      <c r="AE597" s="123"/>
      <c r="AF597" s="123"/>
      <c r="AG597" s="123"/>
      <c r="AH597" s="123"/>
      <c r="AI597" s="123"/>
      <c r="AJ597" s="123"/>
      <c r="AK597" s="123"/>
    </row>
    <row r="598" spans="1:37" ht="14.25" customHeight="1" x14ac:dyDescent="0.2">
      <c r="A598" s="123"/>
      <c r="C598" s="123"/>
      <c r="AB598" s="123"/>
      <c r="AC598" s="123"/>
      <c r="AD598" s="125"/>
      <c r="AE598" s="123"/>
      <c r="AF598" s="123"/>
      <c r="AG598" s="123"/>
      <c r="AH598" s="123"/>
      <c r="AI598" s="123"/>
      <c r="AJ598" s="123"/>
      <c r="AK598" s="123"/>
    </row>
    <row r="599" spans="1:37" ht="14.25" customHeight="1" x14ac:dyDescent="0.2">
      <c r="A599" s="123"/>
      <c r="C599" s="123"/>
      <c r="AB599" s="123"/>
      <c r="AC599" s="123"/>
      <c r="AD599" s="125"/>
      <c r="AE599" s="123"/>
      <c r="AF599" s="123"/>
      <c r="AG599" s="123"/>
      <c r="AH599" s="123"/>
      <c r="AI599" s="123"/>
      <c r="AJ599" s="123"/>
      <c r="AK599" s="123"/>
    </row>
    <row r="600" spans="1:37" ht="14.25" customHeight="1" x14ac:dyDescent="0.2">
      <c r="A600" s="123"/>
      <c r="C600" s="123"/>
      <c r="AB600" s="123"/>
      <c r="AC600" s="123"/>
      <c r="AD600" s="125"/>
      <c r="AE600" s="123"/>
      <c r="AF600" s="123"/>
      <c r="AG600" s="123"/>
      <c r="AH600" s="123"/>
      <c r="AI600" s="123"/>
      <c r="AJ600" s="123"/>
      <c r="AK600" s="123"/>
    </row>
    <row r="601" spans="1:37" ht="14.25" customHeight="1" x14ac:dyDescent="0.2">
      <c r="A601" s="123"/>
      <c r="C601" s="123"/>
      <c r="AB601" s="123"/>
      <c r="AC601" s="123"/>
      <c r="AD601" s="125"/>
      <c r="AE601" s="123"/>
      <c r="AF601" s="123"/>
      <c r="AG601" s="123"/>
      <c r="AH601" s="123"/>
      <c r="AI601" s="123"/>
      <c r="AJ601" s="123"/>
      <c r="AK601" s="123"/>
    </row>
    <row r="602" spans="1:37" ht="14.25" customHeight="1" x14ac:dyDescent="0.2">
      <c r="A602" s="123"/>
      <c r="C602" s="123"/>
      <c r="AB602" s="123"/>
      <c r="AC602" s="123"/>
      <c r="AD602" s="125"/>
      <c r="AE602" s="123"/>
      <c r="AF602" s="123"/>
      <c r="AG602" s="123"/>
      <c r="AH602" s="123"/>
      <c r="AI602" s="123"/>
      <c r="AJ602" s="123"/>
      <c r="AK602" s="123"/>
    </row>
    <row r="603" spans="1:37" ht="14.25" customHeight="1" x14ac:dyDescent="0.2">
      <c r="A603" s="123"/>
      <c r="C603" s="123"/>
      <c r="AB603" s="123"/>
      <c r="AC603" s="123"/>
      <c r="AD603" s="125"/>
      <c r="AE603" s="123"/>
      <c r="AF603" s="123"/>
      <c r="AG603" s="123"/>
      <c r="AH603" s="123"/>
      <c r="AI603" s="123"/>
      <c r="AJ603" s="123"/>
      <c r="AK603" s="123"/>
    </row>
    <row r="604" spans="1:37" ht="14.25" customHeight="1" x14ac:dyDescent="0.2">
      <c r="A604" s="123"/>
      <c r="C604" s="123"/>
      <c r="AB604" s="123"/>
      <c r="AC604" s="123"/>
      <c r="AD604" s="125"/>
      <c r="AE604" s="123"/>
      <c r="AF604" s="123"/>
      <c r="AG604" s="123"/>
      <c r="AH604" s="123"/>
      <c r="AI604" s="123"/>
      <c r="AJ604" s="123"/>
      <c r="AK604" s="123"/>
    </row>
    <row r="605" spans="1:37" ht="14.25" customHeight="1" x14ac:dyDescent="0.2">
      <c r="A605" s="123"/>
      <c r="C605" s="123"/>
      <c r="AB605" s="123"/>
      <c r="AC605" s="123"/>
      <c r="AD605" s="125"/>
      <c r="AE605" s="123"/>
      <c r="AF605" s="123"/>
      <c r="AG605" s="123"/>
      <c r="AH605" s="123"/>
      <c r="AI605" s="123"/>
      <c r="AJ605" s="123"/>
      <c r="AK605" s="123"/>
    </row>
    <row r="606" spans="1:37" ht="14.25" customHeight="1" x14ac:dyDescent="0.2">
      <c r="A606" s="123"/>
      <c r="C606" s="123"/>
      <c r="AB606" s="123"/>
      <c r="AC606" s="123"/>
      <c r="AD606" s="125"/>
      <c r="AE606" s="123"/>
      <c r="AF606" s="123"/>
      <c r="AG606" s="123"/>
      <c r="AH606" s="123"/>
      <c r="AI606" s="123"/>
      <c r="AJ606" s="123"/>
      <c r="AK606" s="123"/>
    </row>
    <row r="607" spans="1:37" ht="14.25" customHeight="1" x14ac:dyDescent="0.2">
      <c r="A607" s="123"/>
      <c r="C607" s="123"/>
      <c r="AB607" s="123"/>
      <c r="AC607" s="123"/>
      <c r="AD607" s="125"/>
      <c r="AE607" s="123"/>
      <c r="AF607" s="123"/>
      <c r="AG607" s="123"/>
      <c r="AH607" s="123"/>
      <c r="AI607" s="123"/>
      <c r="AJ607" s="123"/>
      <c r="AK607" s="123"/>
    </row>
    <row r="608" spans="1:37" ht="14.25" customHeight="1" x14ac:dyDescent="0.2">
      <c r="A608" s="123"/>
      <c r="C608" s="123"/>
      <c r="AB608" s="123"/>
      <c r="AC608" s="123"/>
      <c r="AD608" s="125"/>
      <c r="AE608" s="123"/>
      <c r="AF608" s="123"/>
      <c r="AG608" s="123"/>
      <c r="AH608" s="123"/>
      <c r="AI608" s="123"/>
      <c r="AJ608" s="123"/>
      <c r="AK608" s="123"/>
    </row>
    <row r="609" spans="1:37" ht="14.25" customHeight="1" x14ac:dyDescent="0.2">
      <c r="A609" s="123"/>
      <c r="C609" s="123"/>
      <c r="AB609" s="123"/>
      <c r="AC609" s="123"/>
      <c r="AD609" s="125"/>
      <c r="AE609" s="123"/>
      <c r="AF609" s="123"/>
      <c r="AG609" s="123"/>
      <c r="AH609" s="123"/>
      <c r="AI609" s="123"/>
      <c r="AJ609" s="123"/>
      <c r="AK609" s="123"/>
    </row>
    <row r="610" spans="1:37" ht="14.25" customHeight="1" x14ac:dyDescent="0.2">
      <c r="A610" s="123"/>
      <c r="C610" s="123"/>
      <c r="AB610" s="123"/>
      <c r="AC610" s="123"/>
      <c r="AD610" s="125"/>
      <c r="AE610" s="123"/>
      <c r="AF610" s="123"/>
      <c r="AG610" s="123"/>
      <c r="AH610" s="123"/>
      <c r="AI610" s="123"/>
      <c r="AJ610" s="123"/>
      <c r="AK610" s="123"/>
    </row>
    <row r="611" spans="1:37" ht="14.25" customHeight="1" x14ac:dyDescent="0.2">
      <c r="A611" s="123"/>
      <c r="C611" s="123"/>
      <c r="AB611" s="123"/>
      <c r="AC611" s="123"/>
      <c r="AD611" s="125"/>
      <c r="AE611" s="123"/>
      <c r="AF611" s="123"/>
      <c r="AG611" s="123"/>
      <c r="AH611" s="123"/>
      <c r="AI611" s="123"/>
      <c r="AJ611" s="123"/>
      <c r="AK611" s="123"/>
    </row>
    <row r="612" spans="1:37" ht="14.25" customHeight="1" x14ac:dyDescent="0.2">
      <c r="A612" s="123"/>
      <c r="C612" s="123"/>
      <c r="AB612" s="123"/>
      <c r="AC612" s="123"/>
      <c r="AD612" s="125"/>
      <c r="AE612" s="123"/>
      <c r="AF612" s="123"/>
      <c r="AG612" s="123"/>
      <c r="AH612" s="123"/>
      <c r="AI612" s="123"/>
      <c r="AJ612" s="123"/>
      <c r="AK612" s="123"/>
    </row>
    <row r="613" spans="1:37" ht="14.25" customHeight="1" x14ac:dyDescent="0.2">
      <c r="A613" s="123"/>
      <c r="C613" s="123"/>
      <c r="AB613" s="123"/>
      <c r="AC613" s="123"/>
      <c r="AD613" s="125"/>
      <c r="AE613" s="123"/>
      <c r="AF613" s="123"/>
      <c r="AG613" s="123"/>
      <c r="AH613" s="123"/>
      <c r="AI613" s="123"/>
      <c r="AJ613" s="123"/>
      <c r="AK613" s="123"/>
    </row>
    <row r="614" spans="1:37" ht="14.25" customHeight="1" x14ac:dyDescent="0.2">
      <c r="A614" s="123"/>
      <c r="C614" s="123"/>
      <c r="AB614" s="123"/>
      <c r="AC614" s="123"/>
      <c r="AD614" s="125"/>
      <c r="AE614" s="123"/>
      <c r="AF614" s="123"/>
      <c r="AG614" s="123"/>
      <c r="AH614" s="123"/>
      <c r="AI614" s="123"/>
      <c r="AJ614" s="123"/>
      <c r="AK614" s="123"/>
    </row>
    <row r="615" spans="1:37" ht="14.25" customHeight="1" x14ac:dyDescent="0.2">
      <c r="A615" s="123"/>
      <c r="C615" s="123"/>
      <c r="AB615" s="123"/>
      <c r="AC615" s="123"/>
      <c r="AD615" s="125"/>
      <c r="AE615" s="123"/>
      <c r="AF615" s="123"/>
      <c r="AG615" s="123"/>
      <c r="AH615" s="123"/>
      <c r="AI615" s="123"/>
      <c r="AJ615" s="123"/>
      <c r="AK615" s="123"/>
    </row>
    <row r="616" spans="1:37" ht="14.25" customHeight="1" x14ac:dyDescent="0.2">
      <c r="A616" s="123"/>
      <c r="C616" s="123"/>
      <c r="AB616" s="123"/>
      <c r="AC616" s="123"/>
      <c r="AD616" s="125"/>
      <c r="AE616" s="123"/>
      <c r="AF616" s="123"/>
      <c r="AG616" s="123"/>
      <c r="AH616" s="123"/>
      <c r="AI616" s="123"/>
      <c r="AJ616" s="123"/>
      <c r="AK616" s="123"/>
    </row>
    <row r="617" spans="1:37" ht="14.25" customHeight="1" x14ac:dyDescent="0.2">
      <c r="A617" s="123"/>
      <c r="C617" s="123"/>
      <c r="AB617" s="123"/>
      <c r="AC617" s="123"/>
      <c r="AD617" s="125"/>
      <c r="AE617" s="123"/>
      <c r="AF617" s="123"/>
      <c r="AG617" s="123"/>
      <c r="AH617" s="123"/>
      <c r="AI617" s="123"/>
      <c r="AJ617" s="123"/>
      <c r="AK617" s="123"/>
    </row>
    <row r="618" spans="1:37" ht="14.25" customHeight="1" x14ac:dyDescent="0.2">
      <c r="A618" s="123"/>
      <c r="C618" s="123"/>
      <c r="AB618" s="123"/>
      <c r="AC618" s="123"/>
      <c r="AD618" s="125"/>
      <c r="AE618" s="123"/>
      <c r="AF618" s="123"/>
      <c r="AG618" s="123"/>
      <c r="AH618" s="123"/>
      <c r="AI618" s="123"/>
      <c r="AJ618" s="123"/>
      <c r="AK618" s="123"/>
    </row>
    <row r="619" spans="1:37" ht="14.25" customHeight="1" x14ac:dyDescent="0.2">
      <c r="A619" s="123"/>
      <c r="C619" s="123"/>
      <c r="AB619" s="123"/>
      <c r="AC619" s="123"/>
      <c r="AD619" s="125"/>
      <c r="AE619" s="123"/>
      <c r="AF619" s="123"/>
      <c r="AG619" s="123"/>
      <c r="AH619" s="123"/>
      <c r="AI619" s="123"/>
      <c r="AJ619" s="123"/>
      <c r="AK619" s="123"/>
    </row>
    <row r="620" spans="1:37" ht="14.25" customHeight="1" x14ac:dyDescent="0.2">
      <c r="A620" s="123"/>
      <c r="C620" s="123"/>
      <c r="AB620" s="123"/>
      <c r="AC620" s="123"/>
      <c r="AD620" s="125"/>
      <c r="AE620" s="123"/>
      <c r="AF620" s="123"/>
      <c r="AG620" s="123"/>
      <c r="AH620" s="123"/>
      <c r="AI620" s="123"/>
      <c r="AJ620" s="123"/>
      <c r="AK620" s="123"/>
    </row>
    <row r="621" spans="1:37" ht="14.25" customHeight="1" x14ac:dyDescent="0.2">
      <c r="A621" s="123"/>
      <c r="C621" s="123"/>
      <c r="AB621" s="123"/>
      <c r="AC621" s="123"/>
      <c r="AD621" s="125"/>
      <c r="AE621" s="123"/>
      <c r="AF621" s="123"/>
      <c r="AG621" s="123"/>
      <c r="AH621" s="123"/>
      <c r="AI621" s="123"/>
      <c r="AJ621" s="123"/>
      <c r="AK621" s="123"/>
    </row>
    <row r="622" spans="1:37" ht="14.25" customHeight="1" x14ac:dyDescent="0.2">
      <c r="A622" s="123"/>
      <c r="C622" s="123"/>
      <c r="AB622" s="123"/>
      <c r="AC622" s="123"/>
      <c r="AD622" s="125"/>
      <c r="AE622" s="123"/>
      <c r="AF622" s="123"/>
      <c r="AG622" s="123"/>
      <c r="AH622" s="123"/>
      <c r="AI622" s="123"/>
      <c r="AJ622" s="123"/>
      <c r="AK622" s="123"/>
    </row>
    <row r="623" spans="1:37" ht="14.25" customHeight="1" x14ac:dyDescent="0.2">
      <c r="A623" s="123"/>
      <c r="C623" s="123"/>
      <c r="AB623" s="123"/>
      <c r="AC623" s="123"/>
      <c r="AD623" s="125"/>
      <c r="AE623" s="123"/>
      <c r="AF623" s="123"/>
      <c r="AG623" s="123"/>
      <c r="AH623" s="123"/>
      <c r="AI623" s="123"/>
      <c r="AJ623" s="123"/>
      <c r="AK623" s="123"/>
    </row>
    <row r="624" spans="1:37" ht="14.25" customHeight="1" x14ac:dyDescent="0.2">
      <c r="A624" s="123"/>
      <c r="C624" s="123"/>
      <c r="AB624" s="123"/>
      <c r="AC624" s="123"/>
      <c r="AD624" s="125"/>
      <c r="AE624" s="123"/>
      <c r="AF624" s="123"/>
      <c r="AG624" s="123"/>
      <c r="AH624" s="123"/>
      <c r="AI624" s="123"/>
      <c r="AJ624" s="123"/>
      <c r="AK624" s="123"/>
    </row>
    <row r="625" spans="1:37" ht="14.25" customHeight="1" x14ac:dyDescent="0.2">
      <c r="A625" s="123"/>
      <c r="C625" s="123"/>
      <c r="AB625" s="123"/>
      <c r="AC625" s="123"/>
      <c r="AD625" s="125"/>
      <c r="AE625" s="123"/>
      <c r="AF625" s="123"/>
      <c r="AG625" s="123"/>
      <c r="AH625" s="123"/>
      <c r="AI625" s="123"/>
      <c r="AJ625" s="123"/>
      <c r="AK625" s="123"/>
    </row>
    <row r="626" spans="1:37" ht="14.25" customHeight="1" x14ac:dyDescent="0.2">
      <c r="A626" s="123"/>
      <c r="C626" s="123"/>
      <c r="AB626" s="123"/>
      <c r="AC626" s="123"/>
      <c r="AD626" s="125"/>
      <c r="AE626" s="123"/>
      <c r="AF626" s="123"/>
      <c r="AG626" s="123"/>
      <c r="AH626" s="123"/>
      <c r="AI626" s="123"/>
      <c r="AJ626" s="123"/>
      <c r="AK626" s="123"/>
    </row>
    <row r="627" spans="1:37" ht="14.25" customHeight="1" x14ac:dyDescent="0.2">
      <c r="A627" s="123"/>
      <c r="C627" s="123"/>
      <c r="AB627" s="123"/>
      <c r="AC627" s="123"/>
      <c r="AD627" s="125"/>
      <c r="AE627" s="123"/>
      <c r="AF627" s="123"/>
      <c r="AG627" s="123"/>
      <c r="AH627" s="123"/>
      <c r="AI627" s="123"/>
      <c r="AJ627" s="123"/>
      <c r="AK627" s="123"/>
    </row>
    <row r="628" spans="1:37" ht="14.25" customHeight="1" x14ac:dyDescent="0.2">
      <c r="A628" s="123"/>
      <c r="C628" s="123"/>
      <c r="AB628" s="123"/>
      <c r="AC628" s="123"/>
      <c r="AD628" s="125"/>
      <c r="AE628" s="123"/>
      <c r="AF628" s="123"/>
      <c r="AG628" s="123"/>
      <c r="AH628" s="123"/>
      <c r="AI628" s="123"/>
      <c r="AJ628" s="123"/>
      <c r="AK628" s="123"/>
    </row>
    <row r="629" spans="1:37" ht="14.25" customHeight="1" x14ac:dyDescent="0.2">
      <c r="A629" s="123"/>
      <c r="C629" s="123"/>
      <c r="AB629" s="123"/>
      <c r="AC629" s="123"/>
      <c r="AD629" s="125"/>
      <c r="AE629" s="123"/>
      <c r="AF629" s="123"/>
      <c r="AG629" s="123"/>
      <c r="AH629" s="123"/>
      <c r="AI629" s="123"/>
      <c r="AJ629" s="123"/>
      <c r="AK629" s="123"/>
    </row>
    <row r="630" spans="1:37" ht="14.25" customHeight="1" x14ac:dyDescent="0.2">
      <c r="A630" s="123"/>
      <c r="C630" s="123"/>
      <c r="AB630" s="123"/>
      <c r="AC630" s="123"/>
      <c r="AD630" s="125"/>
      <c r="AE630" s="123"/>
      <c r="AF630" s="123"/>
      <c r="AG630" s="123"/>
      <c r="AH630" s="123"/>
      <c r="AI630" s="123"/>
      <c r="AJ630" s="123"/>
      <c r="AK630" s="123"/>
    </row>
    <row r="631" spans="1:37" ht="14.25" customHeight="1" x14ac:dyDescent="0.2">
      <c r="A631" s="123"/>
      <c r="C631" s="123"/>
      <c r="AB631" s="123"/>
      <c r="AC631" s="123"/>
      <c r="AD631" s="125"/>
      <c r="AE631" s="123"/>
      <c r="AF631" s="123"/>
      <c r="AG631" s="123"/>
      <c r="AH631" s="123"/>
      <c r="AI631" s="123"/>
      <c r="AJ631" s="123"/>
      <c r="AK631" s="123"/>
    </row>
    <row r="632" spans="1:37" ht="14.25" customHeight="1" x14ac:dyDescent="0.2">
      <c r="A632" s="123"/>
      <c r="C632" s="123"/>
      <c r="AB632" s="123"/>
      <c r="AC632" s="123"/>
      <c r="AD632" s="125"/>
      <c r="AE632" s="123"/>
      <c r="AF632" s="123"/>
      <c r="AG632" s="123"/>
      <c r="AH632" s="123"/>
      <c r="AI632" s="123"/>
      <c r="AJ632" s="123"/>
      <c r="AK632" s="123"/>
    </row>
    <row r="633" spans="1:37" ht="14.25" customHeight="1" x14ac:dyDescent="0.2">
      <c r="A633" s="123"/>
      <c r="C633" s="123"/>
      <c r="AB633" s="123"/>
      <c r="AC633" s="123"/>
      <c r="AD633" s="125"/>
      <c r="AE633" s="123"/>
      <c r="AF633" s="123"/>
      <c r="AG633" s="123"/>
      <c r="AH633" s="123"/>
      <c r="AI633" s="123"/>
      <c r="AJ633" s="123"/>
      <c r="AK633" s="123"/>
    </row>
    <row r="634" spans="1:37" ht="14.25" customHeight="1" x14ac:dyDescent="0.2">
      <c r="A634" s="123"/>
      <c r="C634" s="123"/>
      <c r="AB634" s="123"/>
      <c r="AC634" s="123"/>
      <c r="AD634" s="125"/>
      <c r="AE634" s="123"/>
      <c r="AF634" s="123"/>
      <c r="AG634" s="123"/>
      <c r="AH634" s="123"/>
      <c r="AI634" s="123"/>
      <c r="AJ634" s="123"/>
      <c r="AK634" s="123"/>
    </row>
    <row r="635" spans="1:37" ht="14.25" customHeight="1" x14ac:dyDescent="0.2">
      <c r="A635" s="123"/>
      <c r="C635" s="123"/>
      <c r="AB635" s="123"/>
      <c r="AC635" s="123"/>
      <c r="AD635" s="125"/>
      <c r="AE635" s="123"/>
      <c r="AF635" s="123"/>
      <c r="AG635" s="123"/>
      <c r="AH635" s="123"/>
      <c r="AI635" s="123"/>
      <c r="AJ635" s="123"/>
      <c r="AK635" s="123"/>
    </row>
    <row r="636" spans="1:37" ht="14.25" customHeight="1" x14ac:dyDescent="0.2">
      <c r="A636" s="123"/>
      <c r="C636" s="123"/>
      <c r="AB636" s="123"/>
      <c r="AC636" s="123"/>
      <c r="AD636" s="125"/>
      <c r="AE636" s="123"/>
      <c r="AF636" s="123"/>
      <c r="AG636" s="123"/>
      <c r="AH636" s="123"/>
      <c r="AI636" s="123"/>
      <c r="AJ636" s="123"/>
      <c r="AK636" s="123"/>
    </row>
    <row r="637" spans="1:37" ht="14.25" customHeight="1" x14ac:dyDescent="0.2">
      <c r="A637" s="123"/>
      <c r="C637" s="123"/>
      <c r="AB637" s="123"/>
      <c r="AC637" s="123"/>
      <c r="AD637" s="125"/>
      <c r="AE637" s="123"/>
      <c r="AF637" s="123"/>
      <c r="AG637" s="123"/>
      <c r="AH637" s="123"/>
      <c r="AI637" s="123"/>
      <c r="AJ637" s="123"/>
      <c r="AK637" s="123"/>
    </row>
    <row r="638" spans="1:37" ht="14.25" customHeight="1" x14ac:dyDescent="0.2">
      <c r="A638" s="123"/>
      <c r="C638" s="123"/>
      <c r="AB638" s="123"/>
      <c r="AC638" s="123"/>
      <c r="AD638" s="125"/>
      <c r="AE638" s="123"/>
      <c r="AF638" s="123"/>
      <c r="AG638" s="123"/>
      <c r="AH638" s="123"/>
      <c r="AI638" s="123"/>
      <c r="AJ638" s="123"/>
      <c r="AK638" s="123"/>
    </row>
    <row r="639" spans="1:37" ht="14.25" customHeight="1" x14ac:dyDescent="0.2">
      <c r="A639" s="123"/>
      <c r="C639" s="123"/>
      <c r="AB639" s="123"/>
      <c r="AC639" s="123"/>
      <c r="AD639" s="125"/>
      <c r="AE639" s="123"/>
      <c r="AF639" s="123"/>
      <c r="AG639" s="123"/>
      <c r="AH639" s="123"/>
      <c r="AI639" s="123"/>
      <c r="AJ639" s="123"/>
      <c r="AK639" s="123"/>
    </row>
    <row r="640" spans="1:37" ht="14.25" customHeight="1" x14ac:dyDescent="0.2">
      <c r="A640" s="123"/>
      <c r="C640" s="123"/>
      <c r="AB640" s="123"/>
      <c r="AC640" s="123"/>
      <c r="AD640" s="125"/>
      <c r="AE640" s="123"/>
      <c r="AF640" s="123"/>
      <c r="AG640" s="123"/>
      <c r="AH640" s="123"/>
      <c r="AI640" s="123"/>
      <c r="AJ640" s="123"/>
      <c r="AK640" s="123"/>
    </row>
    <row r="641" spans="1:37" ht="14.25" customHeight="1" x14ac:dyDescent="0.2">
      <c r="A641" s="123"/>
      <c r="C641" s="123"/>
      <c r="AB641" s="123"/>
      <c r="AC641" s="123"/>
      <c r="AD641" s="125"/>
      <c r="AE641" s="123"/>
      <c r="AF641" s="123"/>
      <c r="AG641" s="123"/>
      <c r="AH641" s="123"/>
      <c r="AI641" s="123"/>
      <c r="AJ641" s="123"/>
      <c r="AK641" s="123"/>
    </row>
    <row r="642" spans="1:37" ht="14.25" customHeight="1" x14ac:dyDescent="0.2">
      <c r="A642" s="123"/>
      <c r="C642" s="123"/>
      <c r="AB642" s="123"/>
      <c r="AC642" s="123"/>
      <c r="AD642" s="125"/>
      <c r="AE642" s="123"/>
      <c r="AF642" s="123"/>
      <c r="AG642" s="123"/>
      <c r="AH642" s="123"/>
      <c r="AI642" s="123"/>
      <c r="AJ642" s="123"/>
      <c r="AK642" s="123"/>
    </row>
    <row r="643" spans="1:37" ht="14.25" customHeight="1" x14ac:dyDescent="0.2">
      <c r="A643" s="123"/>
      <c r="C643" s="123"/>
      <c r="AB643" s="123"/>
      <c r="AC643" s="123"/>
      <c r="AD643" s="125"/>
      <c r="AE643" s="123"/>
      <c r="AF643" s="123"/>
      <c r="AG643" s="123"/>
      <c r="AH643" s="123"/>
      <c r="AI643" s="123"/>
      <c r="AJ643" s="123"/>
      <c r="AK643" s="123"/>
    </row>
    <row r="644" spans="1:37" ht="14.25" customHeight="1" x14ac:dyDescent="0.2">
      <c r="A644" s="123"/>
      <c r="C644" s="123"/>
      <c r="AB644" s="123"/>
      <c r="AC644" s="123"/>
      <c r="AD644" s="125"/>
      <c r="AE644" s="123"/>
      <c r="AF644" s="123"/>
      <c r="AG644" s="123"/>
      <c r="AH644" s="123"/>
      <c r="AI644" s="123"/>
      <c r="AJ644" s="123"/>
      <c r="AK644" s="123"/>
    </row>
    <row r="645" spans="1:37" ht="14.25" customHeight="1" x14ac:dyDescent="0.2">
      <c r="A645" s="123"/>
      <c r="C645" s="123"/>
      <c r="AB645" s="123"/>
      <c r="AC645" s="123"/>
      <c r="AD645" s="125"/>
      <c r="AE645" s="123"/>
      <c r="AF645" s="123"/>
      <c r="AG645" s="123"/>
      <c r="AH645" s="123"/>
      <c r="AI645" s="123"/>
      <c r="AJ645" s="123"/>
      <c r="AK645" s="123"/>
    </row>
    <row r="646" spans="1:37" ht="14.25" customHeight="1" x14ac:dyDescent="0.2">
      <c r="A646" s="123"/>
      <c r="C646" s="123"/>
      <c r="AB646" s="123"/>
      <c r="AC646" s="123"/>
      <c r="AD646" s="125"/>
      <c r="AE646" s="123"/>
      <c r="AF646" s="123"/>
      <c r="AG646" s="123"/>
      <c r="AH646" s="123"/>
      <c r="AI646" s="123"/>
      <c r="AJ646" s="123"/>
      <c r="AK646" s="123"/>
    </row>
    <row r="647" spans="1:37" ht="14.25" customHeight="1" x14ac:dyDescent="0.2">
      <c r="A647" s="123"/>
      <c r="C647" s="123"/>
      <c r="AB647" s="123"/>
      <c r="AC647" s="123"/>
      <c r="AD647" s="125"/>
      <c r="AE647" s="123"/>
      <c r="AF647" s="123"/>
      <c r="AG647" s="123"/>
      <c r="AH647" s="123"/>
      <c r="AI647" s="123"/>
      <c r="AJ647" s="123"/>
      <c r="AK647" s="123"/>
    </row>
    <row r="648" spans="1:37" ht="14.25" customHeight="1" x14ac:dyDescent="0.2">
      <c r="A648" s="123"/>
      <c r="C648" s="123"/>
      <c r="AB648" s="123"/>
      <c r="AC648" s="123"/>
      <c r="AD648" s="125"/>
      <c r="AE648" s="123"/>
      <c r="AF648" s="123"/>
      <c r="AG648" s="123"/>
      <c r="AH648" s="123"/>
      <c r="AI648" s="123"/>
      <c r="AJ648" s="123"/>
      <c r="AK648" s="123"/>
    </row>
    <row r="649" spans="1:37" ht="14.25" customHeight="1" x14ac:dyDescent="0.2">
      <c r="A649" s="123"/>
      <c r="C649" s="123"/>
      <c r="AB649" s="123"/>
      <c r="AC649" s="123"/>
      <c r="AD649" s="125"/>
      <c r="AE649" s="123"/>
      <c r="AF649" s="123"/>
      <c r="AG649" s="123"/>
      <c r="AH649" s="123"/>
      <c r="AI649" s="123"/>
      <c r="AJ649" s="123"/>
      <c r="AK649" s="123"/>
    </row>
    <row r="650" spans="1:37" ht="14.25" customHeight="1" x14ac:dyDescent="0.2">
      <c r="A650" s="123"/>
      <c r="C650" s="123"/>
      <c r="AB650" s="123"/>
      <c r="AC650" s="123"/>
      <c r="AD650" s="125"/>
      <c r="AE650" s="123"/>
      <c r="AF650" s="123"/>
      <c r="AG650" s="123"/>
      <c r="AH650" s="123"/>
      <c r="AI650" s="123"/>
      <c r="AJ650" s="123"/>
      <c r="AK650" s="123"/>
    </row>
    <row r="651" spans="1:37" ht="14.25" customHeight="1" x14ac:dyDescent="0.2">
      <c r="A651" s="123"/>
      <c r="C651" s="123"/>
      <c r="AB651" s="123"/>
      <c r="AC651" s="123"/>
      <c r="AD651" s="125"/>
      <c r="AE651" s="123"/>
      <c r="AF651" s="123"/>
      <c r="AG651" s="123"/>
      <c r="AH651" s="123"/>
      <c r="AI651" s="123"/>
      <c r="AJ651" s="123"/>
      <c r="AK651" s="123"/>
    </row>
    <row r="652" spans="1:37" ht="14.25" customHeight="1" x14ac:dyDescent="0.2">
      <c r="A652" s="123"/>
      <c r="C652" s="123"/>
      <c r="AB652" s="123"/>
      <c r="AC652" s="123"/>
      <c r="AD652" s="125"/>
      <c r="AE652" s="123"/>
      <c r="AF652" s="123"/>
      <c r="AG652" s="123"/>
      <c r="AH652" s="123"/>
      <c r="AI652" s="123"/>
      <c r="AJ652" s="123"/>
      <c r="AK652" s="123"/>
    </row>
    <row r="653" spans="1:37" ht="14.25" customHeight="1" x14ac:dyDescent="0.2">
      <c r="A653" s="123"/>
      <c r="C653" s="123"/>
      <c r="AB653" s="123"/>
      <c r="AC653" s="123"/>
      <c r="AD653" s="125"/>
      <c r="AE653" s="123"/>
      <c r="AF653" s="123"/>
      <c r="AG653" s="123"/>
      <c r="AH653" s="123"/>
      <c r="AI653" s="123"/>
      <c r="AJ653" s="123"/>
      <c r="AK653" s="123"/>
    </row>
    <row r="654" spans="1:37" ht="14.25" customHeight="1" x14ac:dyDescent="0.2">
      <c r="A654" s="123"/>
      <c r="C654" s="123"/>
      <c r="AB654" s="123"/>
      <c r="AC654" s="123"/>
      <c r="AD654" s="125"/>
      <c r="AE654" s="123"/>
      <c r="AF654" s="123"/>
      <c r="AG654" s="123"/>
      <c r="AH654" s="123"/>
      <c r="AI654" s="123"/>
      <c r="AJ654" s="123"/>
      <c r="AK654" s="123"/>
    </row>
    <row r="655" spans="1:37" ht="14.25" customHeight="1" x14ac:dyDescent="0.2">
      <c r="A655" s="123"/>
      <c r="C655" s="123"/>
      <c r="AB655" s="123"/>
      <c r="AC655" s="123"/>
      <c r="AD655" s="125"/>
      <c r="AE655" s="123"/>
      <c r="AF655" s="123"/>
      <c r="AG655" s="123"/>
      <c r="AH655" s="123"/>
      <c r="AI655" s="123"/>
      <c r="AJ655" s="123"/>
      <c r="AK655" s="123"/>
    </row>
    <row r="656" spans="1:37" ht="14.25" customHeight="1" x14ac:dyDescent="0.2">
      <c r="A656" s="123"/>
      <c r="C656" s="123"/>
      <c r="AB656" s="123"/>
      <c r="AC656" s="123"/>
      <c r="AD656" s="125"/>
      <c r="AE656" s="123"/>
      <c r="AF656" s="123"/>
      <c r="AG656" s="123"/>
      <c r="AH656" s="123"/>
      <c r="AI656" s="123"/>
      <c r="AJ656" s="123"/>
      <c r="AK656" s="123"/>
    </row>
    <row r="657" spans="1:37" ht="14.25" customHeight="1" x14ac:dyDescent="0.2">
      <c r="A657" s="123"/>
      <c r="C657" s="123"/>
      <c r="AB657" s="123"/>
      <c r="AC657" s="123"/>
      <c r="AD657" s="125"/>
      <c r="AE657" s="123"/>
      <c r="AF657" s="123"/>
      <c r="AG657" s="123"/>
      <c r="AH657" s="123"/>
      <c r="AI657" s="123"/>
      <c r="AJ657" s="123"/>
      <c r="AK657" s="123"/>
    </row>
    <row r="658" spans="1:37" ht="14.25" customHeight="1" x14ac:dyDescent="0.2">
      <c r="A658" s="123"/>
      <c r="C658" s="123"/>
      <c r="AB658" s="123"/>
      <c r="AC658" s="123"/>
      <c r="AD658" s="125"/>
      <c r="AE658" s="123"/>
      <c r="AF658" s="123"/>
      <c r="AG658" s="123"/>
      <c r="AH658" s="123"/>
      <c r="AI658" s="123"/>
      <c r="AJ658" s="123"/>
      <c r="AK658" s="123"/>
    </row>
    <row r="659" spans="1:37" ht="14.25" customHeight="1" x14ac:dyDescent="0.2">
      <c r="A659" s="123"/>
      <c r="C659" s="123"/>
      <c r="AB659" s="123"/>
      <c r="AC659" s="123"/>
      <c r="AD659" s="125"/>
      <c r="AE659" s="123"/>
      <c r="AF659" s="123"/>
      <c r="AG659" s="123"/>
      <c r="AH659" s="123"/>
      <c r="AI659" s="123"/>
      <c r="AJ659" s="123"/>
      <c r="AK659" s="123"/>
    </row>
    <row r="660" spans="1:37" ht="14.25" customHeight="1" x14ac:dyDescent="0.2">
      <c r="A660" s="123"/>
      <c r="C660" s="123"/>
      <c r="AB660" s="123"/>
      <c r="AC660" s="123"/>
      <c r="AD660" s="125"/>
      <c r="AE660" s="123"/>
      <c r="AF660" s="123"/>
      <c r="AG660" s="123"/>
      <c r="AH660" s="123"/>
      <c r="AI660" s="123"/>
      <c r="AJ660" s="123"/>
      <c r="AK660" s="123"/>
    </row>
    <row r="661" spans="1:37" ht="14.25" customHeight="1" x14ac:dyDescent="0.2">
      <c r="A661" s="123"/>
      <c r="C661" s="123"/>
      <c r="AB661" s="123"/>
      <c r="AC661" s="123"/>
      <c r="AD661" s="125"/>
      <c r="AE661" s="123"/>
      <c r="AF661" s="123"/>
      <c r="AG661" s="123"/>
      <c r="AH661" s="123"/>
      <c r="AI661" s="123"/>
      <c r="AJ661" s="123"/>
      <c r="AK661" s="123"/>
    </row>
    <row r="662" spans="1:37" ht="14.25" customHeight="1" x14ac:dyDescent="0.2">
      <c r="A662" s="123"/>
      <c r="C662" s="123"/>
      <c r="AB662" s="123"/>
      <c r="AC662" s="123"/>
      <c r="AD662" s="125"/>
      <c r="AE662" s="123"/>
      <c r="AF662" s="123"/>
      <c r="AG662" s="123"/>
      <c r="AH662" s="123"/>
      <c r="AI662" s="123"/>
      <c r="AJ662" s="123"/>
      <c r="AK662" s="123"/>
    </row>
    <row r="663" spans="1:37" ht="14.25" customHeight="1" x14ac:dyDescent="0.2">
      <c r="A663" s="123"/>
      <c r="C663" s="123"/>
      <c r="AB663" s="123"/>
      <c r="AC663" s="123"/>
      <c r="AD663" s="125"/>
      <c r="AE663" s="123"/>
      <c r="AF663" s="123"/>
      <c r="AG663" s="123"/>
      <c r="AH663" s="123"/>
      <c r="AI663" s="123"/>
      <c r="AJ663" s="123"/>
      <c r="AK663" s="123"/>
    </row>
    <row r="664" spans="1:37" ht="14.25" customHeight="1" x14ac:dyDescent="0.2">
      <c r="A664" s="123"/>
      <c r="C664" s="123"/>
      <c r="AB664" s="123"/>
      <c r="AC664" s="123"/>
      <c r="AD664" s="125"/>
      <c r="AE664" s="123"/>
      <c r="AF664" s="123"/>
      <c r="AG664" s="123"/>
      <c r="AH664" s="123"/>
      <c r="AI664" s="123"/>
      <c r="AJ664" s="123"/>
      <c r="AK664" s="123"/>
    </row>
    <row r="665" spans="1:37" ht="14.25" customHeight="1" x14ac:dyDescent="0.2">
      <c r="A665" s="123"/>
      <c r="C665" s="123"/>
      <c r="AB665" s="123"/>
      <c r="AC665" s="123"/>
      <c r="AD665" s="125"/>
      <c r="AE665" s="123"/>
      <c r="AF665" s="123"/>
      <c r="AG665" s="123"/>
      <c r="AH665" s="123"/>
      <c r="AI665" s="123"/>
      <c r="AJ665" s="123"/>
      <c r="AK665" s="123"/>
    </row>
    <row r="666" spans="1:37" ht="14.25" customHeight="1" x14ac:dyDescent="0.2">
      <c r="A666" s="123"/>
      <c r="C666" s="123"/>
      <c r="AB666" s="123"/>
      <c r="AC666" s="123"/>
      <c r="AD666" s="125"/>
      <c r="AE666" s="123"/>
      <c r="AF666" s="123"/>
      <c r="AG666" s="123"/>
      <c r="AH666" s="123"/>
      <c r="AI666" s="123"/>
      <c r="AJ666" s="123"/>
      <c r="AK666" s="123"/>
    </row>
    <row r="667" spans="1:37" ht="14.25" customHeight="1" x14ac:dyDescent="0.2">
      <c r="A667" s="123"/>
      <c r="C667" s="123"/>
      <c r="AB667" s="123"/>
      <c r="AC667" s="123"/>
      <c r="AD667" s="125"/>
      <c r="AE667" s="123"/>
      <c r="AF667" s="123"/>
      <c r="AG667" s="123"/>
      <c r="AH667" s="123"/>
      <c r="AI667" s="123"/>
      <c r="AJ667" s="123"/>
      <c r="AK667" s="123"/>
    </row>
    <row r="668" spans="1:37" ht="14.25" customHeight="1" x14ac:dyDescent="0.2">
      <c r="A668" s="123"/>
      <c r="C668" s="123"/>
      <c r="AB668" s="123"/>
      <c r="AC668" s="123"/>
      <c r="AD668" s="125"/>
      <c r="AE668" s="123"/>
      <c r="AF668" s="123"/>
      <c r="AG668" s="123"/>
      <c r="AH668" s="123"/>
      <c r="AI668" s="123"/>
      <c r="AJ668" s="123"/>
      <c r="AK668" s="123"/>
    </row>
    <row r="669" spans="1:37" ht="14.25" customHeight="1" x14ac:dyDescent="0.2">
      <c r="A669" s="123"/>
      <c r="C669" s="123"/>
      <c r="AB669" s="123"/>
      <c r="AC669" s="123"/>
      <c r="AD669" s="125"/>
      <c r="AE669" s="123"/>
      <c r="AF669" s="123"/>
      <c r="AG669" s="123"/>
      <c r="AH669" s="123"/>
      <c r="AI669" s="123"/>
      <c r="AJ669" s="123"/>
      <c r="AK669" s="123"/>
    </row>
    <row r="670" spans="1:37" ht="14.25" customHeight="1" x14ac:dyDescent="0.2">
      <c r="A670" s="123"/>
      <c r="C670" s="123"/>
      <c r="AB670" s="123"/>
      <c r="AC670" s="123"/>
      <c r="AD670" s="125"/>
      <c r="AE670" s="123"/>
      <c r="AF670" s="123"/>
      <c r="AG670" s="123"/>
      <c r="AH670" s="123"/>
      <c r="AI670" s="123"/>
      <c r="AJ670" s="123"/>
      <c r="AK670" s="123"/>
    </row>
    <row r="671" spans="1:37" ht="14.25" customHeight="1" x14ac:dyDescent="0.2">
      <c r="A671" s="123"/>
      <c r="C671" s="123"/>
      <c r="AB671" s="123"/>
      <c r="AC671" s="123"/>
      <c r="AD671" s="125"/>
      <c r="AE671" s="123"/>
      <c r="AF671" s="123"/>
      <c r="AG671" s="123"/>
      <c r="AH671" s="123"/>
      <c r="AI671" s="123"/>
      <c r="AJ671" s="123"/>
      <c r="AK671" s="123"/>
    </row>
    <row r="672" spans="1:37" ht="14.25" customHeight="1" x14ac:dyDescent="0.2">
      <c r="A672" s="123"/>
      <c r="C672" s="123"/>
      <c r="AB672" s="123"/>
      <c r="AC672" s="123"/>
      <c r="AD672" s="125"/>
      <c r="AE672" s="123"/>
      <c r="AF672" s="123"/>
      <c r="AG672" s="123"/>
      <c r="AH672" s="123"/>
      <c r="AI672" s="123"/>
      <c r="AJ672" s="123"/>
      <c r="AK672" s="123"/>
    </row>
    <row r="673" spans="1:37" ht="14.25" customHeight="1" x14ac:dyDescent="0.2">
      <c r="A673" s="123"/>
      <c r="C673" s="123"/>
      <c r="AB673" s="123"/>
      <c r="AC673" s="123"/>
      <c r="AD673" s="125"/>
      <c r="AE673" s="123"/>
      <c r="AF673" s="123"/>
      <c r="AG673" s="123"/>
      <c r="AH673" s="123"/>
      <c r="AI673" s="123"/>
      <c r="AJ673" s="123"/>
      <c r="AK673" s="123"/>
    </row>
    <row r="674" spans="1:37" ht="14.25" customHeight="1" x14ac:dyDescent="0.2">
      <c r="A674" s="123"/>
      <c r="C674" s="123"/>
      <c r="AB674" s="123"/>
      <c r="AC674" s="123"/>
      <c r="AD674" s="125"/>
      <c r="AE674" s="123"/>
      <c r="AF674" s="123"/>
      <c r="AG674" s="123"/>
      <c r="AH674" s="123"/>
      <c r="AI674" s="123"/>
      <c r="AJ674" s="123"/>
      <c r="AK674" s="123"/>
    </row>
    <row r="675" spans="1:37" ht="14.25" customHeight="1" x14ac:dyDescent="0.2">
      <c r="A675" s="123"/>
      <c r="C675" s="123"/>
      <c r="AB675" s="123"/>
      <c r="AC675" s="123"/>
      <c r="AD675" s="125"/>
      <c r="AE675" s="123"/>
      <c r="AF675" s="123"/>
      <c r="AG675" s="123"/>
      <c r="AH675" s="123"/>
      <c r="AI675" s="123"/>
      <c r="AJ675" s="123"/>
      <c r="AK675" s="123"/>
    </row>
    <row r="676" spans="1:37" ht="14.25" customHeight="1" x14ac:dyDescent="0.2">
      <c r="A676" s="123"/>
      <c r="C676" s="123"/>
      <c r="AB676" s="123"/>
      <c r="AC676" s="123"/>
      <c r="AD676" s="125"/>
      <c r="AE676" s="123"/>
      <c r="AF676" s="123"/>
      <c r="AG676" s="123"/>
      <c r="AH676" s="123"/>
      <c r="AI676" s="123"/>
      <c r="AJ676" s="123"/>
      <c r="AK676" s="123"/>
    </row>
    <row r="677" spans="1:37" ht="14.25" customHeight="1" x14ac:dyDescent="0.2">
      <c r="A677" s="123"/>
      <c r="C677" s="123"/>
      <c r="AB677" s="123"/>
      <c r="AC677" s="123"/>
      <c r="AD677" s="125"/>
      <c r="AE677" s="123"/>
      <c r="AF677" s="123"/>
      <c r="AG677" s="123"/>
      <c r="AH677" s="123"/>
      <c r="AI677" s="123"/>
      <c r="AJ677" s="123"/>
      <c r="AK677" s="123"/>
    </row>
    <row r="678" spans="1:37" ht="14.25" customHeight="1" x14ac:dyDescent="0.2">
      <c r="A678" s="123"/>
      <c r="C678" s="123"/>
      <c r="AB678" s="123"/>
      <c r="AC678" s="123"/>
      <c r="AD678" s="125"/>
      <c r="AE678" s="123"/>
      <c r="AF678" s="123"/>
      <c r="AG678" s="123"/>
      <c r="AH678" s="123"/>
      <c r="AI678" s="123"/>
      <c r="AJ678" s="123"/>
      <c r="AK678" s="123"/>
    </row>
    <row r="679" spans="1:37" ht="14.25" customHeight="1" x14ac:dyDescent="0.2">
      <c r="A679" s="123"/>
      <c r="C679" s="123"/>
      <c r="AB679" s="123"/>
      <c r="AC679" s="123"/>
      <c r="AD679" s="125"/>
      <c r="AE679" s="123"/>
      <c r="AF679" s="123"/>
      <c r="AG679" s="123"/>
      <c r="AH679" s="123"/>
      <c r="AI679" s="123"/>
      <c r="AJ679" s="123"/>
      <c r="AK679" s="123"/>
    </row>
    <row r="680" spans="1:37" ht="14.25" customHeight="1" x14ac:dyDescent="0.2">
      <c r="A680" s="123"/>
      <c r="C680" s="123"/>
      <c r="AB680" s="123"/>
      <c r="AC680" s="123"/>
      <c r="AD680" s="125"/>
      <c r="AE680" s="123"/>
      <c r="AF680" s="123"/>
      <c r="AG680" s="123"/>
      <c r="AH680" s="123"/>
      <c r="AI680" s="123"/>
      <c r="AJ680" s="123"/>
      <c r="AK680" s="123"/>
    </row>
    <row r="681" spans="1:37" ht="14.25" customHeight="1" x14ac:dyDescent="0.2">
      <c r="A681" s="123"/>
      <c r="C681" s="123"/>
      <c r="AB681" s="123"/>
      <c r="AC681" s="123"/>
      <c r="AD681" s="125"/>
      <c r="AE681" s="123"/>
      <c r="AF681" s="123"/>
      <c r="AG681" s="123"/>
      <c r="AH681" s="123"/>
      <c r="AI681" s="123"/>
      <c r="AJ681" s="123"/>
      <c r="AK681" s="123"/>
    </row>
    <row r="682" spans="1:37" ht="14.25" customHeight="1" x14ac:dyDescent="0.2">
      <c r="A682" s="123"/>
      <c r="C682" s="123"/>
      <c r="AB682" s="123"/>
      <c r="AC682" s="123"/>
      <c r="AD682" s="125"/>
      <c r="AE682" s="123"/>
      <c r="AF682" s="123"/>
      <c r="AG682" s="123"/>
      <c r="AH682" s="123"/>
      <c r="AI682" s="123"/>
      <c r="AJ682" s="123"/>
      <c r="AK682" s="123"/>
    </row>
    <row r="683" spans="1:37" ht="14.25" customHeight="1" x14ac:dyDescent="0.2">
      <c r="A683" s="123"/>
      <c r="C683" s="123"/>
      <c r="AB683" s="123"/>
      <c r="AC683" s="123"/>
      <c r="AD683" s="125"/>
      <c r="AE683" s="123"/>
      <c r="AF683" s="123"/>
      <c r="AG683" s="123"/>
      <c r="AH683" s="123"/>
      <c r="AI683" s="123"/>
      <c r="AJ683" s="123"/>
      <c r="AK683" s="123"/>
    </row>
    <row r="684" spans="1:37" ht="14.25" customHeight="1" x14ac:dyDescent="0.2">
      <c r="A684" s="123"/>
      <c r="C684" s="123"/>
      <c r="AB684" s="123"/>
      <c r="AC684" s="123"/>
      <c r="AD684" s="125"/>
      <c r="AE684" s="123"/>
      <c r="AF684" s="123"/>
      <c r="AG684" s="123"/>
      <c r="AH684" s="123"/>
      <c r="AI684" s="123"/>
      <c r="AJ684" s="123"/>
      <c r="AK684" s="123"/>
    </row>
    <row r="685" spans="1:37" ht="14.25" customHeight="1" x14ac:dyDescent="0.2">
      <c r="A685" s="123"/>
      <c r="C685" s="123"/>
      <c r="AB685" s="123"/>
      <c r="AC685" s="123"/>
      <c r="AD685" s="125"/>
      <c r="AE685" s="123"/>
      <c r="AF685" s="123"/>
      <c r="AG685" s="123"/>
      <c r="AH685" s="123"/>
      <c r="AI685" s="123"/>
      <c r="AJ685" s="123"/>
      <c r="AK685" s="123"/>
    </row>
    <row r="686" spans="1:37" ht="14.25" customHeight="1" x14ac:dyDescent="0.2">
      <c r="A686" s="123"/>
      <c r="C686" s="123"/>
      <c r="AB686" s="123"/>
      <c r="AC686" s="123"/>
      <c r="AD686" s="125"/>
      <c r="AE686" s="123"/>
      <c r="AF686" s="123"/>
      <c r="AG686" s="123"/>
      <c r="AH686" s="123"/>
      <c r="AI686" s="123"/>
      <c r="AJ686" s="123"/>
      <c r="AK686" s="123"/>
    </row>
    <row r="687" spans="1:37" ht="14.25" customHeight="1" x14ac:dyDescent="0.2">
      <c r="A687" s="123"/>
      <c r="C687" s="123"/>
      <c r="AB687" s="123"/>
      <c r="AC687" s="123"/>
      <c r="AD687" s="125"/>
      <c r="AE687" s="123"/>
      <c r="AF687" s="123"/>
      <c r="AG687" s="123"/>
      <c r="AH687" s="123"/>
      <c r="AI687" s="123"/>
      <c r="AJ687" s="123"/>
      <c r="AK687" s="123"/>
    </row>
    <row r="688" spans="1:37" ht="14.25" customHeight="1" x14ac:dyDescent="0.2">
      <c r="A688" s="123"/>
      <c r="C688" s="123"/>
      <c r="AB688" s="123"/>
      <c r="AC688" s="123"/>
      <c r="AD688" s="125"/>
      <c r="AE688" s="123"/>
      <c r="AF688" s="123"/>
      <c r="AG688" s="123"/>
      <c r="AH688" s="123"/>
      <c r="AI688" s="123"/>
      <c r="AJ688" s="123"/>
      <c r="AK688" s="123"/>
    </row>
    <row r="689" spans="1:37" ht="14.25" customHeight="1" x14ac:dyDescent="0.2">
      <c r="A689" s="123"/>
      <c r="C689" s="123"/>
      <c r="AB689" s="123"/>
      <c r="AC689" s="123"/>
      <c r="AD689" s="125"/>
      <c r="AE689" s="123"/>
      <c r="AF689" s="123"/>
      <c r="AG689" s="123"/>
      <c r="AH689" s="123"/>
      <c r="AI689" s="123"/>
      <c r="AJ689" s="123"/>
      <c r="AK689" s="123"/>
    </row>
    <row r="690" spans="1:37" ht="14.25" customHeight="1" x14ac:dyDescent="0.2">
      <c r="A690" s="123"/>
      <c r="C690" s="123"/>
      <c r="AB690" s="123"/>
      <c r="AC690" s="123"/>
      <c r="AD690" s="125"/>
      <c r="AE690" s="123"/>
      <c r="AF690" s="123"/>
      <c r="AG690" s="123"/>
      <c r="AH690" s="123"/>
      <c r="AI690" s="123"/>
      <c r="AJ690" s="123"/>
      <c r="AK690" s="123"/>
    </row>
    <row r="691" spans="1:37" ht="14.25" customHeight="1" x14ac:dyDescent="0.2">
      <c r="A691" s="123"/>
      <c r="C691" s="123"/>
      <c r="AB691" s="123"/>
      <c r="AC691" s="123"/>
      <c r="AD691" s="125"/>
      <c r="AE691" s="123"/>
      <c r="AF691" s="123"/>
      <c r="AG691" s="123"/>
      <c r="AH691" s="123"/>
      <c r="AI691" s="123"/>
      <c r="AJ691" s="123"/>
      <c r="AK691" s="123"/>
    </row>
    <row r="692" spans="1:37" ht="14.25" customHeight="1" x14ac:dyDescent="0.2">
      <c r="A692" s="123"/>
      <c r="C692" s="123"/>
      <c r="AB692" s="123"/>
      <c r="AC692" s="123"/>
      <c r="AD692" s="125"/>
      <c r="AE692" s="123"/>
      <c r="AF692" s="123"/>
      <c r="AG692" s="123"/>
      <c r="AH692" s="123"/>
      <c r="AI692" s="123"/>
      <c r="AJ692" s="123"/>
      <c r="AK692" s="123"/>
    </row>
    <row r="693" spans="1:37" ht="14.25" customHeight="1" x14ac:dyDescent="0.2">
      <c r="A693" s="123"/>
      <c r="C693" s="123"/>
      <c r="AB693" s="123"/>
      <c r="AC693" s="123"/>
      <c r="AD693" s="125"/>
      <c r="AE693" s="123"/>
      <c r="AF693" s="123"/>
      <c r="AG693" s="123"/>
      <c r="AH693" s="123"/>
      <c r="AI693" s="123"/>
      <c r="AJ693" s="123"/>
      <c r="AK693" s="123"/>
    </row>
    <row r="694" spans="1:37" ht="14.25" customHeight="1" x14ac:dyDescent="0.2">
      <c r="A694" s="123"/>
      <c r="C694" s="123"/>
      <c r="AB694" s="123"/>
      <c r="AC694" s="123"/>
      <c r="AD694" s="125"/>
      <c r="AE694" s="123"/>
      <c r="AF694" s="123"/>
      <c r="AG694" s="123"/>
      <c r="AH694" s="123"/>
      <c r="AI694" s="123"/>
      <c r="AJ694" s="123"/>
      <c r="AK694" s="123"/>
    </row>
    <row r="695" spans="1:37" ht="14.25" customHeight="1" x14ac:dyDescent="0.2">
      <c r="A695" s="123"/>
      <c r="C695" s="123"/>
      <c r="AB695" s="123"/>
      <c r="AC695" s="123"/>
      <c r="AD695" s="125"/>
      <c r="AE695" s="123"/>
      <c r="AF695" s="123"/>
      <c r="AG695" s="123"/>
      <c r="AH695" s="123"/>
      <c r="AI695" s="123"/>
      <c r="AJ695" s="123"/>
      <c r="AK695" s="123"/>
    </row>
    <row r="696" spans="1:37" ht="14.25" customHeight="1" x14ac:dyDescent="0.2">
      <c r="A696" s="123"/>
      <c r="C696" s="123"/>
      <c r="AB696" s="123"/>
      <c r="AC696" s="123"/>
      <c r="AD696" s="125"/>
      <c r="AE696" s="123"/>
      <c r="AF696" s="123"/>
      <c r="AG696" s="123"/>
      <c r="AH696" s="123"/>
      <c r="AI696" s="123"/>
      <c r="AJ696" s="123"/>
      <c r="AK696" s="123"/>
    </row>
    <row r="697" spans="1:37" ht="14.25" customHeight="1" x14ac:dyDescent="0.2">
      <c r="A697" s="123"/>
      <c r="C697" s="123"/>
      <c r="AB697" s="123"/>
      <c r="AC697" s="123"/>
      <c r="AD697" s="125"/>
      <c r="AE697" s="123"/>
      <c r="AF697" s="123"/>
      <c r="AG697" s="123"/>
      <c r="AH697" s="123"/>
      <c r="AI697" s="123"/>
      <c r="AJ697" s="123"/>
      <c r="AK697" s="123"/>
    </row>
    <row r="698" spans="1:37" ht="14.25" customHeight="1" x14ac:dyDescent="0.2">
      <c r="A698" s="123"/>
      <c r="C698" s="123"/>
      <c r="AB698" s="123"/>
      <c r="AC698" s="123"/>
      <c r="AD698" s="125"/>
      <c r="AE698" s="123"/>
      <c r="AF698" s="123"/>
      <c r="AG698" s="123"/>
      <c r="AH698" s="123"/>
      <c r="AI698" s="123"/>
      <c r="AJ698" s="123"/>
      <c r="AK698" s="123"/>
    </row>
    <row r="699" spans="1:37" ht="14.25" customHeight="1" x14ac:dyDescent="0.2">
      <c r="A699" s="123"/>
      <c r="C699" s="123"/>
      <c r="AB699" s="123"/>
      <c r="AC699" s="123"/>
      <c r="AD699" s="125"/>
      <c r="AE699" s="123"/>
      <c r="AF699" s="123"/>
      <c r="AG699" s="123"/>
      <c r="AH699" s="123"/>
      <c r="AI699" s="123"/>
      <c r="AJ699" s="123"/>
      <c r="AK699" s="123"/>
    </row>
    <row r="700" spans="1:37" ht="14.25" customHeight="1" x14ac:dyDescent="0.2">
      <c r="A700" s="123"/>
      <c r="C700" s="123"/>
      <c r="AB700" s="123"/>
      <c r="AC700" s="123"/>
      <c r="AD700" s="125"/>
      <c r="AE700" s="123"/>
      <c r="AF700" s="123"/>
      <c r="AG700" s="123"/>
      <c r="AH700" s="123"/>
      <c r="AI700" s="123"/>
      <c r="AJ700" s="123"/>
      <c r="AK700" s="123"/>
    </row>
    <row r="701" spans="1:37" ht="14.25" customHeight="1" x14ac:dyDescent="0.2">
      <c r="A701" s="123"/>
      <c r="C701" s="123"/>
      <c r="AB701" s="123"/>
      <c r="AC701" s="123"/>
      <c r="AD701" s="125"/>
      <c r="AE701" s="123"/>
      <c r="AF701" s="123"/>
      <c r="AG701" s="123"/>
      <c r="AH701" s="123"/>
      <c r="AI701" s="123"/>
      <c r="AJ701" s="123"/>
      <c r="AK701" s="123"/>
    </row>
    <row r="702" spans="1:37" ht="14.25" customHeight="1" x14ac:dyDescent="0.2">
      <c r="A702" s="123"/>
      <c r="C702" s="123"/>
      <c r="AB702" s="123"/>
      <c r="AC702" s="123"/>
      <c r="AD702" s="125"/>
      <c r="AE702" s="123"/>
      <c r="AF702" s="123"/>
      <c r="AG702" s="123"/>
      <c r="AH702" s="123"/>
      <c r="AI702" s="123"/>
      <c r="AJ702" s="123"/>
      <c r="AK702" s="123"/>
    </row>
    <row r="703" spans="1:37" ht="14.25" customHeight="1" x14ac:dyDescent="0.2">
      <c r="A703" s="123"/>
      <c r="C703" s="123"/>
      <c r="AB703" s="123"/>
      <c r="AC703" s="123"/>
      <c r="AD703" s="125"/>
      <c r="AE703" s="123"/>
      <c r="AF703" s="123"/>
      <c r="AG703" s="123"/>
      <c r="AH703" s="123"/>
      <c r="AI703" s="123"/>
      <c r="AJ703" s="123"/>
      <c r="AK703" s="123"/>
    </row>
    <row r="704" spans="1:37" ht="14.25" customHeight="1" x14ac:dyDescent="0.2">
      <c r="A704" s="123"/>
      <c r="C704" s="123"/>
      <c r="AB704" s="123"/>
      <c r="AC704" s="123"/>
      <c r="AD704" s="125"/>
      <c r="AE704" s="123"/>
      <c r="AF704" s="123"/>
      <c r="AG704" s="123"/>
      <c r="AH704" s="123"/>
      <c r="AI704" s="123"/>
      <c r="AJ704" s="123"/>
      <c r="AK704" s="123"/>
    </row>
    <row r="705" spans="1:37" ht="14.25" customHeight="1" x14ac:dyDescent="0.2">
      <c r="A705" s="123"/>
      <c r="C705" s="123"/>
      <c r="AB705" s="123"/>
      <c r="AC705" s="123"/>
      <c r="AD705" s="125"/>
      <c r="AE705" s="123"/>
      <c r="AF705" s="123"/>
      <c r="AG705" s="123"/>
      <c r="AH705" s="123"/>
      <c r="AI705" s="123"/>
      <c r="AJ705" s="123"/>
      <c r="AK705" s="123"/>
    </row>
    <row r="706" spans="1:37" ht="14.25" customHeight="1" x14ac:dyDescent="0.2">
      <c r="A706" s="123"/>
      <c r="C706" s="123"/>
      <c r="AB706" s="123"/>
      <c r="AC706" s="123"/>
      <c r="AD706" s="125"/>
      <c r="AE706" s="123"/>
      <c r="AF706" s="123"/>
      <c r="AG706" s="123"/>
      <c r="AH706" s="123"/>
      <c r="AI706" s="123"/>
      <c r="AJ706" s="123"/>
      <c r="AK706" s="123"/>
    </row>
    <row r="707" spans="1:37" ht="14.25" customHeight="1" x14ac:dyDescent="0.2">
      <c r="A707" s="123"/>
      <c r="C707" s="123"/>
      <c r="AB707" s="123"/>
      <c r="AC707" s="123"/>
      <c r="AD707" s="125"/>
      <c r="AE707" s="123"/>
      <c r="AF707" s="123"/>
      <c r="AG707" s="123"/>
      <c r="AH707" s="123"/>
      <c r="AI707" s="123"/>
      <c r="AJ707" s="123"/>
      <c r="AK707" s="123"/>
    </row>
    <row r="708" spans="1:37" ht="14.25" customHeight="1" x14ac:dyDescent="0.2">
      <c r="A708" s="123"/>
      <c r="C708" s="123"/>
      <c r="AB708" s="123"/>
      <c r="AC708" s="123"/>
      <c r="AD708" s="125"/>
      <c r="AE708" s="123"/>
      <c r="AF708" s="123"/>
      <c r="AG708" s="123"/>
      <c r="AH708" s="123"/>
      <c r="AI708" s="123"/>
      <c r="AJ708" s="123"/>
      <c r="AK708" s="123"/>
    </row>
    <row r="709" spans="1:37" ht="14.25" customHeight="1" x14ac:dyDescent="0.2">
      <c r="A709" s="123"/>
      <c r="C709" s="123"/>
      <c r="AB709" s="123"/>
      <c r="AC709" s="123"/>
      <c r="AD709" s="125"/>
      <c r="AE709" s="123"/>
      <c r="AF709" s="123"/>
      <c r="AG709" s="123"/>
      <c r="AH709" s="123"/>
      <c r="AI709" s="123"/>
      <c r="AJ709" s="123"/>
      <c r="AK709" s="123"/>
    </row>
    <row r="710" spans="1:37" ht="14.25" customHeight="1" x14ac:dyDescent="0.2">
      <c r="A710" s="123"/>
      <c r="C710" s="123"/>
      <c r="AB710" s="123"/>
      <c r="AC710" s="123"/>
      <c r="AD710" s="125"/>
      <c r="AE710" s="123"/>
      <c r="AF710" s="123"/>
      <c r="AG710" s="123"/>
      <c r="AH710" s="123"/>
      <c r="AI710" s="123"/>
      <c r="AJ710" s="123"/>
      <c r="AK710" s="123"/>
    </row>
    <row r="711" spans="1:37" ht="14.25" customHeight="1" x14ac:dyDescent="0.2">
      <c r="A711" s="123"/>
      <c r="C711" s="123"/>
      <c r="AB711" s="123"/>
      <c r="AC711" s="123"/>
      <c r="AD711" s="125"/>
      <c r="AE711" s="123"/>
      <c r="AF711" s="123"/>
      <c r="AG711" s="123"/>
      <c r="AH711" s="123"/>
      <c r="AI711" s="123"/>
      <c r="AJ711" s="123"/>
      <c r="AK711" s="123"/>
    </row>
    <row r="712" spans="1:37" ht="14.25" customHeight="1" x14ac:dyDescent="0.2">
      <c r="A712" s="123"/>
      <c r="C712" s="123"/>
      <c r="AB712" s="123"/>
      <c r="AC712" s="123"/>
      <c r="AD712" s="125"/>
      <c r="AE712" s="123"/>
      <c r="AF712" s="123"/>
      <c r="AG712" s="123"/>
      <c r="AH712" s="123"/>
      <c r="AI712" s="123"/>
      <c r="AJ712" s="123"/>
      <c r="AK712" s="123"/>
    </row>
    <row r="713" spans="1:37" ht="14.25" customHeight="1" x14ac:dyDescent="0.2">
      <c r="A713" s="123"/>
      <c r="C713" s="123"/>
      <c r="AB713" s="123"/>
      <c r="AC713" s="123"/>
      <c r="AD713" s="125"/>
      <c r="AE713" s="123"/>
      <c r="AF713" s="123"/>
      <c r="AG713" s="123"/>
      <c r="AH713" s="123"/>
      <c r="AI713" s="123"/>
      <c r="AJ713" s="123"/>
      <c r="AK713" s="123"/>
    </row>
    <row r="714" spans="1:37" ht="14.25" customHeight="1" x14ac:dyDescent="0.2">
      <c r="A714" s="123"/>
      <c r="C714" s="123"/>
      <c r="AB714" s="123"/>
      <c r="AC714" s="123"/>
      <c r="AD714" s="125"/>
      <c r="AE714" s="123"/>
      <c r="AF714" s="123"/>
      <c r="AG714" s="123"/>
      <c r="AH714" s="123"/>
      <c r="AI714" s="123"/>
      <c r="AJ714" s="123"/>
      <c r="AK714" s="123"/>
    </row>
    <row r="715" spans="1:37" ht="14.25" customHeight="1" x14ac:dyDescent="0.2">
      <c r="A715" s="123"/>
      <c r="C715" s="123"/>
      <c r="AB715" s="123"/>
      <c r="AC715" s="123"/>
      <c r="AD715" s="125"/>
      <c r="AE715" s="123"/>
      <c r="AF715" s="123"/>
      <c r="AG715" s="123"/>
      <c r="AH715" s="123"/>
      <c r="AI715" s="123"/>
      <c r="AJ715" s="123"/>
      <c r="AK715" s="123"/>
    </row>
    <row r="716" spans="1:37" ht="14.25" customHeight="1" x14ac:dyDescent="0.2">
      <c r="A716" s="123"/>
      <c r="C716" s="123"/>
      <c r="AB716" s="123"/>
      <c r="AC716" s="123"/>
      <c r="AD716" s="125"/>
      <c r="AE716" s="123"/>
      <c r="AF716" s="123"/>
      <c r="AG716" s="123"/>
      <c r="AH716" s="123"/>
      <c r="AI716" s="123"/>
      <c r="AJ716" s="123"/>
      <c r="AK716" s="123"/>
    </row>
    <row r="717" spans="1:37" ht="14.25" customHeight="1" x14ac:dyDescent="0.2">
      <c r="A717" s="123"/>
      <c r="C717" s="123"/>
      <c r="AB717" s="123"/>
      <c r="AC717" s="123"/>
      <c r="AD717" s="125"/>
      <c r="AE717" s="123"/>
      <c r="AF717" s="123"/>
      <c r="AG717" s="123"/>
      <c r="AH717" s="123"/>
      <c r="AI717" s="123"/>
      <c r="AJ717" s="123"/>
      <c r="AK717" s="123"/>
    </row>
    <row r="718" spans="1:37" ht="14.25" customHeight="1" x14ac:dyDescent="0.2">
      <c r="A718" s="123"/>
      <c r="C718" s="123"/>
      <c r="AB718" s="123"/>
      <c r="AC718" s="123"/>
      <c r="AD718" s="125"/>
      <c r="AE718" s="123"/>
      <c r="AF718" s="123"/>
      <c r="AG718" s="123"/>
      <c r="AH718" s="123"/>
      <c r="AI718" s="123"/>
      <c r="AJ718" s="123"/>
      <c r="AK718" s="123"/>
    </row>
    <row r="719" spans="1:37" ht="14.25" customHeight="1" x14ac:dyDescent="0.2">
      <c r="A719" s="123"/>
      <c r="C719" s="123"/>
      <c r="AB719" s="123"/>
      <c r="AC719" s="123"/>
      <c r="AD719" s="125"/>
      <c r="AE719" s="123"/>
      <c r="AF719" s="123"/>
      <c r="AG719" s="123"/>
      <c r="AH719" s="123"/>
      <c r="AI719" s="123"/>
      <c r="AJ719" s="123"/>
      <c r="AK719" s="123"/>
    </row>
    <row r="720" spans="1:37" ht="14.25" customHeight="1" x14ac:dyDescent="0.2">
      <c r="A720" s="123"/>
      <c r="C720" s="123"/>
      <c r="AB720" s="123"/>
      <c r="AC720" s="123"/>
      <c r="AD720" s="125"/>
      <c r="AE720" s="123"/>
      <c r="AF720" s="123"/>
      <c r="AG720" s="123"/>
      <c r="AH720" s="123"/>
      <c r="AI720" s="123"/>
      <c r="AJ720" s="123"/>
      <c r="AK720" s="123"/>
    </row>
    <row r="721" spans="1:37" ht="14.25" customHeight="1" x14ac:dyDescent="0.2">
      <c r="A721" s="123"/>
      <c r="C721" s="123"/>
      <c r="AB721" s="123"/>
      <c r="AC721" s="123"/>
      <c r="AD721" s="125"/>
      <c r="AE721" s="123"/>
      <c r="AF721" s="123"/>
      <c r="AG721" s="123"/>
      <c r="AH721" s="123"/>
      <c r="AI721" s="123"/>
      <c r="AJ721" s="123"/>
      <c r="AK721" s="123"/>
    </row>
    <row r="722" spans="1:37" ht="14.25" customHeight="1" x14ac:dyDescent="0.2">
      <c r="A722" s="123"/>
      <c r="C722" s="123"/>
      <c r="AB722" s="123"/>
      <c r="AC722" s="123"/>
      <c r="AD722" s="125"/>
      <c r="AE722" s="123"/>
      <c r="AF722" s="123"/>
      <c r="AG722" s="123"/>
      <c r="AH722" s="123"/>
      <c r="AI722" s="123"/>
      <c r="AJ722" s="123"/>
      <c r="AK722" s="123"/>
    </row>
    <row r="723" spans="1:37" ht="14.25" customHeight="1" x14ac:dyDescent="0.2">
      <c r="A723" s="123"/>
      <c r="C723" s="123"/>
      <c r="AB723" s="123"/>
      <c r="AC723" s="123"/>
      <c r="AD723" s="125"/>
      <c r="AE723" s="123"/>
      <c r="AF723" s="123"/>
      <c r="AG723" s="123"/>
      <c r="AH723" s="123"/>
      <c r="AI723" s="123"/>
      <c r="AJ723" s="123"/>
      <c r="AK723" s="123"/>
    </row>
    <row r="724" spans="1:37" ht="14.25" customHeight="1" x14ac:dyDescent="0.2">
      <c r="A724" s="123"/>
      <c r="C724" s="123"/>
      <c r="AB724" s="123"/>
      <c r="AC724" s="123"/>
      <c r="AD724" s="125"/>
      <c r="AE724" s="123"/>
      <c r="AF724" s="123"/>
      <c r="AG724" s="123"/>
      <c r="AH724" s="123"/>
      <c r="AI724" s="123"/>
      <c r="AJ724" s="123"/>
      <c r="AK724" s="123"/>
    </row>
    <row r="725" spans="1:37" ht="14.25" customHeight="1" x14ac:dyDescent="0.2">
      <c r="A725" s="123"/>
      <c r="C725" s="123"/>
      <c r="AB725" s="123"/>
      <c r="AC725" s="123"/>
      <c r="AD725" s="125"/>
      <c r="AE725" s="123"/>
      <c r="AF725" s="123"/>
      <c r="AG725" s="123"/>
      <c r="AH725" s="123"/>
      <c r="AI725" s="123"/>
      <c r="AJ725" s="123"/>
      <c r="AK725" s="123"/>
    </row>
    <row r="726" spans="1:37" ht="14.25" customHeight="1" x14ac:dyDescent="0.2">
      <c r="A726" s="123"/>
      <c r="C726" s="123"/>
      <c r="AB726" s="123"/>
      <c r="AC726" s="123"/>
      <c r="AD726" s="125"/>
      <c r="AE726" s="123"/>
      <c r="AF726" s="123"/>
      <c r="AG726" s="123"/>
      <c r="AH726" s="123"/>
      <c r="AI726" s="123"/>
      <c r="AJ726" s="123"/>
      <c r="AK726" s="123"/>
    </row>
    <row r="727" spans="1:37" ht="14.25" customHeight="1" x14ac:dyDescent="0.2">
      <c r="A727" s="123"/>
      <c r="C727" s="123"/>
      <c r="AB727" s="123"/>
      <c r="AC727" s="123"/>
      <c r="AD727" s="125"/>
      <c r="AE727" s="123"/>
      <c r="AF727" s="123"/>
      <c r="AG727" s="123"/>
      <c r="AH727" s="123"/>
      <c r="AI727" s="123"/>
      <c r="AJ727" s="123"/>
      <c r="AK727" s="123"/>
    </row>
    <row r="728" spans="1:37" ht="14.25" customHeight="1" x14ac:dyDescent="0.2">
      <c r="A728" s="123"/>
      <c r="C728" s="123"/>
      <c r="AB728" s="123"/>
      <c r="AC728" s="123"/>
      <c r="AD728" s="125"/>
      <c r="AE728" s="123"/>
      <c r="AF728" s="123"/>
      <c r="AG728" s="123"/>
      <c r="AH728" s="123"/>
      <c r="AI728" s="123"/>
      <c r="AJ728" s="123"/>
      <c r="AK728" s="123"/>
    </row>
    <row r="729" spans="1:37" ht="14.25" customHeight="1" x14ac:dyDescent="0.2">
      <c r="A729" s="123"/>
      <c r="C729" s="123"/>
      <c r="AB729" s="123"/>
      <c r="AC729" s="123"/>
      <c r="AD729" s="125"/>
      <c r="AE729" s="123"/>
      <c r="AF729" s="123"/>
      <c r="AG729" s="123"/>
      <c r="AH729" s="123"/>
      <c r="AI729" s="123"/>
      <c r="AJ729" s="123"/>
      <c r="AK729" s="123"/>
    </row>
    <row r="730" spans="1:37" ht="14.25" customHeight="1" x14ac:dyDescent="0.2">
      <c r="A730" s="123"/>
      <c r="C730" s="123"/>
      <c r="AB730" s="123"/>
      <c r="AC730" s="123"/>
      <c r="AD730" s="125"/>
      <c r="AE730" s="123"/>
      <c r="AF730" s="123"/>
      <c r="AG730" s="123"/>
      <c r="AH730" s="123"/>
      <c r="AI730" s="123"/>
      <c r="AJ730" s="123"/>
      <c r="AK730" s="123"/>
    </row>
    <row r="731" spans="1:37" ht="14.25" customHeight="1" x14ac:dyDescent="0.2">
      <c r="A731" s="123"/>
      <c r="C731" s="123"/>
      <c r="AB731" s="123"/>
      <c r="AC731" s="123"/>
      <c r="AD731" s="125"/>
      <c r="AE731" s="123"/>
      <c r="AF731" s="123"/>
      <c r="AG731" s="123"/>
      <c r="AH731" s="123"/>
      <c r="AI731" s="123"/>
      <c r="AJ731" s="123"/>
      <c r="AK731" s="123"/>
    </row>
    <row r="732" spans="1:37" ht="14.25" customHeight="1" x14ac:dyDescent="0.2">
      <c r="A732" s="123"/>
      <c r="C732" s="123"/>
      <c r="AB732" s="123"/>
      <c r="AC732" s="123"/>
      <c r="AD732" s="125"/>
      <c r="AE732" s="123"/>
      <c r="AF732" s="123"/>
      <c r="AG732" s="123"/>
      <c r="AH732" s="123"/>
      <c r="AI732" s="123"/>
      <c r="AJ732" s="123"/>
      <c r="AK732" s="123"/>
    </row>
    <row r="733" spans="1:37" ht="14.25" customHeight="1" x14ac:dyDescent="0.2">
      <c r="A733" s="123"/>
      <c r="C733" s="123"/>
      <c r="AB733" s="123"/>
      <c r="AC733" s="123"/>
      <c r="AD733" s="125"/>
      <c r="AE733" s="123"/>
      <c r="AF733" s="123"/>
      <c r="AG733" s="123"/>
      <c r="AH733" s="123"/>
      <c r="AI733" s="123"/>
      <c r="AJ733" s="123"/>
      <c r="AK733" s="123"/>
    </row>
    <row r="734" spans="1:37" ht="14.25" customHeight="1" x14ac:dyDescent="0.2">
      <c r="A734" s="123"/>
      <c r="C734" s="123"/>
      <c r="AB734" s="123"/>
      <c r="AC734" s="123"/>
      <c r="AD734" s="125"/>
      <c r="AE734" s="123"/>
      <c r="AF734" s="123"/>
      <c r="AG734" s="123"/>
      <c r="AH734" s="123"/>
      <c r="AI734" s="123"/>
      <c r="AJ734" s="123"/>
      <c r="AK734" s="123"/>
    </row>
    <row r="735" spans="1:37" ht="14.25" customHeight="1" x14ac:dyDescent="0.2">
      <c r="A735" s="123"/>
      <c r="C735" s="123"/>
      <c r="AB735" s="123"/>
      <c r="AC735" s="123"/>
      <c r="AD735" s="125"/>
      <c r="AE735" s="123"/>
      <c r="AF735" s="123"/>
      <c r="AG735" s="123"/>
      <c r="AH735" s="123"/>
      <c r="AI735" s="123"/>
      <c r="AJ735" s="123"/>
      <c r="AK735" s="123"/>
    </row>
    <row r="736" spans="1:37" ht="14.25" customHeight="1" x14ac:dyDescent="0.2">
      <c r="A736" s="123"/>
      <c r="C736" s="123"/>
      <c r="AB736" s="123"/>
      <c r="AC736" s="123"/>
      <c r="AD736" s="125"/>
      <c r="AE736" s="123"/>
      <c r="AF736" s="123"/>
      <c r="AG736" s="123"/>
      <c r="AH736" s="123"/>
      <c r="AI736" s="123"/>
      <c r="AJ736" s="123"/>
      <c r="AK736" s="123"/>
    </row>
    <row r="737" spans="1:37" ht="14.25" customHeight="1" x14ac:dyDescent="0.2">
      <c r="A737" s="123"/>
      <c r="C737" s="123"/>
      <c r="AB737" s="123"/>
      <c r="AC737" s="123"/>
      <c r="AD737" s="125"/>
      <c r="AE737" s="123"/>
      <c r="AF737" s="123"/>
      <c r="AG737" s="123"/>
      <c r="AH737" s="123"/>
      <c r="AI737" s="123"/>
      <c r="AJ737" s="123"/>
      <c r="AK737" s="123"/>
    </row>
    <row r="738" spans="1:37" ht="14.25" customHeight="1" x14ac:dyDescent="0.2">
      <c r="A738" s="123"/>
      <c r="C738" s="123"/>
      <c r="AB738" s="123"/>
      <c r="AC738" s="123"/>
      <c r="AD738" s="125"/>
      <c r="AE738" s="123"/>
      <c r="AF738" s="123"/>
      <c r="AG738" s="123"/>
      <c r="AH738" s="123"/>
      <c r="AI738" s="123"/>
      <c r="AJ738" s="123"/>
      <c r="AK738" s="123"/>
    </row>
    <row r="739" spans="1:37" ht="14.25" customHeight="1" x14ac:dyDescent="0.2">
      <c r="A739" s="123"/>
      <c r="C739" s="123"/>
      <c r="AB739" s="123"/>
      <c r="AC739" s="123"/>
      <c r="AD739" s="125"/>
      <c r="AE739" s="123"/>
      <c r="AF739" s="123"/>
      <c r="AG739" s="123"/>
      <c r="AH739" s="123"/>
      <c r="AI739" s="123"/>
      <c r="AJ739" s="123"/>
      <c r="AK739" s="123"/>
    </row>
    <row r="740" spans="1:37" ht="14.25" customHeight="1" x14ac:dyDescent="0.2">
      <c r="A740" s="123"/>
      <c r="C740" s="123"/>
      <c r="AB740" s="123"/>
      <c r="AC740" s="123"/>
      <c r="AD740" s="125"/>
      <c r="AE740" s="123"/>
      <c r="AF740" s="123"/>
      <c r="AG740" s="123"/>
      <c r="AH740" s="123"/>
      <c r="AI740" s="123"/>
      <c r="AJ740" s="123"/>
      <c r="AK740" s="123"/>
    </row>
    <row r="741" spans="1:37" ht="14.25" customHeight="1" x14ac:dyDescent="0.2">
      <c r="A741" s="123"/>
      <c r="C741" s="123"/>
      <c r="AB741" s="123"/>
      <c r="AC741" s="123"/>
      <c r="AD741" s="125"/>
      <c r="AE741" s="123"/>
      <c r="AF741" s="123"/>
      <c r="AG741" s="123"/>
      <c r="AH741" s="123"/>
      <c r="AI741" s="123"/>
      <c r="AJ741" s="123"/>
      <c r="AK741" s="123"/>
    </row>
    <row r="742" spans="1:37" ht="14.25" customHeight="1" x14ac:dyDescent="0.2">
      <c r="A742" s="123"/>
      <c r="C742" s="123"/>
      <c r="AB742" s="123"/>
      <c r="AC742" s="123"/>
      <c r="AD742" s="125"/>
      <c r="AE742" s="123"/>
      <c r="AF742" s="123"/>
      <c r="AG742" s="123"/>
      <c r="AH742" s="123"/>
      <c r="AI742" s="123"/>
      <c r="AJ742" s="123"/>
      <c r="AK742" s="123"/>
    </row>
    <row r="743" spans="1:37" ht="14.25" customHeight="1" x14ac:dyDescent="0.2">
      <c r="A743" s="123"/>
      <c r="C743" s="123"/>
      <c r="AB743" s="123"/>
      <c r="AC743" s="123"/>
      <c r="AD743" s="125"/>
      <c r="AE743" s="123"/>
      <c r="AF743" s="123"/>
      <c r="AG743" s="123"/>
      <c r="AH743" s="123"/>
      <c r="AI743" s="123"/>
      <c r="AJ743" s="123"/>
      <c r="AK743" s="123"/>
    </row>
    <row r="744" spans="1:37" ht="14.25" customHeight="1" x14ac:dyDescent="0.2">
      <c r="A744" s="123"/>
      <c r="C744" s="123"/>
      <c r="AB744" s="123"/>
      <c r="AC744" s="123"/>
      <c r="AD744" s="125"/>
      <c r="AE744" s="123"/>
      <c r="AF744" s="123"/>
      <c r="AG744" s="123"/>
      <c r="AH744" s="123"/>
      <c r="AI744" s="123"/>
      <c r="AJ744" s="123"/>
      <c r="AK744" s="123"/>
    </row>
    <row r="745" spans="1:37" ht="14.25" customHeight="1" x14ac:dyDescent="0.2">
      <c r="A745" s="123"/>
      <c r="C745" s="123"/>
      <c r="AB745" s="123"/>
      <c r="AC745" s="123"/>
      <c r="AD745" s="125"/>
      <c r="AE745" s="123"/>
      <c r="AF745" s="123"/>
      <c r="AG745" s="123"/>
      <c r="AH745" s="123"/>
      <c r="AI745" s="123"/>
      <c r="AJ745" s="123"/>
      <c r="AK745" s="123"/>
    </row>
    <row r="746" spans="1:37" ht="14.25" customHeight="1" x14ac:dyDescent="0.2">
      <c r="A746" s="123"/>
      <c r="C746" s="123"/>
      <c r="AB746" s="123"/>
      <c r="AC746" s="123"/>
      <c r="AD746" s="125"/>
      <c r="AE746" s="123"/>
      <c r="AF746" s="123"/>
      <c r="AG746" s="123"/>
      <c r="AH746" s="123"/>
      <c r="AI746" s="123"/>
      <c r="AJ746" s="123"/>
      <c r="AK746" s="123"/>
    </row>
    <row r="747" spans="1:37" ht="14.25" customHeight="1" x14ac:dyDescent="0.2">
      <c r="A747" s="123"/>
      <c r="C747" s="123"/>
      <c r="AB747" s="123"/>
      <c r="AC747" s="123"/>
      <c r="AD747" s="125"/>
      <c r="AE747" s="123"/>
      <c r="AF747" s="123"/>
      <c r="AG747" s="123"/>
      <c r="AH747" s="123"/>
      <c r="AI747" s="123"/>
      <c r="AJ747" s="123"/>
      <c r="AK747" s="123"/>
    </row>
    <row r="748" spans="1:37" ht="14.25" customHeight="1" x14ac:dyDescent="0.2">
      <c r="A748" s="123"/>
      <c r="C748" s="123"/>
      <c r="AB748" s="123"/>
      <c r="AC748" s="123"/>
      <c r="AD748" s="125"/>
      <c r="AE748" s="123"/>
      <c r="AF748" s="123"/>
      <c r="AG748" s="123"/>
      <c r="AH748" s="123"/>
      <c r="AI748" s="123"/>
      <c r="AJ748" s="123"/>
      <c r="AK748" s="123"/>
    </row>
    <row r="749" spans="1:37" ht="14.25" customHeight="1" x14ac:dyDescent="0.2">
      <c r="A749" s="123"/>
      <c r="C749" s="123"/>
      <c r="AB749" s="123"/>
      <c r="AC749" s="123"/>
      <c r="AD749" s="125"/>
      <c r="AE749" s="123"/>
      <c r="AF749" s="123"/>
      <c r="AG749" s="123"/>
      <c r="AH749" s="123"/>
      <c r="AI749" s="123"/>
      <c r="AJ749" s="123"/>
      <c r="AK749" s="123"/>
    </row>
    <row r="750" spans="1:37" ht="14.25" customHeight="1" x14ac:dyDescent="0.2">
      <c r="A750" s="123"/>
      <c r="C750" s="123"/>
      <c r="AB750" s="123"/>
      <c r="AC750" s="123"/>
      <c r="AD750" s="125"/>
      <c r="AE750" s="123"/>
      <c r="AF750" s="123"/>
      <c r="AG750" s="123"/>
      <c r="AH750" s="123"/>
      <c r="AI750" s="123"/>
      <c r="AJ750" s="123"/>
      <c r="AK750" s="123"/>
    </row>
    <row r="751" spans="1:37" ht="14.25" customHeight="1" x14ac:dyDescent="0.2">
      <c r="A751" s="123"/>
      <c r="C751" s="123"/>
      <c r="AB751" s="123"/>
      <c r="AC751" s="123"/>
      <c r="AD751" s="125"/>
      <c r="AE751" s="123"/>
      <c r="AF751" s="123"/>
      <c r="AG751" s="123"/>
      <c r="AH751" s="123"/>
      <c r="AI751" s="123"/>
      <c r="AJ751" s="123"/>
      <c r="AK751" s="123"/>
    </row>
    <row r="752" spans="1:37" ht="14.25" customHeight="1" x14ac:dyDescent="0.2">
      <c r="A752" s="123"/>
      <c r="C752" s="123"/>
      <c r="AB752" s="123"/>
      <c r="AC752" s="123"/>
      <c r="AD752" s="125"/>
      <c r="AE752" s="123"/>
      <c r="AF752" s="123"/>
      <c r="AG752" s="123"/>
      <c r="AH752" s="123"/>
      <c r="AI752" s="123"/>
      <c r="AJ752" s="123"/>
      <c r="AK752" s="123"/>
    </row>
    <row r="753" spans="1:37" ht="14.25" customHeight="1" x14ac:dyDescent="0.2">
      <c r="A753" s="123"/>
      <c r="C753" s="123"/>
      <c r="AB753" s="123"/>
      <c r="AC753" s="123"/>
      <c r="AD753" s="125"/>
      <c r="AE753" s="123"/>
      <c r="AF753" s="123"/>
      <c r="AG753" s="123"/>
      <c r="AH753" s="123"/>
      <c r="AI753" s="123"/>
      <c r="AJ753" s="123"/>
      <c r="AK753" s="123"/>
    </row>
    <row r="754" spans="1:37" ht="14.25" customHeight="1" x14ac:dyDescent="0.2">
      <c r="A754" s="123"/>
      <c r="C754" s="123"/>
      <c r="AB754" s="123"/>
      <c r="AC754" s="123"/>
      <c r="AD754" s="125"/>
      <c r="AE754" s="123"/>
      <c r="AF754" s="123"/>
      <c r="AG754" s="123"/>
      <c r="AH754" s="123"/>
      <c r="AI754" s="123"/>
      <c r="AJ754" s="123"/>
      <c r="AK754" s="123"/>
    </row>
    <row r="755" spans="1:37" ht="14.25" customHeight="1" x14ac:dyDescent="0.2">
      <c r="A755" s="123"/>
      <c r="C755" s="123"/>
      <c r="AB755" s="123"/>
      <c r="AC755" s="123"/>
      <c r="AD755" s="125"/>
      <c r="AE755" s="123"/>
      <c r="AF755" s="123"/>
      <c r="AG755" s="123"/>
      <c r="AH755" s="123"/>
      <c r="AI755" s="123"/>
      <c r="AJ755" s="123"/>
      <c r="AK755" s="123"/>
    </row>
    <row r="756" spans="1:37" ht="14.25" customHeight="1" x14ac:dyDescent="0.2">
      <c r="A756" s="123"/>
      <c r="C756" s="123"/>
      <c r="AB756" s="123"/>
      <c r="AC756" s="123"/>
      <c r="AD756" s="125"/>
      <c r="AE756" s="123"/>
      <c r="AF756" s="123"/>
      <c r="AG756" s="123"/>
      <c r="AH756" s="123"/>
      <c r="AI756" s="123"/>
      <c r="AJ756" s="123"/>
      <c r="AK756" s="123"/>
    </row>
    <row r="757" spans="1:37" ht="14.25" customHeight="1" x14ac:dyDescent="0.2">
      <c r="A757" s="123"/>
      <c r="C757" s="123"/>
      <c r="AB757" s="123"/>
      <c r="AC757" s="123"/>
      <c r="AD757" s="125"/>
      <c r="AE757" s="123"/>
      <c r="AF757" s="123"/>
      <c r="AG757" s="123"/>
      <c r="AH757" s="123"/>
      <c r="AI757" s="123"/>
      <c r="AJ757" s="123"/>
      <c r="AK757" s="123"/>
    </row>
    <row r="758" spans="1:37" ht="14.25" customHeight="1" x14ac:dyDescent="0.2">
      <c r="A758" s="123"/>
      <c r="C758" s="123"/>
      <c r="AB758" s="123"/>
      <c r="AC758" s="123"/>
      <c r="AD758" s="125"/>
      <c r="AE758" s="123"/>
      <c r="AF758" s="123"/>
      <c r="AG758" s="123"/>
      <c r="AH758" s="123"/>
      <c r="AI758" s="123"/>
      <c r="AJ758" s="123"/>
      <c r="AK758" s="123"/>
    </row>
    <row r="759" spans="1:37" ht="14.25" customHeight="1" x14ac:dyDescent="0.2">
      <c r="A759" s="123"/>
      <c r="C759" s="123"/>
      <c r="AB759" s="123"/>
      <c r="AC759" s="123"/>
      <c r="AD759" s="125"/>
      <c r="AE759" s="123"/>
      <c r="AF759" s="123"/>
      <c r="AG759" s="123"/>
      <c r="AH759" s="123"/>
      <c r="AI759" s="123"/>
      <c r="AJ759" s="123"/>
      <c r="AK759" s="123"/>
    </row>
    <row r="760" spans="1:37" ht="14.25" customHeight="1" x14ac:dyDescent="0.2">
      <c r="A760" s="123"/>
      <c r="C760" s="123"/>
      <c r="AB760" s="123"/>
      <c r="AC760" s="123"/>
      <c r="AD760" s="125"/>
      <c r="AE760" s="123"/>
      <c r="AF760" s="123"/>
      <c r="AG760" s="123"/>
      <c r="AH760" s="123"/>
      <c r="AI760" s="123"/>
      <c r="AJ760" s="123"/>
      <c r="AK760" s="123"/>
    </row>
    <row r="761" spans="1:37" ht="14.25" customHeight="1" x14ac:dyDescent="0.2">
      <c r="A761" s="123"/>
      <c r="C761" s="123"/>
      <c r="AB761" s="123"/>
      <c r="AC761" s="123"/>
      <c r="AD761" s="125"/>
      <c r="AE761" s="123"/>
      <c r="AF761" s="123"/>
      <c r="AG761" s="123"/>
      <c r="AH761" s="123"/>
      <c r="AI761" s="123"/>
      <c r="AJ761" s="123"/>
      <c r="AK761" s="123"/>
    </row>
    <row r="762" spans="1:37" ht="14.25" customHeight="1" x14ac:dyDescent="0.2">
      <c r="A762" s="123"/>
      <c r="C762" s="123"/>
      <c r="AB762" s="123"/>
      <c r="AC762" s="123"/>
      <c r="AD762" s="125"/>
      <c r="AE762" s="123"/>
      <c r="AF762" s="123"/>
      <c r="AG762" s="123"/>
      <c r="AH762" s="123"/>
      <c r="AI762" s="123"/>
      <c r="AJ762" s="123"/>
      <c r="AK762" s="123"/>
    </row>
    <row r="763" spans="1:37" ht="14.25" customHeight="1" x14ac:dyDescent="0.2">
      <c r="A763" s="123"/>
      <c r="C763" s="123"/>
      <c r="AB763" s="123"/>
      <c r="AC763" s="123"/>
      <c r="AD763" s="125"/>
      <c r="AE763" s="123"/>
      <c r="AF763" s="123"/>
      <c r="AG763" s="123"/>
      <c r="AH763" s="123"/>
      <c r="AI763" s="123"/>
      <c r="AJ763" s="123"/>
      <c r="AK763" s="123"/>
    </row>
    <row r="764" spans="1:37" ht="14.25" customHeight="1" x14ac:dyDescent="0.2">
      <c r="A764" s="123"/>
      <c r="C764" s="123"/>
      <c r="AB764" s="123"/>
      <c r="AC764" s="123"/>
      <c r="AD764" s="125"/>
      <c r="AE764" s="123"/>
      <c r="AF764" s="123"/>
      <c r="AG764" s="123"/>
      <c r="AH764" s="123"/>
      <c r="AI764" s="123"/>
      <c r="AJ764" s="123"/>
      <c r="AK764" s="123"/>
    </row>
    <row r="765" spans="1:37" ht="14.25" customHeight="1" x14ac:dyDescent="0.2">
      <c r="A765" s="123"/>
      <c r="C765" s="123"/>
      <c r="AB765" s="123"/>
      <c r="AC765" s="123"/>
      <c r="AD765" s="125"/>
      <c r="AE765" s="123"/>
      <c r="AF765" s="123"/>
      <c r="AG765" s="123"/>
      <c r="AH765" s="123"/>
      <c r="AI765" s="123"/>
      <c r="AJ765" s="123"/>
      <c r="AK765" s="123"/>
    </row>
    <row r="766" spans="1:37" ht="14.25" customHeight="1" x14ac:dyDescent="0.2">
      <c r="A766" s="123"/>
      <c r="C766" s="123"/>
      <c r="AB766" s="123"/>
      <c r="AC766" s="123"/>
      <c r="AD766" s="125"/>
      <c r="AE766" s="123"/>
      <c r="AF766" s="123"/>
      <c r="AG766" s="123"/>
      <c r="AH766" s="123"/>
      <c r="AI766" s="123"/>
      <c r="AJ766" s="123"/>
      <c r="AK766" s="123"/>
    </row>
    <row r="767" spans="1:37" ht="14.25" customHeight="1" x14ac:dyDescent="0.2">
      <c r="A767" s="123"/>
      <c r="C767" s="123"/>
      <c r="AB767" s="123"/>
      <c r="AC767" s="123"/>
      <c r="AD767" s="125"/>
      <c r="AE767" s="123"/>
      <c r="AF767" s="123"/>
      <c r="AG767" s="123"/>
      <c r="AH767" s="123"/>
      <c r="AI767" s="123"/>
      <c r="AJ767" s="123"/>
      <c r="AK767" s="123"/>
    </row>
    <row r="768" spans="1:37" ht="14.25" customHeight="1" x14ac:dyDescent="0.2">
      <c r="A768" s="123"/>
      <c r="C768" s="123"/>
      <c r="AB768" s="123"/>
      <c r="AC768" s="123"/>
      <c r="AD768" s="125"/>
      <c r="AE768" s="123"/>
      <c r="AF768" s="123"/>
      <c r="AG768" s="123"/>
      <c r="AH768" s="123"/>
      <c r="AI768" s="123"/>
      <c r="AJ768" s="123"/>
      <c r="AK768" s="123"/>
    </row>
    <row r="769" spans="1:37" ht="14.25" customHeight="1" x14ac:dyDescent="0.2">
      <c r="A769" s="123"/>
      <c r="C769" s="123"/>
      <c r="AB769" s="123"/>
      <c r="AC769" s="123"/>
      <c r="AD769" s="125"/>
      <c r="AE769" s="123"/>
      <c r="AF769" s="123"/>
      <c r="AG769" s="123"/>
      <c r="AH769" s="123"/>
      <c r="AI769" s="123"/>
      <c r="AJ769" s="123"/>
      <c r="AK769" s="123"/>
    </row>
    <row r="770" spans="1:37" ht="14.25" customHeight="1" x14ac:dyDescent="0.2">
      <c r="A770" s="123"/>
      <c r="C770" s="123"/>
      <c r="AB770" s="123"/>
      <c r="AC770" s="123"/>
      <c r="AD770" s="125"/>
      <c r="AE770" s="123"/>
      <c r="AF770" s="123"/>
      <c r="AG770" s="123"/>
      <c r="AH770" s="123"/>
      <c r="AI770" s="123"/>
      <c r="AJ770" s="123"/>
      <c r="AK770" s="123"/>
    </row>
    <row r="771" spans="1:37" ht="14.25" customHeight="1" x14ac:dyDescent="0.2">
      <c r="A771" s="123"/>
      <c r="C771" s="123"/>
      <c r="AB771" s="123"/>
      <c r="AC771" s="123"/>
      <c r="AD771" s="125"/>
      <c r="AE771" s="123"/>
      <c r="AF771" s="123"/>
      <c r="AG771" s="123"/>
      <c r="AH771" s="123"/>
      <c r="AI771" s="123"/>
      <c r="AJ771" s="123"/>
      <c r="AK771" s="123"/>
    </row>
    <row r="772" spans="1:37" ht="14.25" customHeight="1" x14ac:dyDescent="0.2">
      <c r="A772" s="123"/>
      <c r="C772" s="123"/>
      <c r="AB772" s="123"/>
      <c r="AC772" s="123"/>
      <c r="AD772" s="125"/>
      <c r="AE772" s="123"/>
      <c r="AF772" s="123"/>
      <c r="AG772" s="123"/>
      <c r="AH772" s="123"/>
      <c r="AI772" s="123"/>
      <c r="AJ772" s="123"/>
      <c r="AK772" s="123"/>
    </row>
    <row r="773" spans="1:37" ht="14.25" customHeight="1" x14ac:dyDescent="0.2">
      <c r="A773" s="123"/>
      <c r="C773" s="123"/>
      <c r="AB773" s="123"/>
      <c r="AC773" s="123"/>
      <c r="AD773" s="125"/>
      <c r="AE773" s="123"/>
      <c r="AF773" s="123"/>
      <c r="AG773" s="123"/>
      <c r="AH773" s="123"/>
      <c r="AI773" s="123"/>
      <c r="AJ773" s="123"/>
      <c r="AK773" s="123"/>
    </row>
    <row r="774" spans="1:37" ht="14.25" customHeight="1" x14ac:dyDescent="0.2">
      <c r="A774" s="123"/>
      <c r="C774" s="123"/>
      <c r="AB774" s="123"/>
      <c r="AC774" s="123"/>
      <c r="AD774" s="125"/>
      <c r="AE774" s="123"/>
      <c r="AF774" s="123"/>
      <c r="AG774" s="123"/>
      <c r="AH774" s="123"/>
      <c r="AI774" s="123"/>
      <c r="AJ774" s="123"/>
      <c r="AK774" s="123"/>
    </row>
    <row r="775" spans="1:37" ht="14.25" customHeight="1" x14ac:dyDescent="0.2">
      <c r="A775" s="123"/>
      <c r="C775" s="123"/>
      <c r="AB775" s="123"/>
      <c r="AC775" s="123"/>
      <c r="AD775" s="125"/>
      <c r="AE775" s="123"/>
      <c r="AF775" s="123"/>
      <c r="AG775" s="123"/>
      <c r="AH775" s="123"/>
      <c r="AI775" s="123"/>
      <c r="AJ775" s="123"/>
      <c r="AK775" s="123"/>
    </row>
    <row r="776" spans="1:37" ht="14.25" customHeight="1" x14ac:dyDescent="0.2">
      <c r="A776" s="123"/>
      <c r="C776" s="123"/>
      <c r="AB776" s="123"/>
      <c r="AC776" s="123"/>
      <c r="AD776" s="125"/>
      <c r="AE776" s="123"/>
      <c r="AF776" s="123"/>
      <c r="AG776" s="123"/>
      <c r="AH776" s="123"/>
      <c r="AI776" s="123"/>
      <c r="AJ776" s="123"/>
      <c r="AK776" s="123"/>
    </row>
    <row r="777" spans="1:37" ht="14.25" customHeight="1" x14ac:dyDescent="0.2">
      <c r="A777" s="123"/>
      <c r="C777" s="123"/>
      <c r="AB777" s="123"/>
      <c r="AC777" s="123"/>
      <c r="AD777" s="125"/>
      <c r="AE777" s="123"/>
      <c r="AF777" s="123"/>
      <c r="AG777" s="123"/>
      <c r="AH777" s="123"/>
      <c r="AI777" s="123"/>
      <c r="AJ777" s="123"/>
      <c r="AK777" s="123"/>
    </row>
    <row r="778" spans="1:37" ht="14.25" customHeight="1" x14ac:dyDescent="0.2">
      <c r="A778" s="123"/>
      <c r="C778" s="123"/>
      <c r="AB778" s="123"/>
      <c r="AC778" s="123"/>
      <c r="AD778" s="125"/>
      <c r="AE778" s="123"/>
      <c r="AF778" s="123"/>
      <c r="AG778" s="123"/>
      <c r="AH778" s="123"/>
      <c r="AI778" s="123"/>
      <c r="AJ778" s="123"/>
      <c r="AK778" s="123"/>
    </row>
    <row r="779" spans="1:37" ht="14.25" customHeight="1" x14ac:dyDescent="0.2">
      <c r="A779" s="123"/>
      <c r="C779" s="123"/>
      <c r="AB779" s="123"/>
      <c r="AC779" s="123"/>
      <c r="AD779" s="125"/>
      <c r="AE779" s="123"/>
      <c r="AF779" s="123"/>
      <c r="AG779" s="123"/>
      <c r="AH779" s="123"/>
      <c r="AI779" s="123"/>
      <c r="AJ779" s="123"/>
      <c r="AK779" s="123"/>
    </row>
    <row r="780" spans="1:37" ht="14.25" customHeight="1" x14ac:dyDescent="0.2">
      <c r="A780" s="123"/>
      <c r="C780" s="123"/>
      <c r="AB780" s="123"/>
      <c r="AC780" s="123"/>
      <c r="AD780" s="125"/>
      <c r="AE780" s="123"/>
      <c r="AF780" s="123"/>
      <c r="AG780" s="123"/>
      <c r="AH780" s="123"/>
      <c r="AI780" s="123"/>
      <c r="AJ780" s="123"/>
      <c r="AK780" s="123"/>
    </row>
    <row r="781" spans="1:37" ht="14.25" customHeight="1" x14ac:dyDescent="0.2">
      <c r="A781" s="123"/>
      <c r="C781" s="123"/>
      <c r="AB781" s="123"/>
      <c r="AC781" s="123"/>
      <c r="AD781" s="125"/>
      <c r="AE781" s="123"/>
      <c r="AF781" s="123"/>
      <c r="AG781" s="123"/>
      <c r="AH781" s="123"/>
      <c r="AI781" s="123"/>
      <c r="AJ781" s="123"/>
      <c r="AK781" s="123"/>
    </row>
    <row r="782" spans="1:37" ht="14.25" customHeight="1" x14ac:dyDescent="0.2">
      <c r="A782" s="123"/>
      <c r="C782" s="123"/>
      <c r="AB782" s="123"/>
      <c r="AC782" s="123"/>
      <c r="AD782" s="125"/>
      <c r="AE782" s="123"/>
      <c r="AF782" s="123"/>
      <c r="AG782" s="123"/>
      <c r="AH782" s="123"/>
      <c r="AI782" s="123"/>
      <c r="AJ782" s="123"/>
      <c r="AK782" s="123"/>
    </row>
    <row r="783" spans="1:37" ht="14.25" customHeight="1" x14ac:dyDescent="0.2">
      <c r="A783" s="123"/>
      <c r="C783" s="123"/>
      <c r="AB783" s="123"/>
      <c r="AC783" s="123"/>
      <c r="AD783" s="125"/>
      <c r="AE783" s="123"/>
      <c r="AF783" s="123"/>
      <c r="AG783" s="123"/>
      <c r="AH783" s="123"/>
      <c r="AI783" s="123"/>
      <c r="AJ783" s="123"/>
      <c r="AK783" s="123"/>
    </row>
    <row r="784" spans="1:37" ht="14.25" customHeight="1" x14ac:dyDescent="0.2">
      <c r="A784" s="123"/>
      <c r="C784" s="123"/>
      <c r="AB784" s="123"/>
      <c r="AC784" s="123"/>
      <c r="AD784" s="125"/>
      <c r="AE784" s="123"/>
      <c r="AF784" s="123"/>
      <c r="AG784" s="123"/>
      <c r="AH784" s="123"/>
      <c r="AI784" s="123"/>
      <c r="AJ784" s="123"/>
      <c r="AK784" s="123"/>
    </row>
    <row r="785" spans="1:37" ht="14.25" customHeight="1" x14ac:dyDescent="0.2">
      <c r="A785" s="123"/>
      <c r="C785" s="123"/>
      <c r="AB785" s="123"/>
      <c r="AC785" s="123"/>
      <c r="AD785" s="125"/>
      <c r="AE785" s="123"/>
      <c r="AF785" s="123"/>
      <c r="AG785" s="123"/>
      <c r="AH785" s="123"/>
      <c r="AI785" s="123"/>
      <c r="AJ785" s="123"/>
      <c r="AK785" s="123"/>
    </row>
    <row r="786" spans="1:37" ht="14.25" customHeight="1" x14ac:dyDescent="0.2">
      <c r="A786" s="123"/>
      <c r="C786" s="123"/>
      <c r="AB786" s="123"/>
      <c r="AC786" s="123"/>
      <c r="AD786" s="125"/>
      <c r="AE786" s="123"/>
      <c r="AF786" s="123"/>
      <c r="AG786" s="123"/>
      <c r="AH786" s="123"/>
      <c r="AI786" s="123"/>
      <c r="AJ786" s="123"/>
      <c r="AK786" s="123"/>
    </row>
    <row r="787" spans="1:37" ht="14.25" customHeight="1" x14ac:dyDescent="0.2">
      <c r="A787" s="123"/>
      <c r="C787" s="123"/>
      <c r="AB787" s="123"/>
      <c r="AC787" s="123"/>
      <c r="AD787" s="125"/>
      <c r="AE787" s="123"/>
      <c r="AF787" s="123"/>
      <c r="AG787" s="123"/>
      <c r="AH787" s="123"/>
      <c r="AI787" s="123"/>
      <c r="AJ787" s="123"/>
      <c r="AK787" s="123"/>
    </row>
    <row r="788" spans="1:37" ht="14.25" customHeight="1" x14ac:dyDescent="0.2">
      <c r="A788" s="123"/>
      <c r="C788" s="123"/>
      <c r="AB788" s="123"/>
      <c r="AC788" s="123"/>
      <c r="AD788" s="125"/>
      <c r="AE788" s="123"/>
      <c r="AF788" s="123"/>
      <c r="AG788" s="123"/>
      <c r="AH788" s="123"/>
      <c r="AI788" s="123"/>
      <c r="AJ788" s="123"/>
      <c r="AK788" s="123"/>
    </row>
    <row r="789" spans="1:37" ht="14.25" customHeight="1" x14ac:dyDescent="0.2">
      <c r="A789" s="123"/>
      <c r="C789" s="123"/>
      <c r="AB789" s="123"/>
      <c r="AC789" s="123"/>
      <c r="AD789" s="125"/>
      <c r="AE789" s="123"/>
      <c r="AF789" s="123"/>
      <c r="AG789" s="123"/>
      <c r="AH789" s="123"/>
      <c r="AI789" s="123"/>
      <c r="AJ789" s="123"/>
      <c r="AK789" s="123"/>
    </row>
    <row r="790" spans="1:37" ht="14.25" customHeight="1" x14ac:dyDescent="0.2">
      <c r="A790" s="123"/>
      <c r="C790" s="123"/>
      <c r="AB790" s="123"/>
      <c r="AC790" s="123"/>
      <c r="AD790" s="125"/>
      <c r="AE790" s="123"/>
      <c r="AF790" s="123"/>
      <c r="AG790" s="123"/>
      <c r="AH790" s="123"/>
      <c r="AI790" s="123"/>
      <c r="AJ790" s="123"/>
      <c r="AK790" s="123"/>
    </row>
    <row r="791" spans="1:37" ht="14.25" customHeight="1" x14ac:dyDescent="0.2">
      <c r="A791" s="123"/>
      <c r="C791" s="123"/>
      <c r="AB791" s="123"/>
      <c r="AC791" s="123"/>
      <c r="AD791" s="125"/>
      <c r="AE791" s="123"/>
      <c r="AF791" s="123"/>
      <c r="AG791" s="123"/>
      <c r="AH791" s="123"/>
      <c r="AI791" s="123"/>
      <c r="AJ791" s="123"/>
      <c r="AK791" s="123"/>
    </row>
    <row r="792" spans="1:37" ht="14.25" customHeight="1" x14ac:dyDescent="0.2">
      <c r="A792" s="123"/>
      <c r="C792" s="123"/>
      <c r="AB792" s="123"/>
      <c r="AC792" s="123"/>
      <c r="AD792" s="125"/>
      <c r="AE792" s="123"/>
      <c r="AF792" s="123"/>
      <c r="AG792" s="123"/>
      <c r="AH792" s="123"/>
      <c r="AI792" s="123"/>
      <c r="AJ792" s="123"/>
      <c r="AK792" s="123"/>
    </row>
    <row r="793" spans="1:37" ht="14.25" customHeight="1" x14ac:dyDescent="0.2">
      <c r="A793" s="123"/>
      <c r="C793" s="123"/>
      <c r="AB793" s="123"/>
      <c r="AC793" s="123"/>
      <c r="AD793" s="125"/>
      <c r="AE793" s="123"/>
      <c r="AF793" s="123"/>
      <c r="AG793" s="123"/>
      <c r="AH793" s="123"/>
      <c r="AI793" s="123"/>
      <c r="AJ793" s="123"/>
      <c r="AK793" s="123"/>
    </row>
    <row r="794" spans="1:37" ht="14.25" customHeight="1" x14ac:dyDescent="0.2">
      <c r="A794" s="123"/>
      <c r="C794" s="123"/>
      <c r="AB794" s="123"/>
      <c r="AC794" s="123"/>
      <c r="AD794" s="125"/>
      <c r="AE794" s="123"/>
      <c r="AF794" s="123"/>
      <c r="AG794" s="123"/>
      <c r="AH794" s="123"/>
      <c r="AI794" s="123"/>
      <c r="AJ794" s="123"/>
      <c r="AK794" s="123"/>
    </row>
    <row r="795" spans="1:37" ht="14.25" customHeight="1" x14ac:dyDescent="0.2">
      <c r="A795" s="123"/>
      <c r="C795" s="123"/>
      <c r="AB795" s="123"/>
      <c r="AC795" s="123"/>
      <c r="AD795" s="125"/>
      <c r="AE795" s="123"/>
      <c r="AF795" s="123"/>
      <c r="AG795" s="123"/>
      <c r="AH795" s="123"/>
      <c r="AI795" s="123"/>
      <c r="AJ795" s="123"/>
      <c r="AK795" s="123"/>
    </row>
    <row r="796" spans="1:37" ht="14.25" customHeight="1" x14ac:dyDescent="0.2">
      <c r="A796" s="123"/>
      <c r="C796" s="123"/>
      <c r="AB796" s="123"/>
      <c r="AC796" s="123"/>
      <c r="AD796" s="125"/>
      <c r="AE796" s="123"/>
      <c r="AF796" s="123"/>
      <c r="AG796" s="123"/>
      <c r="AH796" s="123"/>
      <c r="AI796" s="123"/>
      <c r="AJ796" s="123"/>
      <c r="AK796" s="123"/>
    </row>
    <row r="797" spans="1:37" ht="14.25" customHeight="1" x14ac:dyDescent="0.2">
      <c r="A797" s="123"/>
      <c r="C797" s="123"/>
      <c r="AB797" s="123"/>
      <c r="AC797" s="123"/>
      <c r="AD797" s="125"/>
      <c r="AE797" s="123"/>
      <c r="AF797" s="123"/>
      <c r="AG797" s="123"/>
      <c r="AH797" s="123"/>
      <c r="AI797" s="123"/>
      <c r="AJ797" s="123"/>
      <c r="AK797" s="123"/>
    </row>
    <row r="798" spans="1:37" ht="14.25" customHeight="1" x14ac:dyDescent="0.2">
      <c r="A798" s="123"/>
      <c r="C798" s="123"/>
      <c r="AB798" s="123"/>
      <c r="AC798" s="123"/>
      <c r="AD798" s="125"/>
      <c r="AE798" s="123"/>
      <c r="AF798" s="123"/>
      <c r="AG798" s="123"/>
      <c r="AH798" s="123"/>
      <c r="AI798" s="123"/>
      <c r="AJ798" s="123"/>
      <c r="AK798" s="123"/>
    </row>
    <row r="799" spans="1:37" ht="14.25" customHeight="1" x14ac:dyDescent="0.2">
      <c r="A799" s="123"/>
      <c r="C799" s="123"/>
      <c r="AB799" s="123"/>
      <c r="AC799" s="123"/>
      <c r="AD799" s="125"/>
      <c r="AE799" s="123"/>
      <c r="AF799" s="123"/>
      <c r="AG799" s="123"/>
      <c r="AH799" s="123"/>
      <c r="AI799" s="123"/>
      <c r="AJ799" s="123"/>
      <c r="AK799" s="123"/>
    </row>
    <row r="800" spans="1:37" ht="14.25" customHeight="1" x14ac:dyDescent="0.2">
      <c r="A800" s="123"/>
      <c r="C800" s="123"/>
      <c r="AB800" s="123"/>
      <c r="AC800" s="123"/>
      <c r="AD800" s="125"/>
      <c r="AE800" s="123"/>
      <c r="AF800" s="123"/>
      <c r="AG800" s="123"/>
      <c r="AH800" s="123"/>
      <c r="AI800" s="123"/>
      <c r="AJ800" s="123"/>
      <c r="AK800" s="123"/>
    </row>
    <row r="801" spans="1:37" ht="14.25" customHeight="1" x14ac:dyDescent="0.2">
      <c r="A801" s="123"/>
      <c r="C801" s="123"/>
      <c r="AB801" s="123"/>
      <c r="AC801" s="123"/>
      <c r="AD801" s="125"/>
      <c r="AE801" s="123"/>
      <c r="AF801" s="123"/>
      <c r="AG801" s="123"/>
      <c r="AH801" s="123"/>
      <c r="AI801" s="123"/>
      <c r="AJ801" s="123"/>
      <c r="AK801" s="123"/>
    </row>
    <row r="802" spans="1:37" ht="14.25" customHeight="1" x14ac:dyDescent="0.2">
      <c r="A802" s="123"/>
      <c r="C802" s="123"/>
      <c r="AB802" s="123"/>
      <c r="AC802" s="123"/>
      <c r="AD802" s="125"/>
      <c r="AE802" s="123"/>
      <c r="AF802" s="123"/>
      <c r="AG802" s="123"/>
      <c r="AH802" s="123"/>
      <c r="AI802" s="123"/>
      <c r="AJ802" s="123"/>
      <c r="AK802" s="123"/>
    </row>
    <row r="803" spans="1:37" ht="14.25" customHeight="1" x14ac:dyDescent="0.2">
      <c r="A803" s="123"/>
      <c r="C803" s="123"/>
      <c r="AB803" s="123"/>
      <c r="AC803" s="123"/>
      <c r="AD803" s="125"/>
      <c r="AE803" s="123"/>
      <c r="AF803" s="123"/>
      <c r="AG803" s="123"/>
      <c r="AH803" s="123"/>
      <c r="AI803" s="123"/>
      <c r="AJ803" s="123"/>
      <c r="AK803" s="123"/>
    </row>
    <row r="804" spans="1:37" ht="14.25" customHeight="1" x14ac:dyDescent="0.2">
      <c r="A804" s="123"/>
      <c r="C804" s="123"/>
      <c r="AB804" s="123"/>
      <c r="AC804" s="123"/>
      <c r="AD804" s="125"/>
      <c r="AE804" s="123"/>
      <c r="AF804" s="123"/>
      <c r="AG804" s="123"/>
      <c r="AH804" s="123"/>
      <c r="AI804" s="123"/>
      <c r="AJ804" s="123"/>
      <c r="AK804" s="123"/>
    </row>
    <row r="805" spans="1:37" ht="14.25" customHeight="1" x14ac:dyDescent="0.2">
      <c r="A805" s="123"/>
      <c r="C805" s="123"/>
      <c r="AB805" s="123"/>
      <c r="AC805" s="123"/>
      <c r="AD805" s="125"/>
      <c r="AE805" s="123"/>
      <c r="AF805" s="123"/>
      <c r="AG805" s="123"/>
      <c r="AH805" s="123"/>
      <c r="AI805" s="123"/>
      <c r="AJ805" s="123"/>
      <c r="AK805" s="123"/>
    </row>
    <row r="806" spans="1:37" ht="14.25" customHeight="1" x14ac:dyDescent="0.2">
      <c r="A806" s="123"/>
      <c r="C806" s="123"/>
      <c r="AB806" s="123"/>
      <c r="AC806" s="123"/>
      <c r="AD806" s="125"/>
      <c r="AE806" s="123"/>
      <c r="AF806" s="123"/>
      <c r="AG806" s="123"/>
      <c r="AH806" s="123"/>
      <c r="AI806" s="123"/>
      <c r="AJ806" s="123"/>
      <c r="AK806" s="123"/>
    </row>
    <row r="807" spans="1:37" ht="14.25" customHeight="1" x14ac:dyDescent="0.2">
      <c r="A807" s="123"/>
      <c r="C807" s="123"/>
      <c r="AB807" s="123"/>
      <c r="AC807" s="123"/>
      <c r="AD807" s="125"/>
      <c r="AE807" s="123"/>
      <c r="AF807" s="123"/>
      <c r="AG807" s="123"/>
      <c r="AH807" s="123"/>
      <c r="AI807" s="123"/>
      <c r="AJ807" s="123"/>
      <c r="AK807" s="123"/>
    </row>
    <row r="808" spans="1:37" ht="14.25" customHeight="1" x14ac:dyDescent="0.2">
      <c r="A808" s="123"/>
      <c r="C808" s="123"/>
      <c r="AB808" s="123"/>
      <c r="AC808" s="123"/>
      <c r="AD808" s="125"/>
      <c r="AE808" s="123"/>
      <c r="AF808" s="123"/>
      <c r="AG808" s="123"/>
      <c r="AH808" s="123"/>
      <c r="AI808" s="123"/>
      <c r="AJ808" s="123"/>
      <c r="AK808" s="123"/>
    </row>
    <row r="809" spans="1:37" ht="14.25" customHeight="1" x14ac:dyDescent="0.2">
      <c r="A809" s="123"/>
      <c r="C809" s="123"/>
      <c r="AB809" s="123"/>
      <c r="AC809" s="123"/>
      <c r="AD809" s="125"/>
      <c r="AE809" s="123"/>
      <c r="AF809" s="123"/>
      <c r="AG809" s="123"/>
      <c r="AH809" s="123"/>
      <c r="AI809" s="123"/>
      <c r="AJ809" s="123"/>
      <c r="AK809" s="123"/>
    </row>
    <row r="810" spans="1:37" ht="14.25" customHeight="1" x14ac:dyDescent="0.2">
      <c r="A810" s="123"/>
      <c r="C810" s="123"/>
      <c r="AB810" s="123"/>
      <c r="AC810" s="123"/>
      <c r="AD810" s="125"/>
      <c r="AE810" s="123"/>
      <c r="AF810" s="123"/>
      <c r="AG810" s="123"/>
      <c r="AH810" s="123"/>
      <c r="AI810" s="123"/>
      <c r="AJ810" s="123"/>
      <c r="AK810" s="123"/>
    </row>
    <row r="811" spans="1:37" ht="14.25" customHeight="1" x14ac:dyDescent="0.2">
      <c r="A811" s="123"/>
      <c r="C811" s="123"/>
      <c r="AB811" s="123"/>
      <c r="AC811" s="123"/>
      <c r="AD811" s="125"/>
      <c r="AE811" s="123"/>
      <c r="AF811" s="123"/>
      <c r="AG811" s="123"/>
      <c r="AH811" s="123"/>
      <c r="AI811" s="123"/>
      <c r="AJ811" s="123"/>
      <c r="AK811" s="123"/>
    </row>
    <row r="812" spans="1:37" ht="14.25" customHeight="1" x14ac:dyDescent="0.2">
      <c r="A812" s="123"/>
      <c r="C812" s="123"/>
      <c r="AB812" s="123"/>
      <c r="AC812" s="123"/>
      <c r="AD812" s="125"/>
      <c r="AE812" s="123"/>
      <c r="AF812" s="123"/>
      <c r="AG812" s="123"/>
      <c r="AH812" s="123"/>
      <c r="AI812" s="123"/>
      <c r="AJ812" s="123"/>
      <c r="AK812" s="123"/>
    </row>
    <row r="813" spans="1:37" ht="14.25" customHeight="1" x14ac:dyDescent="0.2">
      <c r="A813" s="123"/>
      <c r="C813" s="123"/>
      <c r="AB813" s="123"/>
      <c r="AC813" s="123"/>
      <c r="AD813" s="125"/>
      <c r="AE813" s="123"/>
      <c r="AF813" s="123"/>
      <c r="AG813" s="123"/>
      <c r="AH813" s="123"/>
      <c r="AI813" s="123"/>
      <c r="AJ813" s="123"/>
      <c r="AK813" s="123"/>
    </row>
    <row r="814" spans="1:37" ht="14.25" customHeight="1" x14ac:dyDescent="0.2">
      <c r="A814" s="123"/>
      <c r="C814" s="123"/>
      <c r="AB814" s="123"/>
      <c r="AC814" s="123"/>
      <c r="AD814" s="125"/>
      <c r="AE814" s="123"/>
      <c r="AF814" s="123"/>
      <c r="AG814" s="123"/>
      <c r="AH814" s="123"/>
      <c r="AI814" s="123"/>
      <c r="AJ814" s="123"/>
      <c r="AK814" s="123"/>
    </row>
    <row r="815" spans="1:37" ht="14.25" customHeight="1" x14ac:dyDescent="0.2">
      <c r="A815" s="123"/>
      <c r="C815" s="123"/>
      <c r="AB815" s="123"/>
      <c r="AC815" s="123"/>
      <c r="AD815" s="125"/>
      <c r="AE815" s="123"/>
      <c r="AF815" s="123"/>
      <c r="AG815" s="123"/>
      <c r="AH815" s="123"/>
      <c r="AI815" s="123"/>
      <c r="AJ815" s="123"/>
      <c r="AK815" s="123"/>
    </row>
    <row r="816" spans="1:37" ht="14.25" customHeight="1" x14ac:dyDescent="0.2">
      <c r="A816" s="123"/>
      <c r="C816" s="123"/>
      <c r="AB816" s="123"/>
      <c r="AC816" s="123"/>
      <c r="AD816" s="125"/>
      <c r="AE816" s="123"/>
      <c r="AF816" s="123"/>
      <c r="AG816" s="123"/>
      <c r="AH816" s="123"/>
      <c r="AI816" s="123"/>
      <c r="AJ816" s="123"/>
      <c r="AK816" s="123"/>
    </row>
    <row r="817" spans="1:37" ht="14.25" customHeight="1" x14ac:dyDescent="0.2">
      <c r="A817" s="123"/>
      <c r="C817" s="123"/>
      <c r="AB817" s="123"/>
      <c r="AC817" s="123"/>
      <c r="AD817" s="125"/>
      <c r="AE817" s="123"/>
      <c r="AF817" s="123"/>
      <c r="AG817" s="123"/>
      <c r="AH817" s="123"/>
      <c r="AI817" s="123"/>
      <c r="AJ817" s="123"/>
      <c r="AK817" s="123"/>
    </row>
    <row r="818" spans="1:37" ht="14.25" customHeight="1" x14ac:dyDescent="0.2">
      <c r="A818" s="123"/>
      <c r="C818" s="123"/>
      <c r="AB818" s="123"/>
      <c r="AC818" s="123"/>
      <c r="AD818" s="125"/>
      <c r="AE818" s="123"/>
      <c r="AF818" s="123"/>
      <c r="AG818" s="123"/>
      <c r="AH818" s="123"/>
      <c r="AI818" s="123"/>
      <c r="AJ818" s="123"/>
      <c r="AK818" s="123"/>
    </row>
    <row r="819" spans="1:37" ht="14.25" customHeight="1" x14ac:dyDescent="0.2">
      <c r="A819" s="123"/>
      <c r="C819" s="123"/>
      <c r="AB819" s="123"/>
      <c r="AC819" s="123"/>
      <c r="AD819" s="125"/>
      <c r="AE819" s="123"/>
      <c r="AF819" s="123"/>
      <c r="AG819" s="123"/>
      <c r="AH819" s="123"/>
      <c r="AI819" s="123"/>
      <c r="AJ819" s="123"/>
      <c r="AK819" s="123"/>
    </row>
    <row r="820" spans="1:37" ht="14.25" customHeight="1" x14ac:dyDescent="0.2">
      <c r="A820" s="123"/>
      <c r="C820" s="123"/>
      <c r="AB820" s="123"/>
      <c r="AC820" s="123"/>
      <c r="AD820" s="125"/>
      <c r="AE820" s="123"/>
      <c r="AF820" s="123"/>
      <c r="AG820" s="123"/>
      <c r="AH820" s="123"/>
      <c r="AI820" s="123"/>
      <c r="AJ820" s="123"/>
      <c r="AK820" s="123"/>
    </row>
    <row r="821" spans="1:37" ht="14.25" customHeight="1" x14ac:dyDescent="0.2">
      <c r="A821" s="123"/>
      <c r="C821" s="123"/>
      <c r="AB821" s="123"/>
      <c r="AC821" s="123"/>
      <c r="AD821" s="125"/>
      <c r="AE821" s="123"/>
      <c r="AF821" s="123"/>
      <c r="AG821" s="123"/>
      <c r="AH821" s="123"/>
      <c r="AI821" s="123"/>
      <c r="AJ821" s="123"/>
      <c r="AK821" s="123"/>
    </row>
    <row r="822" spans="1:37" ht="14.25" customHeight="1" x14ac:dyDescent="0.2">
      <c r="A822" s="123"/>
      <c r="C822" s="123"/>
      <c r="AB822" s="123"/>
      <c r="AC822" s="123"/>
      <c r="AD822" s="125"/>
      <c r="AE822" s="123"/>
      <c r="AF822" s="123"/>
      <c r="AG822" s="123"/>
      <c r="AH822" s="123"/>
      <c r="AI822" s="123"/>
      <c r="AJ822" s="123"/>
      <c r="AK822" s="123"/>
    </row>
    <row r="823" spans="1:37" ht="14.25" customHeight="1" x14ac:dyDescent="0.2">
      <c r="A823" s="123"/>
      <c r="C823" s="123"/>
      <c r="AB823" s="123"/>
      <c r="AC823" s="123"/>
      <c r="AD823" s="125"/>
      <c r="AE823" s="123"/>
      <c r="AF823" s="123"/>
      <c r="AG823" s="123"/>
      <c r="AH823" s="123"/>
      <c r="AI823" s="123"/>
      <c r="AJ823" s="123"/>
      <c r="AK823" s="123"/>
    </row>
    <row r="824" spans="1:37" ht="14.25" customHeight="1" x14ac:dyDescent="0.2">
      <c r="A824" s="123"/>
      <c r="C824" s="123"/>
      <c r="AB824" s="123"/>
      <c r="AC824" s="123"/>
      <c r="AD824" s="125"/>
      <c r="AE824" s="123"/>
      <c r="AF824" s="123"/>
      <c r="AG824" s="123"/>
      <c r="AH824" s="123"/>
      <c r="AI824" s="123"/>
      <c r="AJ824" s="123"/>
      <c r="AK824" s="123"/>
    </row>
    <row r="825" spans="1:37" ht="14.25" customHeight="1" x14ac:dyDescent="0.2">
      <c r="A825" s="123"/>
      <c r="C825" s="123"/>
      <c r="AB825" s="123"/>
      <c r="AC825" s="123"/>
      <c r="AD825" s="125"/>
      <c r="AE825" s="123"/>
      <c r="AF825" s="123"/>
      <c r="AG825" s="123"/>
      <c r="AH825" s="123"/>
      <c r="AI825" s="123"/>
      <c r="AJ825" s="123"/>
      <c r="AK825" s="123"/>
    </row>
    <row r="826" spans="1:37" ht="14.25" customHeight="1" x14ac:dyDescent="0.2">
      <c r="A826" s="123"/>
      <c r="C826" s="123"/>
      <c r="AB826" s="123"/>
      <c r="AC826" s="123"/>
      <c r="AD826" s="125"/>
      <c r="AE826" s="123"/>
      <c r="AF826" s="123"/>
      <c r="AG826" s="123"/>
      <c r="AH826" s="123"/>
      <c r="AI826" s="123"/>
      <c r="AJ826" s="123"/>
      <c r="AK826" s="123"/>
    </row>
    <row r="827" spans="1:37" ht="14.25" customHeight="1" x14ac:dyDescent="0.2">
      <c r="A827" s="123"/>
      <c r="C827" s="123"/>
      <c r="AB827" s="123"/>
      <c r="AC827" s="123"/>
      <c r="AD827" s="125"/>
      <c r="AE827" s="123"/>
      <c r="AF827" s="123"/>
      <c r="AG827" s="123"/>
      <c r="AH827" s="123"/>
      <c r="AI827" s="123"/>
      <c r="AJ827" s="123"/>
      <c r="AK827" s="123"/>
    </row>
    <row r="828" spans="1:37" ht="14.25" customHeight="1" x14ac:dyDescent="0.2">
      <c r="A828" s="123"/>
      <c r="C828" s="123"/>
      <c r="AB828" s="123"/>
      <c r="AC828" s="123"/>
      <c r="AD828" s="125"/>
      <c r="AE828" s="123"/>
      <c r="AF828" s="123"/>
      <c r="AG828" s="123"/>
      <c r="AH828" s="123"/>
      <c r="AI828" s="123"/>
      <c r="AJ828" s="123"/>
      <c r="AK828" s="123"/>
    </row>
    <row r="829" spans="1:37" ht="14.25" customHeight="1" x14ac:dyDescent="0.2">
      <c r="A829" s="123"/>
      <c r="C829" s="123"/>
      <c r="AB829" s="123"/>
      <c r="AC829" s="123"/>
      <c r="AD829" s="125"/>
      <c r="AE829" s="123"/>
      <c r="AF829" s="123"/>
      <c r="AG829" s="123"/>
      <c r="AH829" s="123"/>
      <c r="AI829" s="123"/>
      <c r="AJ829" s="123"/>
      <c r="AK829" s="123"/>
    </row>
    <row r="830" spans="1:37" ht="14.25" customHeight="1" x14ac:dyDescent="0.2">
      <c r="A830" s="123"/>
      <c r="C830" s="123"/>
      <c r="AB830" s="123"/>
      <c r="AC830" s="123"/>
      <c r="AD830" s="125"/>
      <c r="AE830" s="123"/>
      <c r="AF830" s="123"/>
      <c r="AG830" s="123"/>
      <c r="AH830" s="123"/>
      <c r="AI830" s="123"/>
      <c r="AJ830" s="123"/>
      <c r="AK830" s="123"/>
    </row>
    <row r="831" spans="1:37" ht="14.25" customHeight="1" x14ac:dyDescent="0.2">
      <c r="A831" s="123"/>
      <c r="C831" s="123"/>
      <c r="AB831" s="123"/>
      <c r="AC831" s="123"/>
      <c r="AD831" s="125"/>
      <c r="AE831" s="123"/>
      <c r="AF831" s="123"/>
      <c r="AG831" s="123"/>
      <c r="AH831" s="123"/>
      <c r="AI831" s="123"/>
      <c r="AJ831" s="123"/>
      <c r="AK831" s="123"/>
    </row>
    <row r="832" spans="1:37" ht="14.25" customHeight="1" x14ac:dyDescent="0.2">
      <c r="A832" s="123"/>
      <c r="C832" s="123"/>
      <c r="AB832" s="123"/>
      <c r="AC832" s="123"/>
      <c r="AD832" s="125"/>
      <c r="AE832" s="123"/>
      <c r="AF832" s="123"/>
      <c r="AG832" s="123"/>
      <c r="AH832" s="123"/>
      <c r="AI832" s="123"/>
      <c r="AJ832" s="123"/>
      <c r="AK832" s="123"/>
    </row>
    <row r="833" spans="1:37" ht="14.25" customHeight="1" x14ac:dyDescent="0.2">
      <c r="A833" s="123"/>
      <c r="C833" s="123"/>
      <c r="AB833" s="123"/>
      <c r="AC833" s="123"/>
      <c r="AD833" s="125"/>
      <c r="AE833" s="123"/>
      <c r="AF833" s="123"/>
      <c r="AG833" s="123"/>
      <c r="AH833" s="123"/>
      <c r="AI833" s="123"/>
      <c r="AJ833" s="123"/>
      <c r="AK833" s="123"/>
    </row>
    <row r="834" spans="1:37" ht="14.25" customHeight="1" x14ac:dyDescent="0.2">
      <c r="A834" s="123"/>
      <c r="C834" s="123"/>
      <c r="AB834" s="123"/>
      <c r="AC834" s="123"/>
      <c r="AD834" s="125"/>
      <c r="AE834" s="123"/>
      <c r="AF834" s="123"/>
      <c r="AG834" s="123"/>
      <c r="AH834" s="123"/>
      <c r="AI834" s="123"/>
      <c r="AJ834" s="123"/>
      <c r="AK834" s="123"/>
    </row>
    <row r="835" spans="1:37" ht="14.25" customHeight="1" x14ac:dyDescent="0.2">
      <c r="A835" s="123"/>
      <c r="C835" s="123"/>
      <c r="AB835" s="123"/>
      <c r="AC835" s="123"/>
      <c r="AD835" s="125"/>
      <c r="AE835" s="123"/>
      <c r="AF835" s="123"/>
      <c r="AG835" s="123"/>
      <c r="AH835" s="123"/>
      <c r="AI835" s="123"/>
      <c r="AJ835" s="123"/>
      <c r="AK835" s="123"/>
    </row>
    <row r="836" spans="1:37" ht="14.25" customHeight="1" x14ac:dyDescent="0.2">
      <c r="A836" s="123"/>
      <c r="C836" s="123"/>
      <c r="AB836" s="123"/>
      <c r="AC836" s="123"/>
      <c r="AD836" s="125"/>
      <c r="AE836" s="123"/>
      <c r="AF836" s="123"/>
      <c r="AG836" s="123"/>
      <c r="AH836" s="123"/>
      <c r="AI836" s="123"/>
      <c r="AJ836" s="123"/>
      <c r="AK836" s="123"/>
    </row>
    <row r="837" spans="1:37" ht="14.25" customHeight="1" x14ac:dyDescent="0.2">
      <c r="A837" s="123"/>
      <c r="C837" s="123"/>
      <c r="AB837" s="123"/>
      <c r="AC837" s="123"/>
      <c r="AD837" s="125"/>
      <c r="AE837" s="123"/>
      <c r="AF837" s="123"/>
      <c r="AG837" s="123"/>
      <c r="AH837" s="123"/>
      <c r="AI837" s="123"/>
      <c r="AJ837" s="123"/>
      <c r="AK837" s="123"/>
    </row>
    <row r="838" spans="1:37" ht="14.25" customHeight="1" x14ac:dyDescent="0.2">
      <c r="A838" s="123"/>
      <c r="C838" s="123"/>
      <c r="AB838" s="123"/>
      <c r="AC838" s="123"/>
      <c r="AD838" s="125"/>
      <c r="AE838" s="123"/>
      <c r="AF838" s="123"/>
      <c r="AG838" s="123"/>
      <c r="AH838" s="123"/>
      <c r="AI838" s="123"/>
      <c r="AJ838" s="123"/>
      <c r="AK838" s="123"/>
    </row>
    <row r="839" spans="1:37" ht="14.25" customHeight="1" x14ac:dyDescent="0.2">
      <c r="A839" s="123"/>
      <c r="C839" s="123"/>
      <c r="AB839" s="123"/>
      <c r="AC839" s="123"/>
      <c r="AD839" s="125"/>
      <c r="AE839" s="123"/>
      <c r="AF839" s="123"/>
      <c r="AG839" s="123"/>
      <c r="AH839" s="123"/>
      <c r="AI839" s="123"/>
      <c r="AJ839" s="123"/>
      <c r="AK839" s="123"/>
    </row>
    <row r="840" spans="1:37" ht="14.25" customHeight="1" x14ac:dyDescent="0.2">
      <c r="A840" s="123"/>
      <c r="C840" s="123"/>
      <c r="AB840" s="123"/>
      <c r="AC840" s="123"/>
      <c r="AD840" s="125"/>
      <c r="AE840" s="123"/>
      <c r="AF840" s="123"/>
      <c r="AG840" s="123"/>
      <c r="AH840" s="123"/>
      <c r="AI840" s="123"/>
      <c r="AJ840" s="123"/>
      <c r="AK840" s="123"/>
    </row>
    <row r="841" spans="1:37" ht="14.25" customHeight="1" x14ac:dyDescent="0.2">
      <c r="A841" s="123"/>
      <c r="C841" s="123"/>
      <c r="AB841" s="123"/>
      <c r="AC841" s="123"/>
      <c r="AD841" s="125"/>
      <c r="AE841" s="123"/>
      <c r="AF841" s="123"/>
      <c r="AG841" s="123"/>
      <c r="AH841" s="123"/>
      <c r="AI841" s="123"/>
      <c r="AJ841" s="123"/>
      <c r="AK841" s="123"/>
    </row>
    <row r="842" spans="1:37" ht="14.25" customHeight="1" x14ac:dyDescent="0.2">
      <c r="A842" s="123"/>
      <c r="C842" s="123"/>
      <c r="AB842" s="123"/>
      <c r="AC842" s="123"/>
      <c r="AD842" s="125"/>
      <c r="AE842" s="123"/>
      <c r="AF842" s="123"/>
      <c r="AG842" s="123"/>
      <c r="AH842" s="123"/>
      <c r="AI842" s="123"/>
      <c r="AJ842" s="123"/>
      <c r="AK842" s="123"/>
    </row>
    <row r="843" spans="1:37" ht="14.25" customHeight="1" x14ac:dyDescent="0.2">
      <c r="A843" s="123"/>
      <c r="C843" s="123"/>
      <c r="AB843" s="123"/>
      <c r="AC843" s="123"/>
      <c r="AD843" s="125"/>
      <c r="AE843" s="123"/>
      <c r="AF843" s="123"/>
      <c r="AG843" s="123"/>
      <c r="AH843" s="123"/>
      <c r="AI843" s="123"/>
      <c r="AJ843" s="123"/>
      <c r="AK843" s="123"/>
    </row>
    <row r="844" spans="1:37" ht="14.25" customHeight="1" x14ac:dyDescent="0.2">
      <c r="A844" s="123"/>
      <c r="C844" s="123"/>
      <c r="AB844" s="123"/>
      <c r="AC844" s="123"/>
      <c r="AD844" s="125"/>
      <c r="AE844" s="123"/>
      <c r="AF844" s="123"/>
      <c r="AG844" s="123"/>
      <c r="AH844" s="123"/>
      <c r="AI844" s="123"/>
      <c r="AJ844" s="123"/>
      <c r="AK844" s="123"/>
    </row>
    <row r="845" spans="1:37" ht="14.25" customHeight="1" x14ac:dyDescent="0.2">
      <c r="A845" s="123"/>
      <c r="C845" s="123"/>
      <c r="AB845" s="123"/>
      <c r="AC845" s="123"/>
      <c r="AD845" s="125"/>
      <c r="AE845" s="123"/>
      <c r="AF845" s="123"/>
      <c r="AG845" s="123"/>
      <c r="AH845" s="123"/>
      <c r="AI845" s="123"/>
      <c r="AJ845" s="123"/>
      <c r="AK845" s="123"/>
    </row>
    <row r="846" spans="1:37" ht="14.25" customHeight="1" x14ac:dyDescent="0.2">
      <c r="A846" s="123"/>
      <c r="C846" s="123"/>
      <c r="AB846" s="123"/>
      <c r="AC846" s="123"/>
      <c r="AD846" s="125"/>
      <c r="AE846" s="123"/>
      <c r="AF846" s="123"/>
      <c r="AG846" s="123"/>
      <c r="AH846" s="123"/>
      <c r="AI846" s="123"/>
      <c r="AJ846" s="123"/>
      <c r="AK846" s="123"/>
    </row>
    <row r="847" spans="1:37" ht="14.25" customHeight="1" x14ac:dyDescent="0.2">
      <c r="A847" s="123"/>
      <c r="C847" s="123"/>
      <c r="AB847" s="123"/>
      <c r="AC847" s="123"/>
      <c r="AD847" s="125"/>
      <c r="AE847" s="123"/>
      <c r="AF847" s="123"/>
      <c r="AG847" s="123"/>
      <c r="AH847" s="123"/>
      <c r="AI847" s="123"/>
      <c r="AJ847" s="123"/>
      <c r="AK847" s="123"/>
    </row>
    <row r="848" spans="1:37" ht="14.25" customHeight="1" x14ac:dyDescent="0.2">
      <c r="A848" s="123"/>
      <c r="C848" s="123"/>
      <c r="AB848" s="123"/>
      <c r="AC848" s="123"/>
      <c r="AD848" s="125"/>
      <c r="AE848" s="123"/>
      <c r="AF848" s="123"/>
      <c r="AG848" s="123"/>
      <c r="AH848" s="123"/>
      <c r="AI848" s="123"/>
      <c r="AJ848" s="123"/>
      <c r="AK848" s="123"/>
    </row>
    <row r="849" spans="1:37" ht="14.25" customHeight="1" x14ac:dyDescent="0.2">
      <c r="A849" s="123"/>
      <c r="C849" s="123"/>
      <c r="AB849" s="123"/>
      <c r="AC849" s="123"/>
      <c r="AD849" s="125"/>
      <c r="AE849" s="123"/>
      <c r="AF849" s="123"/>
      <c r="AG849" s="123"/>
      <c r="AH849" s="123"/>
      <c r="AI849" s="123"/>
      <c r="AJ849" s="123"/>
      <c r="AK849" s="123"/>
    </row>
    <row r="850" spans="1:37" ht="14.25" customHeight="1" x14ac:dyDescent="0.2">
      <c r="A850" s="123"/>
      <c r="C850" s="123"/>
      <c r="AB850" s="123"/>
      <c r="AC850" s="123"/>
      <c r="AD850" s="125"/>
      <c r="AE850" s="123"/>
      <c r="AF850" s="123"/>
      <c r="AG850" s="123"/>
      <c r="AH850" s="123"/>
      <c r="AI850" s="123"/>
      <c r="AJ850" s="123"/>
      <c r="AK850" s="123"/>
    </row>
    <row r="851" spans="1:37" ht="14.25" customHeight="1" x14ac:dyDescent="0.2">
      <c r="A851" s="123"/>
      <c r="C851" s="123"/>
      <c r="AB851" s="123"/>
      <c r="AC851" s="123"/>
      <c r="AD851" s="125"/>
      <c r="AE851" s="123"/>
      <c r="AF851" s="123"/>
      <c r="AG851" s="123"/>
      <c r="AH851" s="123"/>
      <c r="AI851" s="123"/>
      <c r="AJ851" s="123"/>
      <c r="AK851" s="123"/>
    </row>
    <row r="852" spans="1:37" ht="14.25" customHeight="1" x14ac:dyDescent="0.2">
      <c r="A852" s="123"/>
      <c r="C852" s="123"/>
      <c r="AB852" s="123"/>
      <c r="AC852" s="123"/>
      <c r="AD852" s="125"/>
      <c r="AE852" s="123"/>
      <c r="AF852" s="123"/>
      <c r="AG852" s="123"/>
      <c r="AH852" s="123"/>
      <c r="AI852" s="123"/>
      <c r="AJ852" s="123"/>
      <c r="AK852" s="123"/>
    </row>
    <row r="853" spans="1:37" ht="14.25" customHeight="1" x14ac:dyDescent="0.2">
      <c r="A853" s="123"/>
      <c r="C853" s="123"/>
      <c r="AB853" s="123"/>
      <c r="AC853" s="123"/>
      <c r="AD853" s="125"/>
      <c r="AE853" s="123"/>
      <c r="AF853" s="123"/>
      <c r="AG853" s="123"/>
      <c r="AH853" s="123"/>
      <c r="AI853" s="123"/>
      <c r="AJ853" s="123"/>
      <c r="AK853" s="123"/>
    </row>
    <row r="854" spans="1:37" ht="14.25" customHeight="1" x14ac:dyDescent="0.2">
      <c r="A854" s="123"/>
      <c r="C854" s="123"/>
      <c r="AB854" s="123"/>
      <c r="AC854" s="123"/>
      <c r="AD854" s="125"/>
      <c r="AE854" s="123"/>
      <c r="AF854" s="123"/>
      <c r="AG854" s="123"/>
      <c r="AH854" s="123"/>
      <c r="AI854" s="123"/>
      <c r="AJ854" s="123"/>
      <c r="AK854" s="123"/>
    </row>
    <row r="855" spans="1:37" ht="14.25" customHeight="1" x14ac:dyDescent="0.2">
      <c r="A855" s="123"/>
      <c r="C855" s="123"/>
      <c r="AB855" s="123"/>
      <c r="AC855" s="123"/>
      <c r="AD855" s="125"/>
      <c r="AE855" s="123"/>
      <c r="AF855" s="123"/>
      <c r="AG855" s="123"/>
      <c r="AH855" s="123"/>
      <c r="AI855" s="123"/>
      <c r="AJ855" s="123"/>
      <c r="AK855" s="123"/>
    </row>
    <row r="856" spans="1:37" ht="14.25" customHeight="1" x14ac:dyDescent="0.2">
      <c r="A856" s="123"/>
      <c r="C856" s="123"/>
      <c r="AB856" s="123"/>
      <c r="AC856" s="123"/>
      <c r="AD856" s="125"/>
      <c r="AE856" s="123"/>
      <c r="AF856" s="123"/>
      <c r="AG856" s="123"/>
      <c r="AH856" s="123"/>
      <c r="AI856" s="123"/>
      <c r="AJ856" s="123"/>
      <c r="AK856" s="123"/>
    </row>
    <row r="857" spans="1:37" ht="14.25" customHeight="1" x14ac:dyDescent="0.2">
      <c r="A857" s="123"/>
      <c r="C857" s="123"/>
      <c r="AB857" s="123"/>
      <c r="AC857" s="123"/>
      <c r="AD857" s="125"/>
      <c r="AE857" s="123"/>
      <c r="AF857" s="123"/>
      <c r="AG857" s="123"/>
      <c r="AH857" s="123"/>
      <c r="AI857" s="123"/>
      <c r="AJ857" s="123"/>
      <c r="AK857" s="123"/>
    </row>
    <row r="858" spans="1:37" ht="14.25" customHeight="1" x14ac:dyDescent="0.2">
      <c r="A858" s="123"/>
      <c r="C858" s="123"/>
      <c r="AB858" s="123"/>
      <c r="AC858" s="123"/>
      <c r="AD858" s="125"/>
      <c r="AE858" s="123"/>
      <c r="AF858" s="123"/>
      <c r="AG858" s="123"/>
      <c r="AH858" s="123"/>
      <c r="AI858" s="123"/>
      <c r="AJ858" s="123"/>
      <c r="AK858" s="123"/>
    </row>
    <row r="859" spans="1:37" ht="14.25" customHeight="1" x14ac:dyDescent="0.2">
      <c r="A859" s="123"/>
      <c r="C859" s="123"/>
      <c r="AB859" s="123"/>
      <c r="AC859" s="123"/>
      <c r="AD859" s="125"/>
      <c r="AE859" s="123"/>
      <c r="AF859" s="123"/>
      <c r="AG859" s="123"/>
      <c r="AH859" s="123"/>
      <c r="AI859" s="123"/>
      <c r="AJ859" s="123"/>
      <c r="AK859" s="123"/>
    </row>
    <row r="860" spans="1:37" ht="14.25" customHeight="1" x14ac:dyDescent="0.2">
      <c r="A860" s="123"/>
      <c r="C860" s="123"/>
      <c r="AB860" s="123"/>
      <c r="AC860" s="123"/>
      <c r="AD860" s="125"/>
      <c r="AE860" s="123"/>
      <c r="AF860" s="123"/>
      <c r="AG860" s="123"/>
      <c r="AH860" s="123"/>
      <c r="AI860" s="123"/>
      <c r="AJ860" s="123"/>
      <c r="AK860" s="123"/>
    </row>
    <row r="861" spans="1:37" ht="14.25" customHeight="1" x14ac:dyDescent="0.2">
      <c r="A861" s="123"/>
      <c r="C861" s="123"/>
      <c r="AB861" s="123"/>
      <c r="AC861" s="123"/>
      <c r="AD861" s="125"/>
      <c r="AE861" s="123"/>
      <c r="AF861" s="123"/>
      <c r="AG861" s="123"/>
      <c r="AH861" s="123"/>
      <c r="AI861" s="123"/>
      <c r="AJ861" s="123"/>
      <c r="AK861" s="123"/>
    </row>
    <row r="862" spans="1:37" ht="14.25" customHeight="1" x14ac:dyDescent="0.2">
      <c r="A862" s="123"/>
      <c r="C862" s="123"/>
      <c r="AB862" s="123"/>
      <c r="AC862" s="123"/>
      <c r="AD862" s="125"/>
      <c r="AE862" s="123"/>
      <c r="AF862" s="123"/>
      <c r="AG862" s="123"/>
      <c r="AH862" s="123"/>
      <c r="AI862" s="123"/>
      <c r="AJ862" s="123"/>
      <c r="AK862" s="123"/>
    </row>
    <row r="863" spans="1:37" ht="14.25" customHeight="1" x14ac:dyDescent="0.2">
      <c r="A863" s="123"/>
      <c r="C863" s="123"/>
      <c r="AB863" s="123"/>
      <c r="AC863" s="123"/>
      <c r="AD863" s="125"/>
      <c r="AE863" s="123"/>
      <c r="AF863" s="123"/>
      <c r="AG863" s="123"/>
      <c r="AH863" s="123"/>
      <c r="AI863" s="123"/>
      <c r="AJ863" s="123"/>
      <c r="AK863" s="123"/>
    </row>
    <row r="864" spans="1:37" ht="14.25" customHeight="1" x14ac:dyDescent="0.2">
      <c r="A864" s="123"/>
      <c r="C864" s="123"/>
      <c r="AB864" s="123"/>
      <c r="AC864" s="123"/>
      <c r="AD864" s="125"/>
      <c r="AE864" s="123"/>
      <c r="AF864" s="123"/>
      <c r="AG864" s="123"/>
      <c r="AH864" s="123"/>
      <c r="AI864" s="123"/>
      <c r="AJ864" s="123"/>
      <c r="AK864" s="123"/>
    </row>
    <row r="865" spans="1:37" ht="14.25" customHeight="1" x14ac:dyDescent="0.2">
      <c r="A865" s="123"/>
      <c r="C865" s="123"/>
      <c r="AB865" s="123"/>
      <c r="AC865" s="123"/>
      <c r="AD865" s="125"/>
      <c r="AE865" s="123"/>
      <c r="AF865" s="123"/>
      <c r="AG865" s="123"/>
      <c r="AH865" s="123"/>
      <c r="AI865" s="123"/>
      <c r="AJ865" s="123"/>
      <c r="AK865" s="123"/>
    </row>
    <row r="866" spans="1:37" ht="14.25" customHeight="1" x14ac:dyDescent="0.2">
      <c r="A866" s="123"/>
      <c r="C866" s="123"/>
      <c r="AB866" s="123"/>
      <c r="AC866" s="123"/>
      <c r="AD866" s="125"/>
      <c r="AE866" s="123"/>
      <c r="AF866" s="123"/>
      <c r="AG866" s="123"/>
      <c r="AH866" s="123"/>
      <c r="AI866" s="123"/>
      <c r="AJ866" s="123"/>
      <c r="AK866" s="123"/>
    </row>
    <row r="867" spans="1:37" ht="14.25" customHeight="1" x14ac:dyDescent="0.2">
      <c r="A867" s="123"/>
      <c r="C867" s="123"/>
      <c r="AB867" s="123"/>
      <c r="AC867" s="123"/>
      <c r="AD867" s="125"/>
      <c r="AE867" s="123"/>
      <c r="AF867" s="123"/>
      <c r="AG867" s="123"/>
      <c r="AH867" s="123"/>
      <c r="AI867" s="123"/>
      <c r="AJ867" s="123"/>
      <c r="AK867" s="123"/>
    </row>
    <row r="868" spans="1:37" ht="14.25" customHeight="1" x14ac:dyDescent="0.2">
      <c r="A868" s="123"/>
      <c r="C868" s="123"/>
      <c r="AB868" s="123"/>
      <c r="AC868" s="123"/>
      <c r="AD868" s="125"/>
      <c r="AE868" s="123"/>
      <c r="AF868" s="123"/>
      <c r="AG868" s="123"/>
      <c r="AH868" s="123"/>
      <c r="AI868" s="123"/>
      <c r="AJ868" s="123"/>
      <c r="AK868" s="123"/>
    </row>
    <row r="869" spans="1:37" ht="14.25" customHeight="1" x14ac:dyDescent="0.2">
      <c r="A869" s="123"/>
      <c r="C869" s="123"/>
      <c r="AB869" s="123"/>
      <c r="AC869" s="123"/>
      <c r="AD869" s="125"/>
      <c r="AE869" s="123"/>
      <c r="AF869" s="123"/>
      <c r="AG869" s="123"/>
      <c r="AH869" s="123"/>
      <c r="AI869" s="123"/>
      <c r="AJ869" s="123"/>
      <c r="AK869" s="123"/>
    </row>
    <row r="870" spans="1:37" ht="14.25" customHeight="1" x14ac:dyDescent="0.2">
      <c r="A870" s="123"/>
      <c r="C870" s="123"/>
      <c r="AB870" s="123"/>
      <c r="AC870" s="123"/>
      <c r="AD870" s="125"/>
      <c r="AE870" s="123"/>
      <c r="AF870" s="123"/>
      <c r="AG870" s="123"/>
      <c r="AH870" s="123"/>
      <c r="AI870" s="123"/>
      <c r="AJ870" s="123"/>
      <c r="AK870" s="123"/>
    </row>
    <row r="871" spans="1:37" ht="14.25" customHeight="1" x14ac:dyDescent="0.2">
      <c r="A871" s="123"/>
      <c r="C871" s="123"/>
      <c r="AB871" s="123"/>
      <c r="AC871" s="123"/>
      <c r="AD871" s="125"/>
      <c r="AE871" s="123"/>
      <c r="AF871" s="123"/>
      <c r="AG871" s="123"/>
      <c r="AH871" s="123"/>
      <c r="AI871" s="123"/>
      <c r="AJ871" s="123"/>
      <c r="AK871" s="123"/>
    </row>
    <row r="872" spans="1:37" ht="14.25" customHeight="1" x14ac:dyDescent="0.2">
      <c r="A872" s="123"/>
      <c r="C872" s="123"/>
      <c r="AB872" s="123"/>
      <c r="AC872" s="123"/>
      <c r="AD872" s="125"/>
      <c r="AE872" s="123"/>
      <c r="AF872" s="123"/>
      <c r="AG872" s="123"/>
      <c r="AH872" s="123"/>
      <c r="AI872" s="123"/>
      <c r="AJ872" s="123"/>
      <c r="AK872" s="123"/>
    </row>
    <row r="873" spans="1:37" ht="14.25" customHeight="1" x14ac:dyDescent="0.2">
      <c r="A873" s="123"/>
      <c r="C873" s="123"/>
      <c r="AB873" s="123"/>
      <c r="AC873" s="123"/>
      <c r="AD873" s="125"/>
      <c r="AE873" s="123"/>
      <c r="AF873" s="123"/>
      <c r="AG873" s="123"/>
      <c r="AH873" s="123"/>
      <c r="AI873" s="123"/>
      <c r="AJ873" s="123"/>
      <c r="AK873" s="123"/>
    </row>
    <row r="874" spans="1:37" ht="14.25" customHeight="1" x14ac:dyDescent="0.2">
      <c r="A874" s="123"/>
      <c r="C874" s="123"/>
      <c r="AB874" s="123"/>
      <c r="AC874" s="123"/>
      <c r="AD874" s="125"/>
      <c r="AE874" s="123"/>
      <c r="AF874" s="123"/>
      <c r="AG874" s="123"/>
      <c r="AH874" s="123"/>
      <c r="AI874" s="123"/>
      <c r="AJ874" s="123"/>
      <c r="AK874" s="123"/>
    </row>
    <row r="875" spans="1:37" ht="14.25" customHeight="1" x14ac:dyDescent="0.2">
      <c r="A875" s="123"/>
      <c r="C875" s="123"/>
      <c r="AB875" s="123"/>
      <c r="AC875" s="123"/>
      <c r="AD875" s="125"/>
      <c r="AE875" s="123"/>
      <c r="AF875" s="123"/>
      <c r="AG875" s="123"/>
      <c r="AH875" s="123"/>
      <c r="AI875" s="123"/>
      <c r="AJ875" s="123"/>
      <c r="AK875" s="123"/>
    </row>
    <row r="876" spans="1:37" ht="14.25" customHeight="1" x14ac:dyDescent="0.2">
      <c r="A876" s="123"/>
      <c r="C876" s="123"/>
      <c r="AB876" s="123"/>
      <c r="AC876" s="123"/>
      <c r="AD876" s="125"/>
      <c r="AE876" s="123"/>
      <c r="AF876" s="123"/>
      <c r="AG876" s="123"/>
      <c r="AH876" s="123"/>
      <c r="AI876" s="123"/>
      <c r="AJ876" s="123"/>
      <c r="AK876" s="123"/>
    </row>
    <row r="877" spans="1:37" ht="14.25" customHeight="1" x14ac:dyDescent="0.2">
      <c r="A877" s="123"/>
      <c r="C877" s="123"/>
      <c r="AB877" s="123"/>
      <c r="AC877" s="123"/>
      <c r="AD877" s="125"/>
      <c r="AE877" s="123"/>
      <c r="AF877" s="123"/>
      <c r="AG877" s="123"/>
      <c r="AH877" s="123"/>
      <c r="AI877" s="123"/>
      <c r="AJ877" s="123"/>
      <c r="AK877" s="123"/>
    </row>
    <row r="878" spans="1:37" ht="14.25" customHeight="1" x14ac:dyDescent="0.2">
      <c r="A878" s="123"/>
      <c r="C878" s="123"/>
      <c r="AB878" s="123"/>
      <c r="AC878" s="123"/>
      <c r="AD878" s="125"/>
      <c r="AE878" s="123"/>
      <c r="AF878" s="123"/>
      <c r="AG878" s="123"/>
      <c r="AH878" s="123"/>
      <c r="AI878" s="123"/>
      <c r="AJ878" s="123"/>
      <c r="AK878" s="123"/>
    </row>
    <row r="879" spans="1:37" ht="14.25" customHeight="1" x14ac:dyDescent="0.2">
      <c r="A879" s="123"/>
      <c r="C879" s="123"/>
      <c r="AB879" s="123"/>
      <c r="AC879" s="123"/>
      <c r="AD879" s="125"/>
      <c r="AE879" s="123"/>
      <c r="AF879" s="123"/>
      <c r="AG879" s="123"/>
      <c r="AH879" s="123"/>
      <c r="AI879" s="123"/>
      <c r="AJ879" s="123"/>
      <c r="AK879" s="123"/>
    </row>
    <row r="880" spans="1:37" ht="14.25" customHeight="1" x14ac:dyDescent="0.2">
      <c r="A880" s="123"/>
      <c r="C880" s="123"/>
      <c r="AB880" s="123"/>
      <c r="AC880" s="123"/>
      <c r="AD880" s="125"/>
      <c r="AE880" s="123"/>
      <c r="AF880" s="123"/>
      <c r="AG880" s="123"/>
      <c r="AH880" s="123"/>
      <c r="AI880" s="123"/>
      <c r="AJ880" s="123"/>
      <c r="AK880" s="123"/>
    </row>
    <row r="881" spans="1:37" ht="14.25" customHeight="1" x14ac:dyDescent="0.2">
      <c r="A881" s="123"/>
      <c r="C881" s="123"/>
      <c r="AB881" s="123"/>
      <c r="AC881" s="123"/>
      <c r="AD881" s="125"/>
      <c r="AE881" s="123"/>
      <c r="AF881" s="123"/>
      <c r="AG881" s="123"/>
      <c r="AH881" s="123"/>
      <c r="AI881" s="123"/>
      <c r="AJ881" s="123"/>
      <c r="AK881" s="123"/>
    </row>
    <row r="882" spans="1:37" ht="14.25" customHeight="1" x14ac:dyDescent="0.2">
      <c r="A882" s="123"/>
      <c r="C882" s="123"/>
      <c r="AB882" s="123"/>
      <c r="AC882" s="123"/>
      <c r="AD882" s="125"/>
      <c r="AE882" s="123"/>
      <c r="AF882" s="123"/>
      <c r="AG882" s="123"/>
      <c r="AH882" s="123"/>
      <c r="AI882" s="123"/>
      <c r="AJ882" s="123"/>
      <c r="AK882" s="123"/>
    </row>
    <row r="883" spans="1:37" ht="14.25" customHeight="1" x14ac:dyDescent="0.2">
      <c r="A883" s="123"/>
      <c r="C883" s="123"/>
      <c r="AB883" s="123"/>
      <c r="AC883" s="123"/>
      <c r="AD883" s="125"/>
      <c r="AE883" s="123"/>
      <c r="AF883" s="123"/>
      <c r="AG883" s="123"/>
      <c r="AH883" s="123"/>
      <c r="AI883" s="123"/>
      <c r="AJ883" s="123"/>
      <c r="AK883" s="123"/>
    </row>
    <row r="884" spans="1:37" ht="14.25" customHeight="1" x14ac:dyDescent="0.2">
      <c r="A884" s="123"/>
      <c r="C884" s="123"/>
      <c r="AB884" s="123"/>
      <c r="AC884" s="123"/>
      <c r="AD884" s="125"/>
      <c r="AE884" s="123"/>
      <c r="AF884" s="123"/>
      <c r="AG884" s="123"/>
      <c r="AH884" s="123"/>
      <c r="AI884" s="123"/>
      <c r="AJ884" s="123"/>
      <c r="AK884" s="123"/>
    </row>
    <row r="885" spans="1:37" ht="14.25" customHeight="1" x14ac:dyDescent="0.2">
      <c r="A885" s="123"/>
      <c r="C885" s="123"/>
      <c r="AB885" s="123"/>
      <c r="AC885" s="123"/>
      <c r="AD885" s="125"/>
      <c r="AE885" s="123"/>
      <c r="AF885" s="123"/>
      <c r="AG885" s="123"/>
      <c r="AH885" s="123"/>
      <c r="AI885" s="123"/>
      <c r="AJ885" s="123"/>
      <c r="AK885" s="123"/>
    </row>
    <row r="886" spans="1:37" ht="14.25" customHeight="1" x14ac:dyDescent="0.2">
      <c r="A886" s="123"/>
      <c r="C886" s="123"/>
      <c r="AB886" s="123"/>
      <c r="AC886" s="123"/>
      <c r="AD886" s="125"/>
      <c r="AE886" s="123"/>
      <c r="AF886" s="123"/>
      <c r="AG886" s="123"/>
      <c r="AH886" s="123"/>
      <c r="AI886" s="123"/>
      <c r="AJ886" s="123"/>
      <c r="AK886" s="123"/>
    </row>
    <row r="887" spans="1:37" ht="14.25" customHeight="1" x14ac:dyDescent="0.2">
      <c r="A887" s="123"/>
      <c r="C887" s="123"/>
      <c r="AB887" s="123"/>
      <c r="AC887" s="123"/>
      <c r="AD887" s="125"/>
      <c r="AE887" s="123"/>
      <c r="AF887" s="123"/>
      <c r="AG887" s="123"/>
      <c r="AH887" s="123"/>
      <c r="AI887" s="123"/>
      <c r="AJ887" s="123"/>
      <c r="AK887" s="123"/>
    </row>
    <row r="888" spans="1:37" ht="14.25" customHeight="1" x14ac:dyDescent="0.2">
      <c r="A888" s="123"/>
      <c r="C888" s="123"/>
      <c r="AB888" s="123"/>
      <c r="AC888" s="123"/>
      <c r="AD888" s="125"/>
      <c r="AE888" s="123"/>
      <c r="AF888" s="123"/>
      <c r="AG888" s="123"/>
      <c r="AH888" s="123"/>
      <c r="AI888" s="123"/>
      <c r="AJ888" s="123"/>
      <c r="AK888" s="123"/>
    </row>
    <row r="889" spans="1:37" ht="14.25" customHeight="1" x14ac:dyDescent="0.2">
      <c r="A889" s="123"/>
      <c r="C889" s="123"/>
      <c r="AB889" s="123"/>
      <c r="AC889" s="123"/>
      <c r="AD889" s="125"/>
      <c r="AE889" s="123"/>
      <c r="AF889" s="123"/>
      <c r="AG889" s="123"/>
      <c r="AH889" s="123"/>
      <c r="AI889" s="123"/>
      <c r="AJ889" s="123"/>
      <c r="AK889" s="123"/>
    </row>
    <row r="890" spans="1:37" ht="14.25" customHeight="1" x14ac:dyDescent="0.2">
      <c r="A890" s="123"/>
      <c r="C890" s="123"/>
      <c r="AB890" s="123"/>
      <c r="AC890" s="123"/>
      <c r="AD890" s="125"/>
      <c r="AE890" s="123"/>
      <c r="AF890" s="123"/>
      <c r="AG890" s="123"/>
      <c r="AH890" s="123"/>
      <c r="AI890" s="123"/>
      <c r="AJ890" s="123"/>
      <c r="AK890" s="123"/>
    </row>
    <row r="891" spans="1:37" ht="14.25" customHeight="1" x14ac:dyDescent="0.2">
      <c r="A891" s="123"/>
      <c r="C891" s="123"/>
      <c r="AB891" s="123"/>
      <c r="AC891" s="123"/>
      <c r="AD891" s="125"/>
      <c r="AE891" s="123"/>
      <c r="AF891" s="123"/>
      <c r="AG891" s="123"/>
      <c r="AH891" s="123"/>
      <c r="AI891" s="123"/>
      <c r="AJ891" s="123"/>
      <c r="AK891" s="123"/>
    </row>
    <row r="892" spans="1:37" ht="14.25" customHeight="1" x14ac:dyDescent="0.2">
      <c r="A892" s="123"/>
      <c r="C892" s="123"/>
      <c r="AB892" s="123"/>
      <c r="AC892" s="123"/>
      <c r="AD892" s="125"/>
      <c r="AE892" s="123"/>
      <c r="AF892" s="123"/>
      <c r="AG892" s="123"/>
      <c r="AH892" s="123"/>
      <c r="AI892" s="123"/>
      <c r="AJ892" s="123"/>
      <c r="AK892" s="123"/>
    </row>
    <row r="893" spans="1:37" ht="14.25" customHeight="1" x14ac:dyDescent="0.2">
      <c r="A893" s="123"/>
      <c r="C893" s="123"/>
      <c r="AB893" s="123"/>
      <c r="AC893" s="123"/>
      <c r="AD893" s="125"/>
      <c r="AE893" s="123"/>
      <c r="AF893" s="123"/>
      <c r="AG893" s="123"/>
      <c r="AH893" s="123"/>
      <c r="AI893" s="123"/>
      <c r="AJ893" s="123"/>
      <c r="AK893" s="123"/>
    </row>
    <row r="894" spans="1:37" ht="14.25" customHeight="1" x14ac:dyDescent="0.2">
      <c r="A894" s="123"/>
      <c r="C894" s="123"/>
      <c r="AB894" s="123"/>
      <c r="AC894" s="123"/>
      <c r="AD894" s="125"/>
      <c r="AE894" s="123"/>
      <c r="AF894" s="123"/>
      <c r="AG894" s="123"/>
      <c r="AH894" s="123"/>
      <c r="AI894" s="123"/>
      <c r="AJ894" s="123"/>
      <c r="AK894" s="123"/>
    </row>
    <row r="895" spans="1:37" ht="14.25" customHeight="1" x14ac:dyDescent="0.2">
      <c r="A895" s="123"/>
      <c r="C895" s="123"/>
      <c r="AB895" s="123"/>
      <c r="AC895" s="123"/>
      <c r="AD895" s="125"/>
      <c r="AE895" s="123"/>
      <c r="AF895" s="123"/>
      <c r="AG895" s="123"/>
      <c r="AH895" s="123"/>
      <c r="AI895" s="123"/>
      <c r="AJ895" s="123"/>
      <c r="AK895" s="123"/>
    </row>
    <row r="896" spans="1:37" ht="14.25" customHeight="1" x14ac:dyDescent="0.2">
      <c r="A896" s="123"/>
      <c r="C896" s="123"/>
      <c r="AB896" s="123"/>
      <c r="AC896" s="123"/>
      <c r="AD896" s="125"/>
      <c r="AE896" s="123"/>
      <c r="AF896" s="123"/>
      <c r="AG896" s="123"/>
      <c r="AH896" s="123"/>
      <c r="AI896" s="123"/>
      <c r="AJ896" s="123"/>
      <c r="AK896" s="123"/>
    </row>
    <row r="897" spans="1:37" ht="14.25" customHeight="1" x14ac:dyDescent="0.2">
      <c r="A897" s="123"/>
      <c r="C897" s="123"/>
      <c r="AB897" s="123"/>
      <c r="AC897" s="123"/>
      <c r="AD897" s="125"/>
      <c r="AE897" s="123"/>
      <c r="AF897" s="123"/>
      <c r="AG897" s="123"/>
      <c r="AH897" s="123"/>
      <c r="AI897" s="123"/>
      <c r="AJ897" s="123"/>
      <c r="AK897" s="123"/>
    </row>
    <row r="898" spans="1:37" ht="14.25" customHeight="1" x14ac:dyDescent="0.2">
      <c r="A898" s="123"/>
      <c r="C898" s="123"/>
      <c r="AB898" s="123"/>
      <c r="AC898" s="123"/>
      <c r="AD898" s="125"/>
      <c r="AE898" s="123"/>
      <c r="AF898" s="123"/>
      <c r="AG898" s="123"/>
      <c r="AH898" s="123"/>
      <c r="AI898" s="123"/>
      <c r="AJ898" s="123"/>
      <c r="AK898" s="123"/>
    </row>
    <row r="899" spans="1:37" ht="14.25" customHeight="1" x14ac:dyDescent="0.2">
      <c r="A899" s="123"/>
      <c r="C899" s="123"/>
      <c r="AB899" s="123"/>
      <c r="AC899" s="123"/>
      <c r="AD899" s="125"/>
      <c r="AE899" s="123"/>
      <c r="AF899" s="123"/>
      <c r="AG899" s="123"/>
      <c r="AH899" s="123"/>
      <c r="AI899" s="123"/>
      <c r="AJ899" s="123"/>
      <c r="AK899" s="123"/>
    </row>
    <row r="900" spans="1:37" ht="14.25" customHeight="1" x14ac:dyDescent="0.2">
      <c r="A900" s="123"/>
      <c r="C900" s="123"/>
      <c r="AB900" s="123"/>
      <c r="AC900" s="123"/>
      <c r="AD900" s="125"/>
      <c r="AE900" s="123"/>
      <c r="AF900" s="123"/>
      <c r="AG900" s="123"/>
      <c r="AH900" s="123"/>
      <c r="AI900" s="123"/>
      <c r="AJ900" s="123"/>
      <c r="AK900" s="123"/>
    </row>
    <row r="901" spans="1:37" ht="14.25" customHeight="1" x14ac:dyDescent="0.2">
      <c r="A901" s="123"/>
      <c r="C901" s="123"/>
      <c r="AB901" s="123"/>
      <c r="AC901" s="123"/>
      <c r="AD901" s="125"/>
      <c r="AE901" s="123"/>
      <c r="AF901" s="123"/>
      <c r="AG901" s="123"/>
      <c r="AH901" s="123"/>
      <c r="AI901" s="123"/>
      <c r="AJ901" s="123"/>
      <c r="AK901" s="123"/>
    </row>
    <row r="902" spans="1:37" ht="14.25" customHeight="1" x14ac:dyDescent="0.2">
      <c r="A902" s="123"/>
      <c r="C902" s="123"/>
      <c r="AB902" s="123"/>
      <c r="AC902" s="123"/>
      <c r="AD902" s="125"/>
      <c r="AE902" s="123"/>
      <c r="AF902" s="123"/>
      <c r="AG902" s="123"/>
      <c r="AH902" s="123"/>
      <c r="AI902" s="123"/>
      <c r="AJ902" s="123"/>
      <c r="AK902" s="123"/>
    </row>
    <row r="903" spans="1:37" ht="14.25" customHeight="1" x14ac:dyDescent="0.2">
      <c r="A903" s="123"/>
      <c r="C903" s="123"/>
      <c r="AB903" s="123"/>
      <c r="AC903" s="123"/>
      <c r="AD903" s="125"/>
      <c r="AE903" s="123"/>
      <c r="AF903" s="123"/>
      <c r="AG903" s="123"/>
      <c r="AH903" s="123"/>
      <c r="AI903" s="123"/>
      <c r="AJ903" s="123"/>
      <c r="AK903" s="123"/>
    </row>
    <row r="904" spans="1:37" ht="14.25" customHeight="1" x14ac:dyDescent="0.2">
      <c r="A904" s="123"/>
      <c r="C904" s="123"/>
      <c r="AB904" s="123"/>
      <c r="AC904" s="123"/>
      <c r="AD904" s="125"/>
      <c r="AE904" s="123"/>
      <c r="AF904" s="123"/>
      <c r="AG904" s="123"/>
      <c r="AH904" s="123"/>
      <c r="AI904" s="123"/>
      <c r="AJ904" s="123"/>
      <c r="AK904" s="123"/>
    </row>
    <row r="905" spans="1:37" ht="14.25" customHeight="1" x14ac:dyDescent="0.2">
      <c r="A905" s="123"/>
      <c r="C905" s="123"/>
      <c r="AB905" s="123"/>
      <c r="AC905" s="123"/>
      <c r="AD905" s="125"/>
      <c r="AE905" s="123"/>
      <c r="AF905" s="123"/>
      <c r="AG905" s="123"/>
      <c r="AH905" s="123"/>
      <c r="AI905" s="123"/>
      <c r="AJ905" s="123"/>
      <c r="AK905" s="123"/>
    </row>
    <row r="906" spans="1:37" ht="14.25" customHeight="1" x14ac:dyDescent="0.2">
      <c r="A906" s="123"/>
      <c r="C906" s="123"/>
      <c r="AB906" s="123"/>
      <c r="AC906" s="123"/>
      <c r="AD906" s="125"/>
      <c r="AE906" s="123"/>
      <c r="AF906" s="123"/>
      <c r="AG906" s="123"/>
      <c r="AH906" s="123"/>
      <c r="AI906" s="123"/>
      <c r="AJ906" s="123"/>
      <c r="AK906" s="123"/>
    </row>
    <row r="907" spans="1:37" ht="14.25" customHeight="1" x14ac:dyDescent="0.2">
      <c r="A907" s="123"/>
      <c r="C907" s="123"/>
      <c r="AB907" s="123"/>
      <c r="AC907" s="123"/>
      <c r="AD907" s="125"/>
      <c r="AE907" s="123"/>
      <c r="AF907" s="123"/>
      <c r="AG907" s="123"/>
      <c r="AH907" s="123"/>
      <c r="AI907" s="123"/>
      <c r="AJ907" s="123"/>
      <c r="AK907" s="123"/>
    </row>
    <row r="908" spans="1:37" ht="14.25" customHeight="1" x14ac:dyDescent="0.2">
      <c r="A908" s="123"/>
      <c r="C908" s="123"/>
      <c r="AB908" s="123"/>
      <c r="AC908" s="123"/>
      <c r="AD908" s="125"/>
      <c r="AE908" s="123"/>
      <c r="AF908" s="123"/>
      <c r="AG908" s="123"/>
      <c r="AH908" s="123"/>
      <c r="AI908" s="123"/>
      <c r="AJ908" s="123"/>
      <c r="AK908" s="123"/>
    </row>
    <row r="909" spans="1:37" ht="14.25" customHeight="1" x14ac:dyDescent="0.2">
      <c r="A909" s="123"/>
      <c r="C909" s="123"/>
      <c r="AB909" s="123"/>
      <c r="AC909" s="123"/>
      <c r="AD909" s="125"/>
      <c r="AE909" s="123"/>
      <c r="AF909" s="123"/>
      <c r="AG909" s="123"/>
      <c r="AH909" s="123"/>
      <c r="AI909" s="123"/>
      <c r="AJ909" s="123"/>
      <c r="AK909" s="123"/>
    </row>
    <row r="910" spans="1:37" ht="14.25" customHeight="1" x14ac:dyDescent="0.2">
      <c r="A910" s="123"/>
      <c r="C910" s="123"/>
      <c r="AB910" s="123"/>
      <c r="AC910" s="123"/>
      <c r="AD910" s="125"/>
      <c r="AE910" s="123"/>
      <c r="AF910" s="123"/>
      <c r="AG910" s="123"/>
      <c r="AH910" s="123"/>
      <c r="AI910" s="123"/>
      <c r="AJ910" s="123"/>
      <c r="AK910" s="123"/>
    </row>
    <row r="911" spans="1:37" ht="14.25" customHeight="1" x14ac:dyDescent="0.2">
      <c r="A911" s="123"/>
      <c r="C911" s="123"/>
      <c r="AB911" s="123"/>
      <c r="AC911" s="123"/>
      <c r="AD911" s="125"/>
      <c r="AE911" s="123"/>
      <c r="AF911" s="123"/>
      <c r="AG911" s="123"/>
      <c r="AH911" s="123"/>
      <c r="AI911" s="123"/>
      <c r="AJ911" s="123"/>
      <c r="AK911" s="123"/>
    </row>
    <row r="912" spans="1:37" ht="14.25" customHeight="1" x14ac:dyDescent="0.2">
      <c r="A912" s="123"/>
      <c r="C912" s="123"/>
      <c r="AB912" s="123"/>
      <c r="AC912" s="123"/>
      <c r="AD912" s="125"/>
      <c r="AE912" s="123"/>
      <c r="AF912" s="123"/>
      <c r="AG912" s="123"/>
      <c r="AH912" s="123"/>
      <c r="AI912" s="123"/>
      <c r="AJ912" s="123"/>
      <c r="AK912" s="123"/>
    </row>
    <row r="913" spans="1:37" ht="14.25" customHeight="1" x14ac:dyDescent="0.2">
      <c r="A913" s="123"/>
      <c r="C913" s="123"/>
      <c r="AB913" s="123"/>
      <c r="AC913" s="123"/>
      <c r="AD913" s="125"/>
      <c r="AE913" s="123"/>
      <c r="AF913" s="123"/>
      <c r="AG913" s="123"/>
      <c r="AH913" s="123"/>
      <c r="AI913" s="123"/>
      <c r="AJ913" s="123"/>
      <c r="AK913" s="123"/>
    </row>
    <row r="914" spans="1:37" ht="14.25" customHeight="1" x14ac:dyDescent="0.2">
      <c r="A914" s="123"/>
      <c r="C914" s="123"/>
      <c r="AB914" s="123"/>
      <c r="AC914" s="123"/>
      <c r="AD914" s="125"/>
      <c r="AE914" s="123"/>
      <c r="AF914" s="123"/>
      <c r="AG914" s="123"/>
      <c r="AH914" s="123"/>
      <c r="AI914" s="123"/>
      <c r="AJ914" s="123"/>
      <c r="AK914" s="123"/>
    </row>
    <row r="915" spans="1:37" ht="14.25" customHeight="1" x14ac:dyDescent="0.2">
      <c r="A915" s="123"/>
      <c r="C915" s="123"/>
      <c r="AB915" s="123"/>
      <c r="AC915" s="123"/>
      <c r="AD915" s="125"/>
      <c r="AE915" s="123"/>
      <c r="AF915" s="123"/>
      <c r="AG915" s="123"/>
      <c r="AH915" s="123"/>
      <c r="AI915" s="123"/>
      <c r="AJ915" s="123"/>
      <c r="AK915" s="123"/>
    </row>
    <row r="916" spans="1:37" ht="14.25" customHeight="1" x14ac:dyDescent="0.2">
      <c r="A916" s="123"/>
      <c r="C916" s="123"/>
      <c r="AB916" s="123"/>
      <c r="AC916" s="123"/>
      <c r="AD916" s="125"/>
      <c r="AE916" s="123"/>
      <c r="AF916" s="123"/>
      <c r="AG916" s="123"/>
      <c r="AH916" s="123"/>
      <c r="AI916" s="123"/>
      <c r="AJ916" s="123"/>
      <c r="AK916" s="123"/>
    </row>
    <row r="917" spans="1:37" ht="14.25" customHeight="1" x14ac:dyDescent="0.2">
      <c r="A917" s="123"/>
      <c r="C917" s="123"/>
      <c r="AB917" s="123"/>
      <c r="AC917" s="123"/>
      <c r="AD917" s="125"/>
      <c r="AE917" s="123"/>
      <c r="AF917" s="123"/>
      <c r="AG917" s="123"/>
      <c r="AH917" s="123"/>
      <c r="AI917" s="123"/>
      <c r="AJ917" s="123"/>
      <c r="AK917" s="123"/>
    </row>
    <row r="918" spans="1:37" ht="14.25" customHeight="1" x14ac:dyDescent="0.2">
      <c r="A918" s="123"/>
      <c r="C918" s="123"/>
      <c r="AB918" s="123"/>
      <c r="AC918" s="123"/>
      <c r="AD918" s="125"/>
      <c r="AE918" s="123"/>
      <c r="AF918" s="123"/>
      <c r="AG918" s="123"/>
      <c r="AH918" s="123"/>
      <c r="AI918" s="123"/>
      <c r="AJ918" s="123"/>
      <c r="AK918" s="123"/>
    </row>
    <row r="919" spans="1:37" ht="14.25" customHeight="1" x14ac:dyDescent="0.2">
      <c r="A919" s="123"/>
      <c r="C919" s="123"/>
      <c r="AB919" s="123"/>
      <c r="AC919" s="123"/>
      <c r="AD919" s="125"/>
      <c r="AE919" s="123"/>
      <c r="AF919" s="123"/>
      <c r="AG919" s="123"/>
      <c r="AH919" s="123"/>
      <c r="AI919" s="123"/>
      <c r="AJ919" s="123"/>
      <c r="AK919" s="123"/>
    </row>
    <row r="920" spans="1:37" ht="14.25" customHeight="1" x14ac:dyDescent="0.2">
      <c r="A920" s="123"/>
      <c r="C920" s="123"/>
      <c r="AB920" s="123"/>
      <c r="AC920" s="123"/>
      <c r="AD920" s="125"/>
      <c r="AE920" s="123"/>
      <c r="AF920" s="123"/>
      <c r="AG920" s="123"/>
      <c r="AH920" s="123"/>
      <c r="AI920" s="123"/>
      <c r="AJ920" s="123"/>
      <c r="AK920" s="123"/>
    </row>
    <row r="921" spans="1:37" ht="14.25" customHeight="1" x14ac:dyDescent="0.2">
      <c r="A921" s="123"/>
      <c r="C921" s="123"/>
      <c r="AB921" s="123"/>
      <c r="AC921" s="123"/>
      <c r="AD921" s="125"/>
      <c r="AE921" s="123"/>
      <c r="AF921" s="123"/>
      <c r="AG921" s="123"/>
      <c r="AH921" s="123"/>
      <c r="AI921" s="123"/>
      <c r="AJ921" s="123"/>
      <c r="AK921" s="123"/>
    </row>
    <row r="922" spans="1:37" ht="14.25" customHeight="1" x14ac:dyDescent="0.2">
      <c r="A922" s="123"/>
      <c r="C922" s="123"/>
      <c r="AB922" s="123"/>
      <c r="AC922" s="123"/>
      <c r="AD922" s="125"/>
      <c r="AE922" s="123"/>
      <c r="AF922" s="123"/>
      <c r="AG922" s="123"/>
      <c r="AH922" s="123"/>
      <c r="AI922" s="123"/>
      <c r="AJ922" s="123"/>
      <c r="AK922" s="123"/>
    </row>
    <row r="923" spans="1:37" ht="14.25" customHeight="1" x14ac:dyDescent="0.2">
      <c r="A923" s="123"/>
      <c r="C923" s="123"/>
      <c r="AB923" s="123"/>
      <c r="AC923" s="123"/>
      <c r="AD923" s="125"/>
      <c r="AE923" s="123"/>
      <c r="AF923" s="123"/>
      <c r="AG923" s="123"/>
      <c r="AH923" s="123"/>
      <c r="AI923" s="123"/>
      <c r="AJ923" s="123"/>
      <c r="AK923" s="123"/>
    </row>
    <row r="924" spans="1:37" ht="14.25" customHeight="1" x14ac:dyDescent="0.2">
      <c r="A924" s="123"/>
      <c r="C924" s="123"/>
      <c r="AB924" s="123"/>
      <c r="AC924" s="123"/>
      <c r="AD924" s="125"/>
      <c r="AE924" s="123"/>
      <c r="AF924" s="123"/>
      <c r="AG924" s="123"/>
      <c r="AH924" s="123"/>
      <c r="AI924" s="123"/>
      <c r="AJ924" s="123"/>
      <c r="AK924" s="123"/>
    </row>
    <row r="925" spans="1:37" ht="14.25" customHeight="1" x14ac:dyDescent="0.2">
      <c r="A925" s="123"/>
      <c r="C925" s="123"/>
      <c r="AB925" s="123"/>
      <c r="AC925" s="123"/>
      <c r="AD925" s="125"/>
      <c r="AE925" s="123"/>
      <c r="AF925" s="123"/>
      <c r="AG925" s="123"/>
      <c r="AH925" s="123"/>
      <c r="AI925" s="123"/>
      <c r="AJ925" s="123"/>
      <c r="AK925" s="123"/>
    </row>
    <row r="926" spans="1:37" ht="14.25" customHeight="1" x14ac:dyDescent="0.2">
      <c r="A926" s="123"/>
      <c r="C926" s="123"/>
      <c r="AB926" s="123"/>
      <c r="AC926" s="123"/>
      <c r="AD926" s="125"/>
      <c r="AE926" s="123"/>
      <c r="AF926" s="123"/>
      <c r="AG926" s="123"/>
      <c r="AH926" s="123"/>
      <c r="AI926" s="123"/>
      <c r="AJ926" s="123"/>
      <c r="AK926" s="123"/>
    </row>
    <row r="927" spans="1:37" ht="14.25" customHeight="1" x14ac:dyDescent="0.2">
      <c r="A927" s="123"/>
      <c r="C927" s="123"/>
      <c r="AB927" s="123"/>
      <c r="AC927" s="123"/>
      <c r="AD927" s="125"/>
      <c r="AE927" s="123"/>
      <c r="AF927" s="123"/>
      <c r="AG927" s="123"/>
      <c r="AH927" s="123"/>
      <c r="AI927" s="123"/>
      <c r="AJ927" s="123"/>
      <c r="AK927" s="123"/>
    </row>
    <row r="928" spans="1:37" ht="14.25" customHeight="1" x14ac:dyDescent="0.2">
      <c r="A928" s="123"/>
      <c r="C928" s="123"/>
      <c r="AB928" s="123"/>
      <c r="AC928" s="123"/>
      <c r="AD928" s="125"/>
      <c r="AE928" s="123"/>
      <c r="AF928" s="123"/>
      <c r="AG928" s="123"/>
      <c r="AH928" s="123"/>
      <c r="AI928" s="123"/>
      <c r="AJ928" s="123"/>
      <c r="AK928" s="123"/>
    </row>
    <row r="929" spans="1:37" ht="14.25" customHeight="1" x14ac:dyDescent="0.2">
      <c r="A929" s="123"/>
      <c r="C929" s="123"/>
      <c r="AB929" s="123"/>
      <c r="AC929" s="123"/>
      <c r="AD929" s="125"/>
      <c r="AE929" s="123"/>
      <c r="AF929" s="123"/>
      <c r="AG929" s="123"/>
      <c r="AH929" s="123"/>
      <c r="AI929" s="123"/>
      <c r="AJ929" s="123"/>
      <c r="AK929" s="123"/>
    </row>
    <row r="930" spans="1:37" ht="14.25" customHeight="1" x14ac:dyDescent="0.2">
      <c r="A930" s="123"/>
      <c r="C930" s="123"/>
      <c r="AB930" s="123"/>
      <c r="AC930" s="123"/>
      <c r="AD930" s="125"/>
      <c r="AE930" s="123"/>
      <c r="AF930" s="123"/>
      <c r="AG930" s="123"/>
      <c r="AH930" s="123"/>
      <c r="AI930" s="123"/>
      <c r="AJ930" s="123"/>
      <c r="AK930" s="123"/>
    </row>
    <row r="931" spans="1:37" ht="14.25" customHeight="1" x14ac:dyDescent="0.2">
      <c r="A931" s="123"/>
      <c r="C931" s="123"/>
      <c r="AB931" s="123"/>
      <c r="AC931" s="123"/>
      <c r="AD931" s="125"/>
      <c r="AE931" s="123"/>
      <c r="AF931" s="123"/>
      <c r="AG931" s="123"/>
      <c r="AH931" s="123"/>
      <c r="AI931" s="123"/>
      <c r="AJ931" s="123"/>
      <c r="AK931" s="123"/>
    </row>
    <row r="932" spans="1:37" ht="14.25" customHeight="1" x14ac:dyDescent="0.2">
      <c r="A932" s="123"/>
      <c r="C932" s="123"/>
      <c r="AB932" s="123"/>
      <c r="AC932" s="123"/>
      <c r="AD932" s="125"/>
      <c r="AE932" s="123"/>
      <c r="AF932" s="123"/>
      <c r="AG932" s="123"/>
      <c r="AH932" s="123"/>
      <c r="AI932" s="123"/>
      <c r="AJ932" s="123"/>
      <c r="AK932" s="123"/>
    </row>
    <row r="933" spans="1:37" ht="14.25" customHeight="1" x14ac:dyDescent="0.2">
      <c r="A933" s="123"/>
      <c r="C933" s="123"/>
      <c r="AB933" s="123"/>
      <c r="AC933" s="123"/>
      <c r="AD933" s="125"/>
      <c r="AE933" s="123"/>
      <c r="AF933" s="123"/>
      <c r="AG933" s="123"/>
      <c r="AH933" s="123"/>
      <c r="AI933" s="123"/>
      <c r="AJ933" s="123"/>
      <c r="AK933" s="123"/>
    </row>
    <row r="934" spans="1:37" ht="14.25" customHeight="1" x14ac:dyDescent="0.2">
      <c r="A934" s="123"/>
      <c r="C934" s="123"/>
      <c r="AB934" s="123"/>
      <c r="AC934" s="123"/>
      <c r="AD934" s="125"/>
      <c r="AE934" s="123"/>
      <c r="AF934" s="123"/>
      <c r="AG934" s="123"/>
      <c r="AH934" s="123"/>
      <c r="AI934" s="123"/>
      <c r="AJ934" s="123"/>
      <c r="AK934" s="123"/>
    </row>
    <row r="935" spans="1:37" ht="14.25" customHeight="1" x14ac:dyDescent="0.2">
      <c r="A935" s="123"/>
      <c r="C935" s="123"/>
      <c r="AB935" s="123"/>
      <c r="AC935" s="123"/>
      <c r="AD935" s="125"/>
      <c r="AE935" s="123"/>
      <c r="AF935" s="123"/>
      <c r="AG935" s="123"/>
      <c r="AH935" s="123"/>
      <c r="AI935" s="123"/>
      <c r="AJ935" s="123"/>
      <c r="AK935" s="123"/>
    </row>
    <row r="936" spans="1:37" ht="14.25" customHeight="1" x14ac:dyDescent="0.2">
      <c r="A936" s="123"/>
      <c r="C936" s="123"/>
      <c r="AB936" s="123"/>
      <c r="AC936" s="123"/>
      <c r="AD936" s="125"/>
      <c r="AE936" s="123"/>
      <c r="AF936" s="123"/>
      <c r="AG936" s="123"/>
      <c r="AH936" s="123"/>
      <c r="AI936" s="123"/>
      <c r="AJ936" s="123"/>
      <c r="AK936" s="123"/>
    </row>
    <row r="937" spans="1:37" ht="14.25" customHeight="1" x14ac:dyDescent="0.2">
      <c r="A937" s="123"/>
      <c r="C937" s="123"/>
      <c r="AB937" s="123"/>
      <c r="AC937" s="123"/>
      <c r="AD937" s="125"/>
      <c r="AE937" s="123"/>
      <c r="AF937" s="123"/>
      <c r="AG937" s="123"/>
      <c r="AH937" s="123"/>
      <c r="AI937" s="123"/>
      <c r="AJ937" s="123"/>
      <c r="AK937" s="123"/>
    </row>
    <row r="938" spans="1:37" ht="14.25" customHeight="1" x14ac:dyDescent="0.2">
      <c r="A938" s="123"/>
      <c r="C938" s="123"/>
      <c r="AB938" s="123"/>
      <c r="AC938" s="123"/>
      <c r="AD938" s="125"/>
      <c r="AE938" s="123"/>
      <c r="AF938" s="123"/>
      <c r="AG938" s="123"/>
      <c r="AH938" s="123"/>
      <c r="AI938" s="123"/>
      <c r="AJ938" s="123"/>
      <c r="AK938" s="123"/>
    </row>
    <row r="939" spans="1:37" ht="14.25" customHeight="1" x14ac:dyDescent="0.2">
      <c r="A939" s="123"/>
      <c r="C939" s="123"/>
      <c r="AB939" s="123"/>
      <c r="AC939" s="123"/>
      <c r="AD939" s="125"/>
      <c r="AE939" s="123"/>
      <c r="AF939" s="123"/>
      <c r="AG939" s="123"/>
      <c r="AH939" s="123"/>
      <c r="AI939" s="123"/>
      <c r="AJ939" s="123"/>
      <c r="AK939" s="123"/>
    </row>
    <row r="940" spans="1:37" ht="14.25" customHeight="1" x14ac:dyDescent="0.2">
      <c r="A940" s="123"/>
      <c r="C940" s="123"/>
      <c r="AB940" s="123"/>
      <c r="AC940" s="123"/>
      <c r="AD940" s="125"/>
      <c r="AE940" s="123"/>
      <c r="AF940" s="123"/>
      <c r="AG940" s="123"/>
      <c r="AH940" s="123"/>
      <c r="AI940" s="123"/>
      <c r="AJ940" s="123"/>
      <c r="AK940" s="123"/>
    </row>
    <row r="941" spans="1:37" ht="14.25" customHeight="1" x14ac:dyDescent="0.2">
      <c r="A941" s="123"/>
      <c r="C941" s="123"/>
      <c r="AB941" s="123"/>
      <c r="AC941" s="123"/>
      <c r="AD941" s="125"/>
      <c r="AE941" s="123"/>
      <c r="AF941" s="123"/>
      <c r="AG941" s="123"/>
      <c r="AH941" s="123"/>
      <c r="AI941" s="123"/>
      <c r="AJ941" s="123"/>
      <c r="AK941" s="123"/>
    </row>
    <row r="942" spans="1:37" ht="14.25" customHeight="1" x14ac:dyDescent="0.2">
      <c r="A942" s="123"/>
      <c r="C942" s="123"/>
      <c r="AB942" s="123"/>
      <c r="AC942" s="123"/>
      <c r="AD942" s="125"/>
      <c r="AE942" s="123"/>
      <c r="AF942" s="123"/>
      <c r="AG942" s="123"/>
      <c r="AH942" s="123"/>
      <c r="AI942" s="123"/>
      <c r="AJ942" s="123"/>
      <c r="AK942" s="123"/>
    </row>
    <row r="943" spans="1:37" ht="14.25" customHeight="1" x14ac:dyDescent="0.2">
      <c r="A943" s="123"/>
      <c r="C943" s="123"/>
      <c r="AB943" s="123"/>
      <c r="AC943" s="123"/>
      <c r="AD943" s="125"/>
      <c r="AE943" s="123"/>
      <c r="AF943" s="123"/>
      <c r="AG943" s="123"/>
      <c r="AH943" s="123"/>
      <c r="AI943" s="123"/>
      <c r="AJ943" s="123"/>
      <c r="AK943" s="123"/>
    </row>
    <row r="944" spans="1:37" ht="14.25" customHeight="1" x14ac:dyDescent="0.2">
      <c r="A944" s="123"/>
      <c r="C944" s="123"/>
      <c r="AB944" s="123"/>
      <c r="AC944" s="123"/>
      <c r="AD944" s="125"/>
      <c r="AE944" s="123"/>
      <c r="AF944" s="123"/>
      <c r="AG944" s="123"/>
      <c r="AH944" s="123"/>
      <c r="AI944" s="123"/>
      <c r="AJ944" s="123"/>
      <c r="AK944" s="123"/>
    </row>
    <row r="945" spans="1:37" ht="14.25" customHeight="1" x14ac:dyDescent="0.2">
      <c r="A945" s="123"/>
      <c r="C945" s="123"/>
      <c r="AB945" s="123"/>
      <c r="AC945" s="123"/>
      <c r="AD945" s="125"/>
      <c r="AE945" s="123"/>
      <c r="AF945" s="123"/>
      <c r="AG945" s="123"/>
      <c r="AH945" s="123"/>
      <c r="AI945" s="123"/>
      <c r="AJ945" s="123"/>
      <c r="AK945" s="123"/>
    </row>
    <row r="946" spans="1:37" ht="14.25" customHeight="1" x14ac:dyDescent="0.2">
      <c r="A946" s="123"/>
      <c r="C946" s="123"/>
      <c r="AB946" s="123"/>
      <c r="AC946" s="123"/>
      <c r="AD946" s="125"/>
      <c r="AE946" s="123"/>
      <c r="AF946" s="123"/>
      <c r="AG946" s="123"/>
      <c r="AH946" s="123"/>
      <c r="AI946" s="123"/>
      <c r="AJ946" s="123"/>
      <c r="AK946" s="123"/>
    </row>
    <row r="947" spans="1:37" ht="14.25" customHeight="1" x14ac:dyDescent="0.2">
      <c r="A947" s="123"/>
      <c r="C947" s="123"/>
      <c r="AB947" s="123"/>
      <c r="AC947" s="123"/>
      <c r="AD947" s="125"/>
      <c r="AE947" s="123"/>
      <c r="AF947" s="123"/>
      <c r="AG947" s="123"/>
      <c r="AH947" s="123"/>
      <c r="AI947" s="123"/>
      <c r="AJ947" s="123"/>
      <c r="AK947" s="123"/>
    </row>
    <row r="948" spans="1:37" ht="14.25" customHeight="1" x14ac:dyDescent="0.2">
      <c r="A948" s="123"/>
      <c r="C948" s="123"/>
      <c r="AB948" s="123"/>
      <c r="AC948" s="123"/>
      <c r="AD948" s="125"/>
      <c r="AE948" s="123"/>
      <c r="AF948" s="123"/>
      <c r="AG948" s="123"/>
      <c r="AH948" s="123"/>
      <c r="AI948" s="123"/>
      <c r="AJ948" s="123"/>
      <c r="AK948" s="123"/>
    </row>
    <row r="949" spans="1:37" ht="14.25" customHeight="1" x14ac:dyDescent="0.2">
      <c r="A949" s="123"/>
      <c r="C949" s="123"/>
      <c r="AB949" s="123"/>
      <c r="AC949" s="123"/>
      <c r="AD949" s="125"/>
      <c r="AE949" s="123"/>
      <c r="AF949" s="123"/>
      <c r="AG949" s="123"/>
      <c r="AH949" s="123"/>
      <c r="AI949" s="123"/>
      <c r="AJ949" s="123"/>
      <c r="AK949" s="123"/>
    </row>
    <row r="950" spans="1:37" ht="14.25" customHeight="1" x14ac:dyDescent="0.2">
      <c r="A950" s="123"/>
      <c r="C950" s="123"/>
      <c r="AB950" s="123"/>
      <c r="AC950" s="123"/>
      <c r="AD950" s="125"/>
      <c r="AE950" s="123"/>
      <c r="AF950" s="123"/>
      <c r="AG950" s="123"/>
      <c r="AH950" s="123"/>
      <c r="AI950" s="123"/>
      <c r="AJ950" s="123"/>
      <c r="AK950" s="123"/>
    </row>
    <row r="951" spans="1:37" ht="14.25" customHeight="1" x14ac:dyDescent="0.2">
      <c r="A951" s="123"/>
      <c r="C951" s="123"/>
      <c r="AB951" s="123"/>
      <c r="AC951" s="123"/>
      <c r="AD951" s="125"/>
      <c r="AE951" s="123"/>
      <c r="AF951" s="123"/>
      <c r="AG951" s="123"/>
      <c r="AH951" s="123"/>
      <c r="AI951" s="123"/>
      <c r="AJ951" s="123"/>
      <c r="AK951" s="123"/>
    </row>
    <row r="952" spans="1:37" ht="14.25" customHeight="1" x14ac:dyDescent="0.2">
      <c r="A952" s="123"/>
      <c r="C952" s="123"/>
      <c r="AB952" s="123"/>
      <c r="AC952" s="123"/>
      <c r="AD952" s="125"/>
      <c r="AE952" s="123"/>
      <c r="AF952" s="123"/>
      <c r="AG952" s="123"/>
      <c r="AH952" s="123"/>
      <c r="AI952" s="123"/>
      <c r="AJ952" s="123"/>
      <c r="AK952" s="123"/>
    </row>
    <row r="953" spans="1:37" ht="14.25" customHeight="1" x14ac:dyDescent="0.2">
      <c r="A953" s="123"/>
      <c r="C953" s="123"/>
      <c r="AB953" s="123"/>
      <c r="AC953" s="123"/>
      <c r="AD953" s="125"/>
      <c r="AE953" s="123"/>
      <c r="AF953" s="123"/>
      <c r="AG953" s="123"/>
      <c r="AH953" s="123"/>
      <c r="AI953" s="123"/>
      <c r="AJ953" s="123"/>
      <c r="AK953" s="123"/>
    </row>
    <row r="954" spans="1:37" ht="14.25" customHeight="1" x14ac:dyDescent="0.2">
      <c r="A954" s="123"/>
      <c r="C954" s="123"/>
      <c r="AB954" s="123"/>
      <c r="AC954" s="123"/>
      <c r="AD954" s="125"/>
      <c r="AE954" s="123"/>
      <c r="AF954" s="123"/>
      <c r="AG954" s="123"/>
      <c r="AH954" s="123"/>
      <c r="AI954" s="123"/>
      <c r="AJ954" s="123"/>
      <c r="AK954" s="123"/>
    </row>
    <row r="955" spans="1:37" ht="14.25" customHeight="1" x14ac:dyDescent="0.2">
      <c r="A955" s="123"/>
      <c r="C955" s="123"/>
      <c r="AB955" s="123"/>
      <c r="AC955" s="123"/>
      <c r="AD955" s="125"/>
      <c r="AE955" s="123"/>
      <c r="AF955" s="123"/>
      <c r="AG955" s="123"/>
      <c r="AH955" s="123"/>
      <c r="AI955" s="123"/>
      <c r="AJ955" s="123"/>
      <c r="AK955" s="123"/>
    </row>
    <row r="956" spans="1:37" ht="14.25" customHeight="1" x14ac:dyDescent="0.2">
      <c r="A956" s="123"/>
      <c r="C956" s="123"/>
      <c r="AB956" s="123"/>
      <c r="AC956" s="123"/>
      <c r="AD956" s="125"/>
      <c r="AE956" s="123"/>
      <c r="AF956" s="123"/>
      <c r="AG956" s="123"/>
      <c r="AH956" s="123"/>
      <c r="AI956" s="123"/>
      <c r="AJ956" s="123"/>
      <c r="AK956" s="123"/>
    </row>
    <row r="957" spans="1:37" ht="14.25" customHeight="1" x14ac:dyDescent="0.2">
      <c r="A957" s="123"/>
      <c r="C957" s="123"/>
      <c r="AB957" s="123"/>
      <c r="AC957" s="123"/>
      <c r="AD957" s="125"/>
      <c r="AE957" s="123"/>
      <c r="AF957" s="123"/>
      <c r="AG957" s="123"/>
      <c r="AH957" s="123"/>
      <c r="AI957" s="123"/>
      <c r="AJ957" s="123"/>
      <c r="AK957" s="123"/>
    </row>
    <row r="958" spans="1:37" ht="14.25" customHeight="1" x14ac:dyDescent="0.2">
      <c r="A958" s="123"/>
      <c r="C958" s="123"/>
      <c r="AB958" s="123"/>
      <c r="AC958" s="123"/>
      <c r="AD958" s="125"/>
      <c r="AE958" s="123"/>
      <c r="AF958" s="123"/>
      <c r="AG958" s="123"/>
      <c r="AH958" s="123"/>
      <c r="AI958" s="123"/>
      <c r="AJ958" s="123"/>
      <c r="AK958" s="123"/>
    </row>
    <row r="959" spans="1:37" ht="14.25" customHeight="1" x14ac:dyDescent="0.2">
      <c r="A959" s="123"/>
      <c r="C959" s="123"/>
      <c r="AB959" s="123"/>
      <c r="AC959" s="123"/>
      <c r="AD959" s="125"/>
      <c r="AE959" s="123"/>
      <c r="AF959" s="123"/>
      <c r="AG959" s="123"/>
      <c r="AH959" s="123"/>
      <c r="AI959" s="123"/>
      <c r="AJ959" s="123"/>
      <c r="AK959" s="123"/>
    </row>
    <row r="960" spans="1:37" ht="14.25" customHeight="1" x14ac:dyDescent="0.2">
      <c r="A960" s="123"/>
      <c r="C960" s="123"/>
      <c r="AB960" s="123"/>
      <c r="AC960" s="123"/>
      <c r="AD960" s="125"/>
      <c r="AE960" s="123"/>
      <c r="AF960" s="123"/>
      <c r="AG960" s="123"/>
      <c r="AH960" s="123"/>
      <c r="AI960" s="123"/>
      <c r="AJ960" s="123"/>
      <c r="AK960" s="123"/>
    </row>
    <row r="961" spans="1:37" ht="14.25" customHeight="1" x14ac:dyDescent="0.2">
      <c r="A961" s="123"/>
      <c r="C961" s="123"/>
      <c r="AB961" s="123"/>
      <c r="AC961" s="123"/>
      <c r="AD961" s="125"/>
      <c r="AE961" s="123"/>
      <c r="AF961" s="123"/>
      <c r="AG961" s="123"/>
      <c r="AH961" s="123"/>
      <c r="AI961" s="123"/>
      <c r="AJ961" s="123"/>
      <c r="AK961" s="123"/>
    </row>
    <row r="962" spans="1:37" ht="14.25" customHeight="1" x14ac:dyDescent="0.2">
      <c r="A962" s="123"/>
      <c r="C962" s="123"/>
      <c r="AB962" s="123"/>
      <c r="AC962" s="123"/>
      <c r="AD962" s="125"/>
      <c r="AE962" s="123"/>
      <c r="AF962" s="123"/>
      <c r="AG962" s="123"/>
      <c r="AH962" s="123"/>
      <c r="AI962" s="123"/>
      <c r="AJ962" s="123"/>
      <c r="AK962" s="123"/>
    </row>
    <row r="963" spans="1:37" ht="14.25" customHeight="1" x14ac:dyDescent="0.2">
      <c r="A963" s="123"/>
      <c r="C963" s="123"/>
      <c r="AB963" s="123"/>
      <c r="AC963" s="123"/>
      <c r="AD963" s="125"/>
      <c r="AE963" s="123"/>
      <c r="AF963" s="123"/>
      <c r="AG963" s="123"/>
      <c r="AH963" s="123"/>
      <c r="AI963" s="123"/>
      <c r="AJ963" s="123"/>
      <c r="AK963" s="123"/>
    </row>
    <row r="964" spans="1:37" ht="14.25" customHeight="1" x14ac:dyDescent="0.2">
      <c r="A964" s="123"/>
      <c r="C964" s="123"/>
      <c r="AB964" s="123"/>
      <c r="AC964" s="123"/>
      <c r="AD964" s="125"/>
      <c r="AE964" s="123"/>
      <c r="AF964" s="123"/>
      <c r="AG964" s="123"/>
      <c r="AH964" s="123"/>
      <c r="AI964" s="123"/>
      <c r="AJ964" s="123"/>
      <c r="AK964" s="123"/>
    </row>
    <row r="965" spans="1:37" ht="14.25" customHeight="1" x14ac:dyDescent="0.2">
      <c r="A965" s="123"/>
      <c r="C965" s="123"/>
      <c r="AB965" s="123"/>
      <c r="AC965" s="123"/>
      <c r="AD965" s="125"/>
      <c r="AE965" s="123"/>
      <c r="AF965" s="123"/>
      <c r="AG965" s="123"/>
      <c r="AH965" s="123"/>
      <c r="AI965" s="123"/>
      <c r="AJ965" s="123"/>
      <c r="AK965" s="123"/>
    </row>
    <row r="966" spans="1:37" ht="14.25" customHeight="1" x14ac:dyDescent="0.2">
      <c r="A966" s="123"/>
      <c r="C966" s="123"/>
      <c r="AB966" s="123"/>
      <c r="AC966" s="123"/>
      <c r="AD966" s="125"/>
      <c r="AE966" s="123"/>
      <c r="AF966" s="123"/>
      <c r="AG966" s="123"/>
      <c r="AH966" s="123"/>
      <c r="AI966" s="123"/>
      <c r="AJ966" s="123"/>
      <c r="AK966" s="123"/>
    </row>
    <row r="967" spans="1:37" ht="14.25" customHeight="1" x14ac:dyDescent="0.2">
      <c r="A967" s="123"/>
      <c r="C967" s="123"/>
      <c r="AB967" s="123"/>
      <c r="AC967" s="123"/>
      <c r="AD967" s="125"/>
      <c r="AE967" s="123"/>
      <c r="AF967" s="123"/>
      <c r="AG967" s="123"/>
      <c r="AH967" s="123"/>
      <c r="AI967" s="123"/>
      <c r="AJ967" s="123"/>
      <c r="AK967" s="123"/>
    </row>
    <row r="968" spans="1:37" ht="14.25" customHeight="1" x14ac:dyDescent="0.2">
      <c r="A968" s="123"/>
      <c r="C968" s="123"/>
      <c r="AB968" s="123"/>
      <c r="AC968" s="123"/>
      <c r="AD968" s="125"/>
      <c r="AE968" s="123"/>
      <c r="AF968" s="123"/>
      <c r="AG968" s="123"/>
      <c r="AH968" s="123"/>
      <c r="AI968" s="123"/>
      <c r="AJ968" s="123"/>
      <c r="AK968" s="123"/>
    </row>
    <row r="969" spans="1:37" ht="14.25" customHeight="1" x14ac:dyDescent="0.2">
      <c r="A969" s="123"/>
      <c r="C969" s="123"/>
      <c r="AB969" s="123"/>
      <c r="AC969" s="123"/>
      <c r="AD969" s="125"/>
      <c r="AE969" s="123"/>
      <c r="AF969" s="123"/>
      <c r="AG969" s="123"/>
      <c r="AH969" s="123"/>
      <c r="AI969" s="123"/>
      <c r="AJ969" s="123"/>
      <c r="AK969" s="123"/>
    </row>
    <row r="970" spans="1:37" ht="14.25" customHeight="1" x14ac:dyDescent="0.2">
      <c r="A970" s="123"/>
      <c r="C970" s="123"/>
      <c r="AB970" s="123"/>
      <c r="AC970" s="123"/>
      <c r="AD970" s="125"/>
      <c r="AE970" s="123"/>
      <c r="AF970" s="123"/>
      <c r="AG970" s="123"/>
      <c r="AH970" s="123"/>
      <c r="AI970" s="123"/>
      <c r="AJ970" s="123"/>
      <c r="AK970" s="123"/>
    </row>
    <row r="971" spans="1:37" ht="14.25" customHeight="1" x14ac:dyDescent="0.2">
      <c r="A971" s="123"/>
      <c r="C971" s="123"/>
      <c r="AB971" s="123"/>
      <c r="AC971" s="123"/>
      <c r="AD971" s="125"/>
      <c r="AE971" s="123"/>
      <c r="AF971" s="123"/>
      <c r="AG971" s="123"/>
      <c r="AH971" s="123"/>
      <c r="AI971" s="123"/>
      <c r="AJ971" s="123"/>
      <c r="AK971" s="123"/>
    </row>
    <row r="972" spans="1:37" ht="14.25" customHeight="1" x14ac:dyDescent="0.2">
      <c r="A972" s="123"/>
      <c r="C972" s="123"/>
      <c r="AB972" s="123"/>
      <c r="AC972" s="123"/>
      <c r="AD972" s="125"/>
      <c r="AE972" s="123"/>
      <c r="AF972" s="123"/>
      <c r="AG972" s="123"/>
      <c r="AH972" s="123"/>
      <c r="AI972" s="123"/>
      <c r="AJ972" s="123"/>
      <c r="AK972" s="123"/>
    </row>
    <row r="973" spans="1:37" ht="14.25" customHeight="1" x14ac:dyDescent="0.2">
      <c r="A973" s="123"/>
      <c r="C973" s="123"/>
      <c r="AB973" s="123"/>
      <c r="AC973" s="123"/>
      <c r="AD973" s="125"/>
      <c r="AE973" s="123"/>
      <c r="AF973" s="123"/>
      <c r="AG973" s="123"/>
      <c r="AH973" s="123"/>
      <c r="AI973" s="123"/>
      <c r="AJ973" s="123"/>
      <c r="AK973" s="123"/>
    </row>
    <row r="974" spans="1:37" ht="14.25" customHeight="1" x14ac:dyDescent="0.2">
      <c r="A974" s="123"/>
      <c r="C974" s="123"/>
      <c r="AB974" s="123"/>
      <c r="AC974" s="123"/>
      <c r="AD974" s="125"/>
      <c r="AE974" s="123"/>
      <c r="AF974" s="123"/>
      <c r="AG974" s="123"/>
      <c r="AH974" s="123"/>
      <c r="AI974" s="123"/>
      <c r="AJ974" s="123"/>
      <c r="AK974" s="123"/>
    </row>
    <row r="975" spans="1:37" ht="14.25" customHeight="1" x14ac:dyDescent="0.2">
      <c r="A975" s="123"/>
      <c r="C975" s="123"/>
      <c r="AB975" s="123"/>
      <c r="AC975" s="123"/>
      <c r="AD975" s="125"/>
      <c r="AE975" s="123"/>
      <c r="AF975" s="123"/>
      <c r="AG975" s="123"/>
      <c r="AH975" s="123"/>
      <c r="AI975" s="123"/>
      <c r="AJ975" s="123"/>
      <c r="AK975" s="123"/>
    </row>
    <row r="976" spans="1:37" ht="14.25" customHeight="1" x14ac:dyDescent="0.2">
      <c r="A976" s="123"/>
      <c r="C976" s="123"/>
      <c r="AB976" s="123"/>
      <c r="AC976" s="123"/>
      <c r="AD976" s="125"/>
      <c r="AE976" s="123"/>
      <c r="AF976" s="123"/>
      <c r="AG976" s="123"/>
      <c r="AH976" s="123"/>
      <c r="AI976" s="123"/>
      <c r="AJ976" s="123"/>
      <c r="AK976" s="123"/>
    </row>
    <row r="977" spans="1:37" ht="14.25" customHeight="1" x14ac:dyDescent="0.2">
      <c r="A977" s="123"/>
      <c r="C977" s="123"/>
      <c r="AB977" s="123"/>
      <c r="AC977" s="123"/>
      <c r="AD977" s="125"/>
      <c r="AE977" s="123"/>
      <c r="AF977" s="123"/>
      <c r="AG977" s="123"/>
      <c r="AH977" s="123"/>
      <c r="AI977" s="123"/>
      <c r="AJ977" s="123"/>
      <c r="AK977" s="123"/>
    </row>
    <row r="978" spans="1:37" ht="14.25" customHeight="1" x14ac:dyDescent="0.2">
      <c r="A978" s="123"/>
      <c r="C978" s="123"/>
      <c r="AB978" s="123"/>
      <c r="AC978" s="123"/>
      <c r="AD978" s="125"/>
      <c r="AE978" s="123"/>
      <c r="AF978" s="123"/>
      <c r="AG978" s="123"/>
      <c r="AH978" s="123"/>
      <c r="AI978" s="123"/>
      <c r="AJ978" s="123"/>
      <c r="AK978" s="123"/>
    </row>
    <row r="979" spans="1:37" ht="14.25" customHeight="1" x14ac:dyDescent="0.2">
      <c r="A979" s="123"/>
      <c r="C979" s="123"/>
      <c r="AB979" s="123"/>
      <c r="AC979" s="123"/>
      <c r="AD979" s="125"/>
      <c r="AE979" s="123"/>
      <c r="AF979" s="123"/>
      <c r="AG979" s="123"/>
      <c r="AH979" s="123"/>
      <c r="AI979" s="123"/>
      <c r="AJ979" s="123"/>
      <c r="AK979" s="123"/>
    </row>
    <row r="980" spans="1:37" ht="14.25" customHeight="1" x14ac:dyDescent="0.2">
      <c r="A980" s="123"/>
      <c r="C980" s="123"/>
      <c r="AB980" s="123"/>
      <c r="AC980" s="123"/>
      <c r="AD980" s="125"/>
      <c r="AE980" s="123"/>
      <c r="AF980" s="123"/>
      <c r="AG980" s="123"/>
      <c r="AH980" s="123"/>
      <c r="AI980" s="123"/>
      <c r="AJ980" s="123"/>
      <c r="AK980" s="123"/>
    </row>
    <row r="981" spans="1:37" ht="14.25" customHeight="1" x14ac:dyDescent="0.2">
      <c r="A981" s="123"/>
      <c r="C981" s="123"/>
      <c r="AB981" s="123"/>
      <c r="AC981" s="123"/>
      <c r="AD981" s="125"/>
      <c r="AE981" s="123"/>
      <c r="AF981" s="123"/>
      <c r="AG981" s="123"/>
      <c r="AH981" s="123"/>
      <c r="AI981" s="123"/>
      <c r="AJ981" s="123"/>
      <c r="AK981" s="123"/>
    </row>
    <row r="982" spans="1:37" ht="14.25" customHeight="1" x14ac:dyDescent="0.2">
      <c r="A982" s="123"/>
      <c r="C982" s="123"/>
      <c r="AB982" s="123"/>
      <c r="AC982" s="123"/>
      <c r="AD982" s="125"/>
      <c r="AE982" s="123"/>
      <c r="AF982" s="123"/>
      <c r="AG982" s="123"/>
      <c r="AH982" s="123"/>
      <c r="AI982" s="123"/>
      <c r="AJ982" s="123"/>
      <c r="AK982" s="123"/>
    </row>
    <row r="983" spans="1:37" ht="14.25" customHeight="1" x14ac:dyDescent="0.2">
      <c r="A983" s="123"/>
      <c r="C983" s="123"/>
      <c r="AB983" s="123"/>
      <c r="AC983" s="123"/>
      <c r="AD983" s="125"/>
      <c r="AE983" s="123"/>
      <c r="AF983" s="123"/>
      <c r="AG983" s="123"/>
      <c r="AH983" s="123"/>
      <c r="AI983" s="123"/>
      <c r="AJ983" s="123"/>
      <c r="AK983" s="123"/>
    </row>
    <row r="984" spans="1:37" ht="14.25" customHeight="1" x14ac:dyDescent="0.2">
      <c r="A984" s="123"/>
      <c r="C984" s="123"/>
      <c r="AB984" s="123"/>
      <c r="AC984" s="123"/>
      <c r="AD984" s="125"/>
      <c r="AE984" s="123"/>
      <c r="AF984" s="123"/>
      <c r="AG984" s="123"/>
      <c r="AH984" s="123"/>
      <c r="AI984" s="123"/>
      <c r="AJ984" s="123"/>
      <c r="AK984" s="123"/>
    </row>
    <row r="985" spans="1:37" ht="14.25" customHeight="1" x14ac:dyDescent="0.2">
      <c r="A985" s="123"/>
      <c r="C985" s="123"/>
      <c r="AB985" s="123"/>
      <c r="AC985" s="123"/>
      <c r="AD985" s="125"/>
      <c r="AE985" s="123"/>
      <c r="AF985" s="123"/>
      <c r="AG985" s="123"/>
      <c r="AH985" s="123"/>
      <c r="AI985" s="123"/>
      <c r="AJ985" s="123"/>
      <c r="AK985" s="123"/>
    </row>
    <row r="986" spans="1:37" ht="14.25" customHeight="1" x14ac:dyDescent="0.2">
      <c r="A986" s="123"/>
      <c r="C986" s="123"/>
      <c r="AB986" s="123"/>
      <c r="AC986" s="123"/>
      <c r="AD986" s="125"/>
      <c r="AE986" s="123"/>
      <c r="AF986" s="123"/>
      <c r="AG986" s="123"/>
      <c r="AH986" s="123"/>
      <c r="AI986" s="123"/>
      <c r="AJ986" s="123"/>
      <c r="AK986" s="123"/>
    </row>
    <row r="987" spans="1:37" ht="14.25" customHeight="1" x14ac:dyDescent="0.2">
      <c r="A987" s="123"/>
      <c r="C987" s="123"/>
      <c r="AB987" s="123"/>
      <c r="AC987" s="123"/>
      <c r="AD987" s="125"/>
      <c r="AE987" s="123"/>
      <c r="AF987" s="123"/>
      <c r="AG987" s="123"/>
      <c r="AH987" s="123"/>
      <c r="AI987" s="123"/>
      <c r="AJ987" s="123"/>
      <c r="AK987" s="123"/>
    </row>
    <row r="988" spans="1:37" ht="14.25" customHeight="1" x14ac:dyDescent="0.2">
      <c r="A988" s="123"/>
      <c r="C988" s="123"/>
      <c r="AB988" s="123"/>
      <c r="AC988" s="123"/>
      <c r="AD988" s="125"/>
      <c r="AE988" s="123"/>
      <c r="AF988" s="123"/>
      <c r="AG988" s="123"/>
      <c r="AH988" s="123"/>
      <c r="AI988" s="123"/>
      <c r="AJ988" s="123"/>
      <c r="AK988" s="123"/>
    </row>
    <row r="989" spans="1:37" ht="14.25" customHeight="1" x14ac:dyDescent="0.2">
      <c r="A989" s="123"/>
      <c r="C989" s="123"/>
      <c r="AB989" s="123"/>
      <c r="AC989" s="123"/>
      <c r="AD989" s="125"/>
      <c r="AE989" s="123"/>
      <c r="AF989" s="123"/>
      <c r="AG989" s="123"/>
      <c r="AH989" s="123"/>
      <c r="AI989" s="123"/>
      <c r="AJ989" s="123"/>
      <c r="AK989" s="123"/>
    </row>
    <row r="990" spans="1:37" ht="14.25" customHeight="1" x14ac:dyDescent="0.2">
      <c r="A990" s="123"/>
      <c r="C990" s="123"/>
      <c r="AB990" s="123"/>
      <c r="AC990" s="123"/>
      <c r="AD990" s="125"/>
      <c r="AE990" s="123"/>
      <c r="AF990" s="123"/>
      <c r="AG990" s="123"/>
      <c r="AH990" s="123"/>
      <c r="AI990" s="123"/>
      <c r="AJ990" s="123"/>
      <c r="AK990" s="123"/>
    </row>
    <row r="991" spans="1:37" ht="14.25" customHeight="1" x14ac:dyDescent="0.2">
      <c r="A991" s="123"/>
      <c r="C991" s="123"/>
      <c r="AB991" s="123"/>
      <c r="AC991" s="123"/>
      <c r="AD991" s="125"/>
      <c r="AE991" s="123"/>
      <c r="AF991" s="123"/>
      <c r="AG991" s="123"/>
      <c r="AH991" s="123"/>
      <c r="AI991" s="123"/>
      <c r="AJ991" s="123"/>
      <c r="AK991" s="123"/>
    </row>
    <row r="992" spans="1:37" ht="14.25" customHeight="1" x14ac:dyDescent="0.2">
      <c r="A992" s="123"/>
      <c r="C992" s="123"/>
      <c r="AB992" s="123"/>
      <c r="AC992" s="123"/>
      <c r="AD992" s="125"/>
      <c r="AE992" s="123"/>
      <c r="AF992" s="123"/>
      <c r="AG992" s="123"/>
      <c r="AH992" s="123"/>
      <c r="AI992" s="123"/>
      <c r="AJ992" s="123"/>
      <c r="AK992" s="123"/>
    </row>
    <row r="993" spans="1:37" ht="14.25" customHeight="1" x14ac:dyDescent="0.2">
      <c r="A993" s="123"/>
      <c r="C993" s="123"/>
      <c r="AB993" s="123"/>
      <c r="AC993" s="123"/>
      <c r="AD993" s="125"/>
      <c r="AE993" s="123"/>
      <c r="AF993" s="123"/>
      <c r="AG993" s="123"/>
      <c r="AH993" s="123"/>
      <c r="AI993" s="123"/>
      <c r="AJ993" s="123"/>
      <c r="AK993" s="123"/>
    </row>
    <row r="994" spans="1:37" ht="14.25" customHeight="1" x14ac:dyDescent="0.2">
      <c r="A994" s="123"/>
      <c r="C994" s="123"/>
      <c r="AB994" s="123"/>
      <c r="AC994" s="123"/>
      <c r="AD994" s="125"/>
      <c r="AE994" s="123"/>
      <c r="AF994" s="123"/>
      <c r="AG994" s="123"/>
      <c r="AH994" s="123"/>
      <c r="AI994" s="123"/>
      <c r="AJ994" s="123"/>
      <c r="AK994" s="123"/>
    </row>
    <row r="995" spans="1:37" ht="14.25" customHeight="1" x14ac:dyDescent="0.2">
      <c r="A995" s="123"/>
      <c r="C995" s="123"/>
      <c r="AB995" s="123"/>
      <c r="AC995" s="123"/>
      <c r="AD995" s="125"/>
      <c r="AE995" s="123"/>
      <c r="AF995" s="123"/>
      <c r="AG995" s="123"/>
      <c r="AH995" s="123"/>
      <c r="AI995" s="123"/>
      <c r="AJ995" s="123"/>
      <c r="AK995" s="123"/>
    </row>
    <row r="996" spans="1:37" ht="14.25" customHeight="1" x14ac:dyDescent="0.2">
      <c r="A996" s="123"/>
      <c r="C996" s="123"/>
      <c r="AB996" s="123"/>
      <c r="AC996" s="123"/>
      <c r="AD996" s="125"/>
      <c r="AE996" s="123"/>
      <c r="AF996" s="123"/>
      <c r="AG996" s="123"/>
      <c r="AH996" s="123"/>
      <c r="AI996" s="123"/>
      <c r="AJ996" s="123"/>
      <c r="AK996" s="123"/>
    </row>
    <row r="997" spans="1:37" ht="14.25" customHeight="1" x14ac:dyDescent="0.2">
      <c r="A997" s="123"/>
      <c r="C997" s="123"/>
      <c r="AB997" s="123"/>
      <c r="AC997" s="123"/>
      <c r="AD997" s="125"/>
      <c r="AE997" s="123"/>
      <c r="AF997" s="123"/>
      <c r="AG997" s="123"/>
      <c r="AH997" s="123"/>
      <c r="AI997" s="123"/>
      <c r="AJ997" s="123"/>
      <c r="AK997" s="123"/>
    </row>
    <row r="998" spans="1:37" ht="14.25" customHeight="1" x14ac:dyDescent="0.2">
      <c r="A998" s="123"/>
      <c r="C998" s="123"/>
      <c r="AB998" s="123"/>
      <c r="AC998" s="123"/>
      <c r="AD998" s="125"/>
      <c r="AE998" s="123"/>
      <c r="AF998" s="123"/>
      <c r="AG998" s="123"/>
      <c r="AH998" s="123"/>
      <c r="AI998" s="123"/>
      <c r="AJ998" s="123"/>
      <c r="AK998" s="123"/>
    </row>
    <row r="999" spans="1:37" ht="14.25" customHeight="1" x14ac:dyDescent="0.2">
      <c r="A999" s="123"/>
      <c r="C999" s="123"/>
      <c r="AB999" s="123"/>
      <c r="AC999" s="123"/>
      <c r="AD999" s="125"/>
      <c r="AE999" s="123"/>
      <c r="AF999" s="123"/>
      <c r="AG999" s="123"/>
      <c r="AH999" s="123"/>
      <c r="AI999" s="123"/>
      <c r="AJ999" s="123"/>
      <c r="AK999" s="123"/>
    </row>
    <row r="1000" spans="1:37" ht="14.25" customHeight="1" x14ac:dyDescent="0.2">
      <c r="A1000" s="123"/>
      <c r="C1000" s="123"/>
      <c r="AB1000" s="123"/>
      <c r="AC1000" s="123"/>
      <c r="AD1000" s="125"/>
      <c r="AE1000" s="123"/>
      <c r="AF1000" s="123"/>
      <c r="AG1000" s="123"/>
      <c r="AH1000" s="123"/>
      <c r="AI1000" s="123"/>
      <c r="AJ1000" s="123"/>
      <c r="AK1000" s="123"/>
    </row>
  </sheetData>
  <mergeCells count="3">
    <mergeCell ref="B3:AF3"/>
    <mergeCell ref="D5:O6"/>
    <mergeCell ref="P5:AA6"/>
  </mergeCells>
  <pageMargins left="0.7" right="0.7" top="0.75" bottom="0.75" header="0" footer="0"/>
  <pageSetup orientation="landscape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L1000"/>
  <sheetViews>
    <sheetView topLeftCell="P46" workbookViewId="0">
      <selection activeCell="Y12" sqref="Y12:Y84"/>
    </sheetView>
  </sheetViews>
  <sheetFormatPr baseColWidth="10" defaultColWidth="14.5" defaultRowHeight="15" customHeight="1" x14ac:dyDescent="0.2"/>
  <cols>
    <col min="1" max="1" width="0.6640625" customWidth="1"/>
    <col min="2" max="2" width="40.5" customWidth="1"/>
    <col min="3" max="3" width="0.6640625" customWidth="1"/>
    <col min="4" max="4" width="13.5" hidden="1" customWidth="1"/>
    <col min="5" max="5" width="12.6640625" hidden="1" customWidth="1"/>
    <col min="6" max="7" width="13.5" hidden="1" customWidth="1"/>
    <col min="8" max="8" width="12.6640625" hidden="1" customWidth="1"/>
    <col min="9" max="9" width="12.83203125" hidden="1" customWidth="1"/>
    <col min="10" max="10" width="14" hidden="1" customWidth="1"/>
    <col min="11" max="11" width="12.83203125" hidden="1" customWidth="1"/>
    <col min="12" max="14" width="12.5" hidden="1" customWidth="1"/>
    <col min="15" max="15" width="11" hidden="1" customWidth="1"/>
    <col min="16" max="27" width="11" customWidth="1"/>
    <col min="28" max="28" width="0.6640625" customWidth="1"/>
    <col min="29" max="29" width="20.33203125" customWidth="1"/>
    <col min="30" max="30" width="18.33203125" customWidth="1"/>
    <col min="31" max="38" width="10.6640625" customWidth="1"/>
  </cols>
  <sheetData>
    <row r="1" spans="1:38" ht="9" customHeight="1" x14ac:dyDescent="0.25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124"/>
      <c r="AC1" s="123"/>
      <c r="AD1" s="125"/>
      <c r="AE1" s="123"/>
      <c r="AF1" s="123"/>
      <c r="AG1" s="123"/>
      <c r="AH1" s="123"/>
      <c r="AI1" s="123"/>
      <c r="AJ1" s="123"/>
      <c r="AK1" s="123"/>
      <c r="AL1" s="123"/>
    </row>
    <row r="2" spans="1:38" ht="9" customHeight="1" x14ac:dyDescent="0.25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124"/>
      <c r="AC2" s="123"/>
      <c r="AD2" s="125"/>
      <c r="AE2" s="123"/>
      <c r="AF2" s="123"/>
      <c r="AG2" s="123"/>
      <c r="AH2" s="123"/>
      <c r="AI2" s="123"/>
      <c r="AJ2" s="123"/>
      <c r="AK2" s="123"/>
      <c r="AL2" s="123"/>
    </row>
    <row r="3" spans="1:38" ht="19.5" customHeight="1" x14ac:dyDescent="0.25">
      <c r="A3" s="123"/>
      <c r="B3" s="329" t="s">
        <v>250</v>
      </c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22"/>
      <c r="AC3" s="322"/>
      <c r="AD3" s="322"/>
      <c r="AE3" s="322"/>
      <c r="AF3" s="330"/>
      <c r="AG3" s="123"/>
      <c r="AH3" s="123"/>
      <c r="AI3" s="123"/>
      <c r="AJ3" s="123"/>
      <c r="AK3" s="123"/>
      <c r="AL3" s="123"/>
    </row>
    <row r="4" spans="1:38" ht="5.25" customHeight="1" thickBot="1" x14ac:dyDescent="0.3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124"/>
      <c r="AC4" s="123"/>
      <c r="AD4" s="125"/>
      <c r="AE4" s="123"/>
      <c r="AF4" s="123"/>
      <c r="AG4" s="123"/>
      <c r="AH4" s="123"/>
      <c r="AI4" s="123"/>
      <c r="AJ4" s="123"/>
      <c r="AK4" s="123"/>
      <c r="AL4" s="123"/>
    </row>
    <row r="5" spans="1:38" ht="16.5" customHeight="1" x14ac:dyDescent="0.2">
      <c r="A5" s="123"/>
      <c r="B5" s="126" t="s">
        <v>99</v>
      </c>
      <c r="C5" s="127"/>
      <c r="D5" s="337" t="s">
        <v>183</v>
      </c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9"/>
      <c r="P5" s="337" t="s">
        <v>183</v>
      </c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9"/>
      <c r="AB5" s="123"/>
      <c r="AC5" s="123"/>
      <c r="AD5" s="125"/>
      <c r="AE5" s="123"/>
      <c r="AF5" s="123"/>
      <c r="AG5" s="123"/>
      <c r="AH5" s="123"/>
      <c r="AI5" s="123"/>
      <c r="AJ5" s="123"/>
      <c r="AK5" s="123"/>
    </row>
    <row r="6" spans="1:38" ht="3" customHeight="1" thickBot="1" x14ac:dyDescent="0.25">
      <c r="A6" s="123"/>
      <c r="B6" s="128"/>
      <c r="C6" s="127"/>
      <c r="D6" s="340"/>
      <c r="E6" s="341"/>
      <c r="F6" s="341"/>
      <c r="G6" s="341"/>
      <c r="H6" s="341"/>
      <c r="I6" s="341"/>
      <c r="J6" s="341"/>
      <c r="K6" s="341"/>
      <c r="L6" s="341"/>
      <c r="M6" s="341"/>
      <c r="N6" s="341"/>
      <c r="O6" s="342"/>
      <c r="P6" s="340"/>
      <c r="Q6" s="341"/>
      <c r="R6" s="341"/>
      <c r="S6" s="341"/>
      <c r="T6" s="341"/>
      <c r="U6" s="341"/>
      <c r="V6" s="341"/>
      <c r="W6" s="341"/>
      <c r="X6" s="341"/>
      <c r="Y6" s="341"/>
      <c r="Z6" s="341"/>
      <c r="AA6" s="342"/>
      <c r="AB6" s="123"/>
      <c r="AC6" s="123"/>
      <c r="AD6" s="125"/>
      <c r="AE6" s="123"/>
      <c r="AF6" s="123"/>
      <c r="AG6" s="123"/>
      <c r="AH6" s="123"/>
      <c r="AI6" s="123"/>
      <c r="AJ6" s="123"/>
      <c r="AK6" s="123"/>
    </row>
    <row r="7" spans="1:38" ht="14.25" customHeight="1" thickBot="1" x14ac:dyDescent="0.25">
      <c r="A7" s="123"/>
      <c r="B7" s="126" t="s">
        <v>101</v>
      </c>
      <c r="C7" s="127"/>
      <c r="D7" s="186">
        <v>1</v>
      </c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>
        <v>1</v>
      </c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30"/>
      <c r="AC7" s="123"/>
      <c r="AD7" s="125"/>
      <c r="AE7" s="131"/>
      <c r="AF7" s="123"/>
      <c r="AG7" s="123"/>
      <c r="AH7" s="123"/>
      <c r="AI7" s="123"/>
      <c r="AJ7" s="123"/>
      <c r="AK7" s="123"/>
    </row>
    <row r="8" spans="1:38" ht="3" customHeight="1" thickBot="1" x14ac:dyDescent="0.25">
      <c r="A8" s="123"/>
      <c r="B8" s="128"/>
      <c r="C8" s="127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  <c r="AB8" s="130"/>
      <c r="AC8" s="123"/>
      <c r="AD8" s="125"/>
      <c r="AE8" s="123"/>
      <c r="AF8" s="123"/>
      <c r="AG8" s="123"/>
      <c r="AH8" s="123"/>
      <c r="AI8" s="123"/>
      <c r="AJ8" s="123"/>
      <c r="AK8" s="123"/>
    </row>
    <row r="9" spans="1:38" ht="14.25" customHeight="1" x14ac:dyDescent="0.2">
      <c r="A9" s="123"/>
      <c r="B9" s="126" t="s">
        <v>102</v>
      </c>
      <c r="C9" s="127"/>
      <c r="D9" s="133">
        <v>45292</v>
      </c>
      <c r="E9" s="133">
        <v>45323</v>
      </c>
      <c r="F9" s="133">
        <v>45352</v>
      </c>
      <c r="G9" s="133">
        <v>45383</v>
      </c>
      <c r="H9" s="133">
        <v>45413</v>
      </c>
      <c r="I9" s="133">
        <v>45444</v>
      </c>
      <c r="J9" s="133">
        <v>45474</v>
      </c>
      <c r="K9" s="133">
        <v>45505</v>
      </c>
      <c r="L9" s="133">
        <v>45536</v>
      </c>
      <c r="M9" s="133">
        <v>45566</v>
      </c>
      <c r="N9" s="133">
        <v>45597</v>
      </c>
      <c r="O9" s="133">
        <v>45627</v>
      </c>
      <c r="P9" s="266"/>
      <c r="Q9" s="266"/>
      <c r="R9" s="266"/>
      <c r="S9" s="266"/>
      <c r="T9" s="266"/>
      <c r="U9" s="266"/>
      <c r="V9" s="266"/>
      <c r="W9" s="266"/>
      <c r="X9" s="266"/>
      <c r="Y9" s="266"/>
      <c r="Z9" s="266"/>
      <c r="AA9" s="266"/>
      <c r="AB9" s="134"/>
      <c r="AC9" s="135" t="s">
        <v>103</v>
      </c>
      <c r="AD9" s="135" t="s">
        <v>104</v>
      </c>
      <c r="AE9" s="123"/>
      <c r="AF9" s="123"/>
      <c r="AG9" s="123"/>
      <c r="AH9" s="123"/>
      <c r="AI9" s="123"/>
      <c r="AJ9" s="123"/>
      <c r="AK9" s="123"/>
    </row>
    <row r="10" spans="1:38" ht="3" customHeight="1" x14ac:dyDescent="0.2">
      <c r="A10" s="123"/>
      <c r="B10" s="128"/>
      <c r="C10" s="127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0"/>
      <c r="AC10" s="123"/>
      <c r="AD10" s="125"/>
      <c r="AE10" s="123"/>
      <c r="AF10" s="123"/>
      <c r="AG10" s="123"/>
      <c r="AH10" s="123"/>
      <c r="AI10" s="123"/>
      <c r="AJ10" s="123"/>
      <c r="AK10" s="123"/>
    </row>
    <row r="11" spans="1:38" ht="14.25" customHeight="1" x14ac:dyDescent="0.2">
      <c r="A11" s="123"/>
      <c r="B11" s="126" t="s">
        <v>105</v>
      </c>
      <c r="C11" s="125"/>
      <c r="AB11" s="123"/>
      <c r="AC11" s="123"/>
      <c r="AD11" s="125"/>
      <c r="AE11" s="123"/>
      <c r="AF11" s="123"/>
      <c r="AG11" s="123"/>
      <c r="AH11" s="123"/>
      <c r="AI11" s="123"/>
      <c r="AJ11" s="123"/>
      <c r="AK11" s="123"/>
    </row>
    <row r="12" spans="1:38" ht="14.25" customHeight="1" x14ac:dyDescent="0.2">
      <c r="A12" s="123"/>
      <c r="B12" s="137" t="s">
        <v>106</v>
      </c>
      <c r="C12" s="138"/>
      <c r="D12" s="139">
        <v>0</v>
      </c>
      <c r="E12" s="139">
        <v>0</v>
      </c>
      <c r="F12" s="139">
        <v>0</v>
      </c>
      <c r="G12" s="139">
        <v>0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0</v>
      </c>
      <c r="Y12" s="139">
        <v>0</v>
      </c>
      <c r="Z12" s="139"/>
      <c r="AA12" s="139"/>
      <c r="AB12" s="140"/>
      <c r="AC12" s="141">
        <f>SUM(P12:AA12)</f>
        <v>0</v>
      </c>
      <c r="AD12" s="141">
        <f>IFERROR(AC12/(COUNT(P12:AA12)),0)</f>
        <v>0</v>
      </c>
      <c r="AE12" s="123"/>
      <c r="AF12" s="142"/>
      <c r="AG12" s="123"/>
      <c r="AH12" s="123"/>
      <c r="AI12" s="123"/>
      <c r="AJ12" s="123"/>
      <c r="AK12" s="123"/>
    </row>
    <row r="13" spans="1:38" ht="14.25" customHeight="1" x14ac:dyDescent="0.2">
      <c r="A13" s="123"/>
      <c r="B13" s="137" t="s">
        <v>107</v>
      </c>
      <c r="C13" s="138"/>
      <c r="D13" s="143">
        <v>20763</v>
      </c>
      <c r="E13" s="143">
        <v>19787</v>
      </c>
      <c r="F13" s="143">
        <v>21872</v>
      </c>
      <c r="G13" s="143">
        <v>21915</v>
      </c>
      <c r="H13" s="143">
        <v>24377</v>
      </c>
      <c r="I13" s="143">
        <v>21922</v>
      </c>
      <c r="J13" s="143">
        <v>25123</v>
      </c>
      <c r="K13" s="143">
        <v>20535</v>
      </c>
      <c r="L13" s="143">
        <v>24111</v>
      </c>
      <c r="M13" s="143">
        <v>27238</v>
      </c>
      <c r="N13" s="143">
        <v>22115</v>
      </c>
      <c r="O13" s="143">
        <v>25688</v>
      </c>
      <c r="P13" s="143">
        <v>25381</v>
      </c>
      <c r="Q13" s="143">
        <v>23398</v>
      </c>
      <c r="R13" s="143">
        <v>27855</v>
      </c>
      <c r="S13" s="143">
        <v>27042</v>
      </c>
      <c r="T13" s="143">
        <v>26281</v>
      </c>
      <c r="U13" s="143">
        <v>30910</v>
      </c>
      <c r="V13" s="143">
        <v>28627</v>
      </c>
      <c r="W13" s="143">
        <v>28999</v>
      </c>
      <c r="X13" s="143">
        <v>31628</v>
      </c>
      <c r="Y13" s="143">
        <v>32791</v>
      </c>
      <c r="Z13" s="143"/>
      <c r="AA13" s="143"/>
      <c r="AB13" s="144"/>
      <c r="AC13" s="145">
        <f t="shared" ref="AC13:AC14" si="0">SUM(P13:AA13)</f>
        <v>282912</v>
      </c>
      <c r="AD13" s="145">
        <f t="shared" ref="AD13:AD14" si="1">IFERROR(AC13/(COUNT(P13:AA13)),0)</f>
        <v>28291.200000000001</v>
      </c>
      <c r="AE13" s="123"/>
      <c r="AF13" s="131"/>
      <c r="AG13" s="123"/>
      <c r="AH13" s="123"/>
      <c r="AI13" s="123"/>
      <c r="AJ13" s="123"/>
      <c r="AK13" s="123"/>
    </row>
    <row r="14" spans="1:38" ht="14.25" customHeight="1" x14ac:dyDescent="0.2">
      <c r="A14" s="123"/>
      <c r="B14" s="137" t="s">
        <v>108</v>
      </c>
      <c r="C14" s="138"/>
      <c r="D14" s="146">
        <v>0</v>
      </c>
      <c r="E14" s="146">
        <v>0</v>
      </c>
      <c r="F14" s="146">
        <v>0</v>
      </c>
      <c r="G14" s="146">
        <v>0</v>
      </c>
      <c r="H14" s="146">
        <v>0</v>
      </c>
      <c r="I14" s="146">
        <v>0</v>
      </c>
      <c r="J14" s="146">
        <v>0</v>
      </c>
      <c r="K14" s="146">
        <v>0</v>
      </c>
      <c r="L14" s="146">
        <v>0</v>
      </c>
      <c r="M14" s="146">
        <v>0</v>
      </c>
      <c r="N14" s="146">
        <v>0</v>
      </c>
      <c r="O14" s="146">
        <v>0</v>
      </c>
      <c r="P14" s="146">
        <v>0</v>
      </c>
      <c r="Q14" s="146">
        <v>0</v>
      </c>
      <c r="R14" s="146">
        <v>0</v>
      </c>
      <c r="S14" s="146">
        <v>0</v>
      </c>
      <c r="T14" s="146">
        <v>0</v>
      </c>
      <c r="U14" s="146">
        <v>0</v>
      </c>
      <c r="V14" s="146">
        <v>0</v>
      </c>
      <c r="W14" s="146">
        <v>0</v>
      </c>
      <c r="X14" s="146">
        <v>0</v>
      </c>
      <c r="Y14" s="146">
        <v>0</v>
      </c>
      <c r="Z14" s="146"/>
      <c r="AA14" s="146"/>
      <c r="AB14" s="140"/>
      <c r="AC14" s="147">
        <f t="shared" si="0"/>
        <v>0</v>
      </c>
      <c r="AD14" s="147">
        <f t="shared" si="1"/>
        <v>0</v>
      </c>
      <c r="AE14" s="123"/>
      <c r="AF14" s="123"/>
      <c r="AG14" s="123"/>
      <c r="AH14" s="123"/>
      <c r="AI14" s="123"/>
      <c r="AJ14" s="123"/>
      <c r="AK14" s="123"/>
    </row>
    <row r="15" spans="1:38" ht="14.25" customHeight="1" x14ac:dyDescent="0.2">
      <c r="A15" s="123"/>
      <c r="B15" s="126" t="s">
        <v>109</v>
      </c>
      <c r="C15" s="125"/>
      <c r="AB15" s="123"/>
      <c r="AC15" s="148"/>
      <c r="AD15" s="148"/>
      <c r="AE15" s="123"/>
      <c r="AF15" s="123"/>
      <c r="AG15" s="123"/>
      <c r="AH15" s="123"/>
      <c r="AI15" s="123"/>
      <c r="AJ15" s="123"/>
      <c r="AK15" s="123"/>
    </row>
    <row r="16" spans="1:38" ht="14.25" customHeight="1" x14ac:dyDescent="0.2">
      <c r="A16" s="123"/>
      <c r="B16" s="137" t="s">
        <v>110</v>
      </c>
      <c r="C16" s="138"/>
      <c r="D16" s="139">
        <v>27247</v>
      </c>
      <c r="E16" s="139">
        <v>26619</v>
      </c>
      <c r="F16" s="139">
        <v>27999</v>
      </c>
      <c r="G16" s="139">
        <v>30073</v>
      </c>
      <c r="H16" s="139">
        <v>32688</v>
      </c>
      <c r="I16" s="139">
        <v>28925</v>
      </c>
      <c r="J16" s="139">
        <v>34016</v>
      </c>
      <c r="K16" s="139">
        <v>28031</v>
      </c>
      <c r="L16" s="139">
        <v>31089</v>
      </c>
      <c r="M16" s="139">
        <v>35746</v>
      </c>
      <c r="N16" s="139">
        <v>30081</v>
      </c>
      <c r="O16" s="139">
        <v>35119</v>
      </c>
      <c r="P16" s="139">
        <v>33745</v>
      </c>
      <c r="Q16" s="139">
        <v>31731</v>
      </c>
      <c r="R16" s="139">
        <v>36129</v>
      </c>
      <c r="S16" s="139">
        <v>36182</v>
      </c>
      <c r="T16" s="139">
        <v>35045</v>
      </c>
      <c r="U16" s="139">
        <v>37984</v>
      </c>
      <c r="V16" s="139">
        <v>34072</v>
      </c>
      <c r="W16" s="139">
        <v>33865</v>
      </c>
      <c r="X16" s="139">
        <v>37481</v>
      </c>
      <c r="Y16" s="139">
        <v>40416</v>
      </c>
      <c r="Z16" s="139"/>
      <c r="AA16" s="139"/>
      <c r="AB16" s="149"/>
      <c r="AC16" s="141">
        <f t="shared" ref="AC16:AC30" si="2">SUM(P16:AA16)</f>
        <v>356650</v>
      </c>
      <c r="AD16" s="141">
        <f t="shared" ref="AD16:AD30" si="3">IFERROR(AC16/(COUNT(P16:AA16)),0)</f>
        <v>35665</v>
      </c>
      <c r="AE16" s="123"/>
      <c r="AF16" s="123"/>
      <c r="AG16" s="123"/>
      <c r="AH16" s="123"/>
      <c r="AI16" s="123"/>
      <c r="AJ16" s="123"/>
      <c r="AK16" s="123"/>
    </row>
    <row r="17" spans="1:38" ht="14.25" customHeight="1" x14ac:dyDescent="0.2">
      <c r="A17" s="150"/>
      <c r="B17" s="151" t="s">
        <v>111</v>
      </c>
      <c r="C17" s="151"/>
      <c r="D17" s="152">
        <v>20794</v>
      </c>
      <c r="E17" s="152">
        <v>19788</v>
      </c>
      <c r="F17" s="152">
        <v>21877</v>
      </c>
      <c r="G17" s="152">
        <v>21938</v>
      </c>
      <c r="H17" s="152">
        <v>24407</v>
      </c>
      <c r="I17" s="152">
        <v>21941</v>
      </c>
      <c r="J17" s="152">
        <v>25153</v>
      </c>
      <c r="K17" s="152">
        <v>20586</v>
      </c>
      <c r="L17" s="152">
        <v>24147</v>
      </c>
      <c r="M17" s="152">
        <v>27267</v>
      </c>
      <c r="N17" s="152">
        <v>22166</v>
      </c>
      <c r="O17" s="152">
        <v>25723</v>
      </c>
      <c r="P17" s="152">
        <v>25394</v>
      </c>
      <c r="Q17" s="152">
        <v>23403</v>
      </c>
      <c r="R17" s="152">
        <v>27858</v>
      </c>
      <c r="S17" s="152">
        <v>27100</v>
      </c>
      <c r="T17" s="152">
        <v>26336</v>
      </c>
      <c r="U17" s="152">
        <v>30971</v>
      </c>
      <c r="V17" s="152">
        <v>28672</v>
      </c>
      <c r="W17" s="152">
        <v>29048</v>
      </c>
      <c r="X17" s="152">
        <v>31677</v>
      </c>
      <c r="Y17" s="152">
        <v>32850</v>
      </c>
      <c r="Z17" s="152"/>
      <c r="AA17" s="152"/>
      <c r="AB17" s="153"/>
      <c r="AC17" s="154">
        <f t="shared" si="2"/>
        <v>283309</v>
      </c>
      <c r="AD17" s="154">
        <f t="shared" si="3"/>
        <v>28330.9</v>
      </c>
      <c r="AE17" s="150"/>
      <c r="AF17" s="150"/>
      <c r="AG17" s="150"/>
      <c r="AH17" s="150"/>
      <c r="AI17" s="150"/>
      <c r="AJ17" s="150"/>
      <c r="AK17" s="150"/>
      <c r="AL17" s="150"/>
    </row>
    <row r="18" spans="1:38" ht="14.25" customHeight="1" x14ac:dyDescent="0.2">
      <c r="A18" s="123"/>
      <c r="B18" s="137" t="s">
        <v>112</v>
      </c>
      <c r="C18" s="138"/>
      <c r="D18" s="155">
        <v>0.76316658714720886</v>
      </c>
      <c r="E18" s="155">
        <v>0.7433787895863857</v>
      </c>
      <c r="F18" s="155">
        <v>0.78134933390478234</v>
      </c>
      <c r="G18" s="155">
        <v>0.72949157051175473</v>
      </c>
      <c r="H18" s="155">
        <v>0.74666544297601567</v>
      </c>
      <c r="I18" s="155">
        <v>0.7585479688850475</v>
      </c>
      <c r="J18" s="155">
        <v>0.73944614299153344</v>
      </c>
      <c r="K18" s="155">
        <v>0.73440119867289788</v>
      </c>
      <c r="L18" s="155">
        <v>0.77670558718517801</v>
      </c>
      <c r="M18" s="155">
        <v>0.76279863481228671</v>
      </c>
      <c r="N18" s="155">
        <v>0.7368770985007147</v>
      </c>
      <c r="O18" s="155">
        <v>0.73245251857968618</v>
      </c>
      <c r="P18" s="155">
        <v>0.75252630019262112</v>
      </c>
      <c r="Q18" s="155">
        <v>0.73754372695471304</v>
      </c>
      <c r="R18" s="155">
        <v>0.77107033131279579</v>
      </c>
      <c r="S18" s="155">
        <v>0.74899121109944167</v>
      </c>
      <c r="T18" s="155">
        <v>0.75149094021971752</v>
      </c>
      <c r="U18" s="155">
        <v>0.81536962931760737</v>
      </c>
      <c r="V18" s="155">
        <v>0.84151209204038502</v>
      </c>
      <c r="W18" s="155">
        <v>0.85775874796988039</v>
      </c>
      <c r="X18" s="155">
        <v>0.84514820842560234</v>
      </c>
      <c r="Y18" s="155">
        <v>0.81279691211401428</v>
      </c>
      <c r="Z18" s="155"/>
      <c r="AA18" s="155"/>
      <c r="AB18" s="149"/>
      <c r="AC18" s="156">
        <f t="shared" si="2"/>
        <v>7.9342080996467779</v>
      </c>
      <c r="AD18" s="156">
        <f t="shared" si="3"/>
        <v>0.79342080996467779</v>
      </c>
      <c r="AE18" s="123"/>
      <c r="AF18" s="123"/>
      <c r="AG18" s="123"/>
      <c r="AH18" s="123"/>
      <c r="AI18" s="123"/>
      <c r="AJ18" s="123"/>
      <c r="AK18" s="123"/>
    </row>
    <row r="19" spans="1:38" ht="14.25" customHeight="1" x14ac:dyDescent="0.2">
      <c r="A19" s="123"/>
      <c r="B19" s="138" t="s">
        <v>113</v>
      </c>
      <c r="C19" s="138"/>
      <c r="D19" s="139">
        <v>20790</v>
      </c>
      <c r="E19" s="139">
        <v>19787</v>
      </c>
      <c r="F19" s="139">
        <v>21872</v>
      </c>
      <c r="G19" s="139">
        <v>21930</v>
      </c>
      <c r="H19" s="139">
        <v>24400</v>
      </c>
      <c r="I19" s="139">
        <v>21935</v>
      </c>
      <c r="J19" s="139">
        <v>25146</v>
      </c>
      <c r="K19" s="139">
        <v>20573</v>
      </c>
      <c r="L19" s="139">
        <v>24133</v>
      </c>
      <c r="M19" s="139">
        <v>27264</v>
      </c>
      <c r="N19" s="139">
        <v>22162</v>
      </c>
      <c r="O19" s="139">
        <v>25718</v>
      </c>
      <c r="P19" s="139">
        <v>25381</v>
      </c>
      <c r="Q19" s="139">
        <v>23398</v>
      </c>
      <c r="R19" s="139">
        <v>27855</v>
      </c>
      <c r="S19" s="139">
        <v>27100</v>
      </c>
      <c r="T19" s="139">
        <v>26333</v>
      </c>
      <c r="U19" s="139">
        <v>30964</v>
      </c>
      <c r="V19" s="139">
        <v>28666</v>
      </c>
      <c r="W19" s="139">
        <v>29039</v>
      </c>
      <c r="X19" s="139">
        <v>31663</v>
      </c>
      <c r="Y19" s="139">
        <v>32843</v>
      </c>
      <c r="Z19" s="139"/>
      <c r="AA19" s="139"/>
      <c r="AB19" s="149"/>
      <c r="AC19" s="141">
        <f t="shared" si="2"/>
        <v>283242</v>
      </c>
      <c r="AD19" s="141">
        <f t="shared" si="3"/>
        <v>28324.2</v>
      </c>
      <c r="AE19" s="123"/>
      <c r="AF19" s="123"/>
      <c r="AG19" s="123"/>
      <c r="AH19" s="123"/>
      <c r="AI19" s="123"/>
      <c r="AJ19" s="123"/>
      <c r="AK19" s="123"/>
      <c r="AL19" s="123"/>
    </row>
    <row r="20" spans="1:38" ht="14.25" customHeight="1" x14ac:dyDescent="0.2">
      <c r="A20" s="123"/>
      <c r="B20" s="138" t="s">
        <v>114</v>
      </c>
      <c r="C20" s="138"/>
      <c r="D20" s="139">
        <v>14324</v>
      </c>
      <c r="E20" s="139">
        <v>12139</v>
      </c>
      <c r="F20" s="139">
        <v>15988</v>
      </c>
      <c r="G20" s="139">
        <v>16218</v>
      </c>
      <c r="H20" s="139">
        <v>17877</v>
      </c>
      <c r="I20" s="139">
        <v>4619</v>
      </c>
      <c r="J20" s="139">
        <v>5278</v>
      </c>
      <c r="K20" s="139">
        <v>18358</v>
      </c>
      <c r="L20" s="139">
        <v>23674</v>
      </c>
      <c r="M20" s="139">
        <v>25221</v>
      </c>
      <c r="N20" s="139">
        <v>14727</v>
      </c>
      <c r="O20" s="139">
        <v>17616</v>
      </c>
      <c r="P20" s="139">
        <v>6283</v>
      </c>
      <c r="Q20" s="139">
        <v>4515</v>
      </c>
      <c r="R20" s="139">
        <v>6003</v>
      </c>
      <c r="S20" s="139">
        <v>7154</v>
      </c>
      <c r="T20" s="139">
        <v>7929</v>
      </c>
      <c r="U20" s="139">
        <v>9305</v>
      </c>
      <c r="V20" s="139">
        <v>8357</v>
      </c>
      <c r="W20" s="139">
        <v>8846</v>
      </c>
      <c r="X20" s="139">
        <v>9202</v>
      </c>
      <c r="Y20" s="139">
        <v>9989</v>
      </c>
      <c r="Z20" s="139"/>
      <c r="AA20" s="139"/>
      <c r="AB20" s="149"/>
      <c r="AC20" s="141">
        <f t="shared" si="2"/>
        <v>77583</v>
      </c>
      <c r="AD20" s="141">
        <f t="shared" si="3"/>
        <v>7758.3</v>
      </c>
      <c r="AE20" s="123"/>
      <c r="AF20" s="123"/>
      <c r="AG20" s="123"/>
      <c r="AH20" s="123"/>
      <c r="AI20" s="123"/>
      <c r="AJ20" s="123"/>
      <c r="AK20" s="123"/>
      <c r="AL20" s="123"/>
    </row>
    <row r="21" spans="1:38" ht="14.25" customHeight="1" x14ac:dyDescent="0.2">
      <c r="A21" s="123"/>
      <c r="B21" s="138" t="s">
        <v>115</v>
      </c>
      <c r="C21" s="138"/>
      <c r="D21" s="139">
        <v>6466</v>
      </c>
      <c r="E21" s="139">
        <v>7648</v>
      </c>
      <c r="F21" s="139">
        <v>5884</v>
      </c>
      <c r="G21" s="139">
        <v>5712</v>
      </c>
      <c r="H21" s="139">
        <v>6523</v>
      </c>
      <c r="I21" s="139">
        <v>17316</v>
      </c>
      <c r="J21" s="139">
        <v>19868</v>
      </c>
      <c r="K21" s="139">
        <v>2215</v>
      </c>
      <c r="L21" s="139">
        <v>459</v>
      </c>
      <c r="M21" s="139">
        <v>2043</v>
      </c>
      <c r="N21" s="139">
        <v>7435</v>
      </c>
      <c r="O21" s="139">
        <v>8102</v>
      </c>
      <c r="P21" s="139">
        <v>19098</v>
      </c>
      <c r="Q21" s="139">
        <v>18883</v>
      </c>
      <c r="R21" s="139">
        <v>21852</v>
      </c>
      <c r="S21" s="139">
        <v>19946</v>
      </c>
      <c r="T21" s="139">
        <v>18404</v>
      </c>
      <c r="U21" s="139">
        <v>21659</v>
      </c>
      <c r="V21" s="139">
        <v>20309</v>
      </c>
      <c r="W21" s="139">
        <v>20193</v>
      </c>
      <c r="X21" s="139">
        <v>22461</v>
      </c>
      <c r="Y21" s="139">
        <v>22854</v>
      </c>
      <c r="Z21" s="139"/>
      <c r="AA21" s="139"/>
      <c r="AB21" s="149"/>
      <c r="AC21" s="141">
        <f t="shared" si="2"/>
        <v>205659</v>
      </c>
      <c r="AD21" s="141">
        <f t="shared" si="3"/>
        <v>20565.900000000001</v>
      </c>
      <c r="AE21" s="123"/>
      <c r="AF21" s="123"/>
      <c r="AG21" s="123"/>
      <c r="AH21" s="123"/>
      <c r="AI21" s="123"/>
      <c r="AJ21" s="123"/>
      <c r="AK21" s="123"/>
      <c r="AL21" s="123"/>
    </row>
    <row r="22" spans="1:38" ht="14.25" customHeight="1" x14ac:dyDescent="0.2">
      <c r="A22" s="123"/>
      <c r="B22" s="137" t="s">
        <v>116</v>
      </c>
      <c r="C22" s="138"/>
      <c r="D22" s="139">
        <v>27239</v>
      </c>
      <c r="E22" s="139">
        <v>26615</v>
      </c>
      <c r="F22" s="139">
        <v>27988</v>
      </c>
      <c r="G22" s="139">
        <v>30054</v>
      </c>
      <c r="H22" s="139">
        <v>32677</v>
      </c>
      <c r="I22" s="139">
        <v>28919</v>
      </c>
      <c r="J22" s="139">
        <v>34005</v>
      </c>
      <c r="K22" s="139">
        <v>28016</v>
      </c>
      <c r="L22" s="139">
        <v>31074</v>
      </c>
      <c r="M22" s="139">
        <v>35743</v>
      </c>
      <c r="N22" s="139">
        <v>30076</v>
      </c>
      <c r="O22" s="139">
        <v>35110</v>
      </c>
      <c r="P22" s="139">
        <v>33726</v>
      </c>
      <c r="Q22" s="139">
        <v>31723</v>
      </c>
      <c r="R22" s="139">
        <v>36126</v>
      </c>
      <c r="S22" s="139">
        <v>36182</v>
      </c>
      <c r="T22" s="139">
        <v>35039</v>
      </c>
      <c r="U22" s="139">
        <v>37975</v>
      </c>
      <c r="V22" s="139">
        <v>34063</v>
      </c>
      <c r="W22" s="139">
        <v>33850</v>
      </c>
      <c r="X22" s="139">
        <v>37463</v>
      </c>
      <c r="Y22" s="139">
        <v>40407</v>
      </c>
      <c r="Z22" s="139"/>
      <c r="AA22" s="139"/>
      <c r="AB22" s="149"/>
      <c r="AC22" s="141">
        <f t="shared" si="2"/>
        <v>356554</v>
      </c>
      <c r="AD22" s="141">
        <f t="shared" si="3"/>
        <v>35655.4</v>
      </c>
      <c r="AE22" s="123"/>
      <c r="AF22" s="123"/>
      <c r="AG22" s="123"/>
      <c r="AH22" s="123"/>
      <c r="AI22" s="123"/>
      <c r="AJ22" s="123"/>
      <c r="AK22" s="123"/>
    </row>
    <row r="23" spans="1:38" ht="14.25" customHeight="1" x14ac:dyDescent="0.2">
      <c r="A23" s="123"/>
      <c r="B23" s="137" t="s">
        <v>117</v>
      </c>
      <c r="C23" s="138"/>
      <c r="D23" s="139">
        <v>0</v>
      </c>
      <c r="E23" s="139">
        <v>0</v>
      </c>
      <c r="F23" s="139">
        <v>0</v>
      </c>
      <c r="G23" s="139">
        <v>0</v>
      </c>
      <c r="H23" s="139">
        <v>0</v>
      </c>
      <c r="I23" s="139">
        <v>0</v>
      </c>
      <c r="J23" s="139">
        <v>0</v>
      </c>
      <c r="K23" s="139">
        <v>2</v>
      </c>
      <c r="L23" s="139">
        <v>1</v>
      </c>
      <c r="M23" s="139">
        <v>0</v>
      </c>
      <c r="N23" s="139">
        <v>0</v>
      </c>
      <c r="O23" s="139">
        <v>0</v>
      </c>
      <c r="P23" s="139">
        <v>0</v>
      </c>
      <c r="Q23" s="139">
        <v>0</v>
      </c>
      <c r="R23" s="139">
        <v>0</v>
      </c>
      <c r="S23" s="139">
        <v>0</v>
      </c>
      <c r="T23" s="139">
        <v>0</v>
      </c>
      <c r="U23" s="139">
        <v>0</v>
      </c>
      <c r="V23" s="139">
        <v>0</v>
      </c>
      <c r="W23" s="139">
        <v>0</v>
      </c>
      <c r="X23" s="139">
        <v>0</v>
      </c>
      <c r="Y23" s="139">
        <v>0</v>
      </c>
      <c r="Z23" s="139"/>
      <c r="AA23" s="139"/>
      <c r="AB23" s="149"/>
      <c r="AC23" s="141">
        <f t="shared" si="2"/>
        <v>0</v>
      </c>
      <c r="AD23" s="141">
        <f t="shared" si="3"/>
        <v>0</v>
      </c>
      <c r="AE23" s="123"/>
      <c r="AF23" s="123"/>
      <c r="AG23" s="123"/>
      <c r="AH23" s="123"/>
      <c r="AI23" s="123"/>
      <c r="AJ23" s="123"/>
      <c r="AK23" s="123"/>
    </row>
    <row r="24" spans="1:38" ht="14.25" customHeight="1" x14ac:dyDescent="0.2">
      <c r="A24" s="123"/>
      <c r="B24" s="137" t="s">
        <v>118</v>
      </c>
      <c r="C24" s="138"/>
      <c r="D24" s="139">
        <v>3153</v>
      </c>
      <c r="E24" s="139">
        <v>3738</v>
      </c>
      <c r="F24" s="139">
        <v>4400</v>
      </c>
      <c r="G24" s="139">
        <v>0</v>
      </c>
      <c r="H24" s="139">
        <v>4019</v>
      </c>
      <c r="I24" s="139">
        <v>4900</v>
      </c>
      <c r="J24" s="139">
        <v>4437</v>
      </c>
      <c r="K24" s="139">
        <v>4195</v>
      </c>
      <c r="L24" s="139">
        <v>4911</v>
      </c>
      <c r="M24" s="139">
        <v>4137</v>
      </c>
      <c r="N24" s="139">
        <v>3993</v>
      </c>
      <c r="O24" s="139">
        <v>4360</v>
      </c>
      <c r="P24" s="139">
        <v>3466</v>
      </c>
      <c r="Q24" s="139">
        <v>3641</v>
      </c>
      <c r="R24" s="139">
        <v>5184</v>
      </c>
      <c r="S24" s="139">
        <v>4544</v>
      </c>
      <c r="T24" s="139">
        <v>4726</v>
      </c>
      <c r="U24" s="139">
        <v>5952</v>
      </c>
      <c r="V24" s="139">
        <v>4258</v>
      </c>
      <c r="W24" s="139">
        <v>5474</v>
      </c>
      <c r="X24" s="139">
        <v>7268</v>
      </c>
      <c r="Y24" s="139">
        <v>6527</v>
      </c>
      <c r="Z24" s="139"/>
      <c r="AA24" s="139"/>
      <c r="AB24" s="149"/>
      <c r="AC24" s="141">
        <f t="shared" si="2"/>
        <v>51040</v>
      </c>
      <c r="AD24" s="141">
        <f t="shared" si="3"/>
        <v>5104</v>
      </c>
      <c r="AE24" s="123"/>
      <c r="AF24" s="123"/>
      <c r="AG24" s="123"/>
      <c r="AH24" s="123"/>
      <c r="AI24" s="123"/>
      <c r="AJ24" s="123"/>
      <c r="AK24" s="123"/>
    </row>
    <row r="25" spans="1:38" ht="14.25" customHeight="1" x14ac:dyDescent="0.2">
      <c r="A25" s="123"/>
      <c r="B25" s="137" t="s">
        <v>119</v>
      </c>
      <c r="C25" s="138"/>
      <c r="D25" s="139">
        <v>1567</v>
      </c>
      <c r="E25" s="139">
        <v>1343</v>
      </c>
      <c r="F25" s="139">
        <v>1445</v>
      </c>
      <c r="G25" s="139">
        <v>1552</v>
      </c>
      <c r="H25" s="139">
        <v>2258</v>
      </c>
      <c r="I25" s="139">
        <v>2137</v>
      </c>
      <c r="J25" s="139">
        <v>2540</v>
      </c>
      <c r="K25" s="139">
        <v>2030</v>
      </c>
      <c r="L25" s="139">
        <v>2059</v>
      </c>
      <c r="M25" s="139">
        <v>2855</v>
      </c>
      <c r="N25" s="139">
        <v>2256</v>
      </c>
      <c r="O25" s="139">
        <v>2256</v>
      </c>
      <c r="P25" s="139">
        <v>2519</v>
      </c>
      <c r="Q25" s="139">
        <v>2572</v>
      </c>
      <c r="R25" s="139">
        <v>2625</v>
      </c>
      <c r="S25" s="139">
        <v>2788</v>
      </c>
      <c r="T25" s="139">
        <v>2111</v>
      </c>
      <c r="U25" s="139">
        <v>2485</v>
      </c>
      <c r="V25" s="139">
        <v>2317</v>
      </c>
      <c r="W25" s="139">
        <v>2260</v>
      </c>
      <c r="X25" s="139">
        <v>2431</v>
      </c>
      <c r="Y25" s="139">
        <v>2821</v>
      </c>
      <c r="Z25" s="139"/>
      <c r="AA25" s="139"/>
      <c r="AB25" s="149"/>
      <c r="AC25" s="141">
        <f t="shared" si="2"/>
        <v>24929</v>
      </c>
      <c r="AD25" s="141">
        <f t="shared" si="3"/>
        <v>2492.9</v>
      </c>
      <c r="AE25" s="123"/>
      <c r="AF25" s="123"/>
      <c r="AG25" s="123"/>
      <c r="AH25" s="123"/>
      <c r="AI25" s="123"/>
      <c r="AJ25" s="123"/>
      <c r="AK25" s="123"/>
    </row>
    <row r="26" spans="1:38" ht="14.25" customHeight="1" x14ac:dyDescent="0.2">
      <c r="A26" s="123"/>
      <c r="B26" s="137" t="s">
        <v>120</v>
      </c>
      <c r="C26" s="138"/>
      <c r="D26" s="139">
        <v>19223</v>
      </c>
      <c r="E26" s="139">
        <v>18444</v>
      </c>
      <c r="F26" s="139">
        <v>20427</v>
      </c>
      <c r="G26" s="139">
        <v>20378</v>
      </c>
      <c r="H26" s="139">
        <v>22142</v>
      </c>
      <c r="I26" s="139">
        <v>19798</v>
      </c>
      <c r="J26" s="139">
        <v>22606</v>
      </c>
      <c r="K26" s="139">
        <v>18543</v>
      </c>
      <c r="L26" s="139">
        <v>22074</v>
      </c>
      <c r="M26" s="139">
        <v>24409</v>
      </c>
      <c r="N26" s="139">
        <v>19906</v>
      </c>
      <c r="O26" s="139">
        <v>23462</v>
      </c>
      <c r="P26" s="139">
        <v>22862</v>
      </c>
      <c r="Q26" s="139">
        <v>20826</v>
      </c>
      <c r="R26" s="139">
        <v>25230</v>
      </c>
      <c r="S26" s="139">
        <v>24312</v>
      </c>
      <c r="T26" s="139">
        <v>24222</v>
      </c>
      <c r="U26" s="139">
        <v>28479</v>
      </c>
      <c r="V26" s="139">
        <v>26349</v>
      </c>
      <c r="W26" s="139">
        <v>26779</v>
      </c>
      <c r="X26" s="139">
        <v>29232</v>
      </c>
      <c r="Y26" s="139">
        <v>30022</v>
      </c>
      <c r="Z26" s="139"/>
      <c r="AA26" s="139"/>
      <c r="AB26" s="149"/>
      <c r="AC26" s="141">
        <f t="shared" si="2"/>
        <v>258313</v>
      </c>
      <c r="AD26" s="141">
        <f t="shared" si="3"/>
        <v>25831.3</v>
      </c>
      <c r="AE26" s="123"/>
      <c r="AF26" s="123"/>
      <c r="AG26" s="123"/>
      <c r="AH26" s="123"/>
      <c r="AI26" s="123"/>
      <c r="AJ26" s="123"/>
      <c r="AK26" s="123"/>
    </row>
    <row r="27" spans="1:38" ht="14.25" customHeight="1" x14ac:dyDescent="0.2">
      <c r="A27" s="150"/>
      <c r="B27" s="151" t="s">
        <v>121</v>
      </c>
      <c r="C27" s="151"/>
      <c r="D27" s="152">
        <v>5691</v>
      </c>
      <c r="E27" s="152">
        <v>6253</v>
      </c>
      <c r="F27" s="152">
        <v>5433</v>
      </c>
      <c r="G27" s="152">
        <v>7393</v>
      </c>
      <c r="H27" s="152">
        <v>7333</v>
      </c>
      <c r="I27" s="152">
        <v>6317</v>
      </c>
      <c r="J27" s="152">
        <v>7925</v>
      </c>
      <c r="K27" s="152">
        <v>6767</v>
      </c>
      <c r="L27" s="152">
        <v>6189</v>
      </c>
      <c r="M27" s="152">
        <v>7310</v>
      </c>
      <c r="N27" s="152">
        <v>6795</v>
      </c>
      <c r="O27" s="152">
        <v>8030</v>
      </c>
      <c r="P27" s="152">
        <v>7163</v>
      </c>
      <c r="Q27" s="152">
        <v>7310</v>
      </c>
      <c r="R27" s="152">
        <v>7080</v>
      </c>
      <c r="S27" s="152">
        <v>7490</v>
      </c>
      <c r="T27" s="152">
        <v>7063</v>
      </c>
      <c r="U27" s="152">
        <v>5914</v>
      </c>
      <c r="V27" s="152">
        <v>3838</v>
      </c>
      <c r="W27" s="152">
        <v>3729</v>
      </c>
      <c r="X27" s="152">
        <v>4292</v>
      </c>
      <c r="Y27" s="152">
        <v>5400</v>
      </c>
      <c r="Z27" s="152"/>
      <c r="AA27" s="152"/>
      <c r="AB27" s="153"/>
      <c r="AC27" s="154">
        <f t="shared" si="2"/>
        <v>59279</v>
      </c>
      <c r="AD27" s="154">
        <f t="shared" si="3"/>
        <v>5927.9</v>
      </c>
      <c r="AE27" s="150"/>
      <c r="AF27" s="150"/>
      <c r="AG27" s="150"/>
      <c r="AH27" s="150"/>
      <c r="AI27" s="150"/>
      <c r="AJ27" s="150"/>
      <c r="AK27" s="150"/>
      <c r="AL27" s="150"/>
    </row>
    <row r="28" spans="1:38" ht="14.25" customHeight="1" x14ac:dyDescent="0.2">
      <c r="A28" s="123"/>
      <c r="B28" s="137" t="s">
        <v>122</v>
      </c>
      <c r="C28" s="138"/>
      <c r="D28" s="155">
        <v>0.20886703123279626</v>
      </c>
      <c r="E28" s="155">
        <v>0.2349073969720876</v>
      </c>
      <c r="F28" s="155">
        <v>0.19404264438015642</v>
      </c>
      <c r="G28" s="155">
        <v>0.24583513450603531</v>
      </c>
      <c r="H28" s="155">
        <v>0.22433308859520312</v>
      </c>
      <c r="I28" s="155">
        <v>0.2183923941227312</v>
      </c>
      <c r="J28" s="155">
        <v>0.23297859830667922</v>
      </c>
      <c r="K28" s="155">
        <v>0.24141129463807928</v>
      </c>
      <c r="L28" s="155">
        <v>0.19907362732799383</v>
      </c>
      <c r="M28" s="155">
        <v>0.2044984054159906</v>
      </c>
      <c r="N28" s="155">
        <v>0.22589009673880522</v>
      </c>
      <c r="O28" s="155">
        <v>0.22865115749309489</v>
      </c>
      <c r="P28" s="155">
        <v>0.21226848421988442</v>
      </c>
      <c r="Q28" s="155">
        <v>0.23037408212788754</v>
      </c>
      <c r="R28" s="155">
        <v>0.19596446068255419</v>
      </c>
      <c r="S28" s="155">
        <v>0.20700901000497485</v>
      </c>
      <c r="T28" s="155">
        <v>0.20154087601655016</v>
      </c>
      <c r="U28" s="155">
        <v>0.15569713563605728</v>
      </c>
      <c r="V28" s="155">
        <v>0.11264381310166706</v>
      </c>
      <c r="W28" s="155">
        <v>0.11011368669717998</v>
      </c>
      <c r="X28" s="155">
        <v>0.11451135241855874</v>
      </c>
      <c r="Y28" s="155">
        <v>0.1336104513064133</v>
      </c>
      <c r="Z28" s="155"/>
      <c r="AA28" s="155"/>
      <c r="AB28" s="149"/>
      <c r="AC28" s="156">
        <f t="shared" si="2"/>
        <v>1.6737333522117277</v>
      </c>
      <c r="AD28" s="156">
        <f t="shared" si="3"/>
        <v>0.16737333522117276</v>
      </c>
      <c r="AE28" s="123"/>
      <c r="AF28" s="123"/>
      <c r="AG28" s="123"/>
      <c r="AH28" s="123"/>
      <c r="AI28" s="123"/>
      <c r="AJ28" s="123"/>
      <c r="AK28" s="123"/>
    </row>
    <row r="29" spans="1:38" ht="14.25" customHeight="1" x14ac:dyDescent="0.2">
      <c r="A29" s="123"/>
      <c r="B29" s="137" t="s">
        <v>123</v>
      </c>
      <c r="C29" s="138"/>
      <c r="D29" s="139">
        <v>762</v>
      </c>
      <c r="E29" s="139">
        <v>578</v>
      </c>
      <c r="F29" s="139">
        <v>689</v>
      </c>
      <c r="G29" s="139">
        <v>742</v>
      </c>
      <c r="H29" s="139">
        <v>948</v>
      </c>
      <c r="I29" s="139">
        <v>667</v>
      </c>
      <c r="J29" s="139">
        <v>938</v>
      </c>
      <c r="K29" s="139">
        <v>678</v>
      </c>
      <c r="L29" s="139">
        <v>753</v>
      </c>
      <c r="M29" s="139">
        <v>1169</v>
      </c>
      <c r="N29" s="139">
        <v>1120</v>
      </c>
      <c r="O29" s="139">
        <v>1366</v>
      </c>
      <c r="P29" s="139">
        <v>1188</v>
      </c>
      <c r="Q29" s="139">
        <v>1018</v>
      </c>
      <c r="R29" s="139">
        <v>1191</v>
      </c>
      <c r="S29" s="139">
        <v>1592</v>
      </c>
      <c r="T29" s="139">
        <v>1646</v>
      </c>
      <c r="U29" s="139">
        <v>1099</v>
      </c>
      <c r="V29" s="139">
        <v>1562</v>
      </c>
      <c r="W29" s="139">
        <v>1088</v>
      </c>
      <c r="X29" s="139">
        <v>1512</v>
      </c>
      <c r="Y29" s="139">
        <v>2166</v>
      </c>
      <c r="Z29" s="139"/>
      <c r="AA29" s="139"/>
      <c r="AB29" s="149"/>
      <c r="AC29" s="141">
        <f t="shared" si="2"/>
        <v>14062</v>
      </c>
      <c r="AD29" s="141">
        <f t="shared" si="3"/>
        <v>1406.2</v>
      </c>
      <c r="AE29" s="123"/>
      <c r="AF29" s="123"/>
      <c r="AG29" s="123"/>
      <c r="AH29" s="123"/>
      <c r="AI29" s="123"/>
      <c r="AJ29" s="123"/>
      <c r="AK29" s="123"/>
    </row>
    <row r="30" spans="1:38" ht="14.25" customHeight="1" x14ac:dyDescent="0.2">
      <c r="A30" s="123"/>
      <c r="B30" s="137" t="s">
        <v>124</v>
      </c>
      <c r="C30" s="138"/>
      <c r="D30" s="155">
        <v>2.7966381619994863E-2</v>
      </c>
      <c r="E30" s="155">
        <v>2.171381344152673E-2</v>
      </c>
      <c r="F30" s="155">
        <v>2.4608021715061251E-2</v>
      </c>
      <c r="G30" s="155">
        <v>2.4673294982209954E-2</v>
      </c>
      <c r="H30" s="155">
        <v>2.9001468428781204E-2</v>
      </c>
      <c r="I30" s="155">
        <v>2.3059636992221261E-2</v>
      </c>
      <c r="J30" s="155">
        <v>2.7575258701787394E-2</v>
      </c>
      <c r="K30" s="155">
        <v>2.4187506689022868E-2</v>
      </c>
      <c r="L30" s="155">
        <v>2.4220785486828138E-2</v>
      </c>
      <c r="M30" s="155">
        <v>3.270295977172271E-2</v>
      </c>
      <c r="N30" s="155">
        <v>3.7232804760480034E-2</v>
      </c>
      <c r="O30" s="155">
        <v>3.8896323927218882E-2</v>
      </c>
      <c r="P30" s="155">
        <v>3.5205215587494447E-2</v>
      </c>
      <c r="Q30" s="155">
        <v>3.2082190917399389E-2</v>
      </c>
      <c r="R30" s="155">
        <v>3.2965208004650005E-2</v>
      </c>
      <c r="S30" s="155">
        <v>4.3999778895583437E-2</v>
      </c>
      <c r="T30" s="155">
        <v>4.6968183763732345E-2</v>
      </c>
      <c r="U30" s="155">
        <v>2.8933235046335298E-2</v>
      </c>
      <c r="V30" s="155">
        <v>4.5844094857947874E-2</v>
      </c>
      <c r="W30" s="155">
        <v>3.212756533293961E-2</v>
      </c>
      <c r="X30" s="155">
        <v>4.0340439155838959E-2</v>
      </c>
      <c r="Y30" s="155">
        <v>5.3592636579572445E-2</v>
      </c>
      <c r="Z30" s="155"/>
      <c r="AA30" s="155"/>
      <c r="AB30" s="149"/>
      <c r="AC30" s="156">
        <f t="shared" si="2"/>
        <v>0.39205854814149377</v>
      </c>
      <c r="AD30" s="156">
        <f t="shared" si="3"/>
        <v>3.9205854814149378E-2</v>
      </c>
      <c r="AE30" s="123"/>
      <c r="AF30" s="123"/>
      <c r="AG30" s="123"/>
      <c r="AH30" s="123"/>
      <c r="AI30" s="123"/>
      <c r="AJ30" s="123"/>
      <c r="AK30" s="123"/>
    </row>
    <row r="31" spans="1:38" ht="14.25" customHeight="1" x14ac:dyDescent="0.2">
      <c r="A31" s="123"/>
      <c r="B31" s="126" t="s">
        <v>125</v>
      </c>
      <c r="C31" s="125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123"/>
      <c r="AC31" s="148"/>
      <c r="AD31" s="148"/>
      <c r="AE31" s="123"/>
      <c r="AF31" s="123"/>
      <c r="AG31" s="123"/>
      <c r="AH31" s="123"/>
      <c r="AI31" s="123"/>
      <c r="AJ31" s="123"/>
      <c r="AK31" s="123"/>
    </row>
    <row r="32" spans="1:38" ht="14.25" customHeight="1" x14ac:dyDescent="0.2">
      <c r="A32" s="123"/>
      <c r="B32" s="138" t="s">
        <v>126</v>
      </c>
      <c r="C32" s="138"/>
      <c r="D32" s="143">
        <v>875351</v>
      </c>
      <c r="E32" s="143">
        <v>695678</v>
      </c>
      <c r="F32" s="143">
        <v>935908</v>
      </c>
      <c r="G32" s="143">
        <v>959844</v>
      </c>
      <c r="H32" s="143">
        <v>1070080</v>
      </c>
      <c r="I32" s="143">
        <v>221871</v>
      </c>
      <c r="J32" s="143">
        <v>262425</v>
      </c>
      <c r="K32" s="143">
        <v>982945</v>
      </c>
      <c r="L32" s="143">
        <v>1101349</v>
      </c>
      <c r="M32" s="143">
        <v>274623</v>
      </c>
      <c r="N32" s="143">
        <v>211074</v>
      </c>
      <c r="O32" s="143">
        <v>518807</v>
      </c>
      <c r="P32" s="143">
        <v>127200</v>
      </c>
      <c r="Q32" s="143">
        <v>140780</v>
      </c>
      <c r="R32" s="143">
        <v>171991</v>
      </c>
      <c r="S32" s="143">
        <v>199660</v>
      </c>
      <c r="T32" s="143">
        <v>221788</v>
      </c>
      <c r="U32" s="143">
        <v>278464</v>
      </c>
      <c r="V32" s="143">
        <v>275458</v>
      </c>
      <c r="W32" s="143">
        <v>222690</v>
      </c>
      <c r="X32" s="143">
        <v>234938</v>
      </c>
      <c r="Y32" s="143">
        <v>250666</v>
      </c>
      <c r="Z32" s="143"/>
      <c r="AA32" s="143"/>
      <c r="AB32" s="157"/>
      <c r="AC32" s="145">
        <f t="shared" ref="AC32:AC37" si="4">SUM(P32:AA32)</f>
        <v>2123635</v>
      </c>
      <c r="AD32" s="145">
        <f t="shared" ref="AD32:AD37" si="5">IFERROR(AC32/(COUNT(P32:AA32)),0)</f>
        <v>212363.5</v>
      </c>
      <c r="AE32" s="123"/>
      <c r="AF32" s="123"/>
      <c r="AG32" s="123"/>
      <c r="AH32" s="123"/>
      <c r="AI32" s="123"/>
      <c r="AJ32" s="123"/>
      <c r="AK32" s="123"/>
      <c r="AL32" s="123"/>
    </row>
    <row r="33" spans="1:38" ht="14.25" customHeight="1" x14ac:dyDescent="0.2">
      <c r="A33" s="123"/>
      <c r="B33" s="138" t="s">
        <v>127</v>
      </c>
      <c r="C33" s="138"/>
      <c r="D33" s="143">
        <v>266088</v>
      </c>
      <c r="E33" s="143">
        <v>316572</v>
      </c>
      <c r="F33" s="143">
        <v>180480</v>
      </c>
      <c r="G33" s="143">
        <v>202781</v>
      </c>
      <c r="H33" s="143">
        <v>234509</v>
      </c>
      <c r="I33" s="143">
        <v>865284</v>
      </c>
      <c r="J33" s="143">
        <v>1066962</v>
      </c>
      <c r="K33" s="143">
        <v>71015</v>
      </c>
      <c r="L33" s="143">
        <v>26057</v>
      </c>
      <c r="M33" s="143">
        <v>5981</v>
      </c>
      <c r="N33" s="143">
        <v>107951</v>
      </c>
      <c r="O33" s="143">
        <v>122026</v>
      </c>
      <c r="P33" s="143">
        <v>417288</v>
      </c>
      <c r="Q33" s="143">
        <v>491685</v>
      </c>
      <c r="R33" s="143">
        <v>589280</v>
      </c>
      <c r="S33" s="143">
        <v>504829</v>
      </c>
      <c r="T33" s="143">
        <v>466967</v>
      </c>
      <c r="U33" s="143">
        <v>560507</v>
      </c>
      <c r="V33" s="143">
        <v>557646</v>
      </c>
      <c r="W33" s="143">
        <v>444768</v>
      </c>
      <c r="X33" s="143">
        <v>507030</v>
      </c>
      <c r="Y33" s="143">
        <v>523745</v>
      </c>
      <c r="Z33" s="143"/>
      <c r="AA33" s="143"/>
      <c r="AB33" s="157"/>
      <c r="AC33" s="145">
        <f t="shared" si="4"/>
        <v>5063745</v>
      </c>
      <c r="AD33" s="145">
        <f t="shared" si="5"/>
        <v>506374.5</v>
      </c>
      <c r="AE33" s="123"/>
      <c r="AF33" s="123"/>
      <c r="AG33" s="123"/>
      <c r="AH33" s="123"/>
      <c r="AI33" s="123"/>
      <c r="AJ33" s="123"/>
      <c r="AK33" s="123"/>
      <c r="AL33" s="123"/>
    </row>
    <row r="34" spans="1:38" ht="14.25" customHeight="1" x14ac:dyDescent="0.2">
      <c r="A34" s="123"/>
      <c r="B34" s="138" t="s">
        <v>128</v>
      </c>
      <c r="C34" s="138"/>
      <c r="D34" s="143">
        <v>104556</v>
      </c>
      <c r="E34" s="143">
        <v>89842</v>
      </c>
      <c r="F34" s="143">
        <v>96324</v>
      </c>
      <c r="G34" s="143">
        <v>103965</v>
      </c>
      <c r="H34" s="143">
        <v>123933</v>
      </c>
      <c r="I34" s="143">
        <v>121301</v>
      </c>
      <c r="J34" s="143">
        <v>143473</v>
      </c>
      <c r="K34" s="143">
        <v>111850</v>
      </c>
      <c r="L34" s="143">
        <v>94987</v>
      </c>
      <c r="M34" s="143">
        <v>3469</v>
      </c>
      <c r="N34" s="143">
        <v>1229</v>
      </c>
      <c r="O34" s="143">
        <v>45922</v>
      </c>
      <c r="P34" s="143">
        <v>40</v>
      </c>
      <c r="Q34" s="143">
        <v>3582</v>
      </c>
      <c r="R34" s="143">
        <v>6434</v>
      </c>
      <c r="S34" s="143">
        <v>5495</v>
      </c>
      <c r="T34" s="143">
        <v>35</v>
      </c>
      <c r="U34" s="143">
        <v>0</v>
      </c>
      <c r="V34" s="143">
        <v>0</v>
      </c>
      <c r="W34" s="143">
        <v>0</v>
      </c>
      <c r="X34" s="143">
        <v>0</v>
      </c>
      <c r="Y34" s="143">
        <v>0</v>
      </c>
      <c r="Z34" s="143"/>
      <c r="AA34" s="143"/>
      <c r="AB34" s="157"/>
      <c r="AC34" s="145">
        <f t="shared" si="4"/>
        <v>15586</v>
      </c>
      <c r="AD34" s="145">
        <f t="shared" si="5"/>
        <v>1558.6</v>
      </c>
      <c r="AE34" s="123"/>
      <c r="AF34" s="123"/>
      <c r="AG34" s="123"/>
      <c r="AH34" s="123"/>
      <c r="AI34" s="123"/>
      <c r="AJ34" s="123"/>
      <c r="AK34" s="123"/>
      <c r="AL34" s="123"/>
    </row>
    <row r="35" spans="1:38" ht="14.25" customHeight="1" x14ac:dyDescent="0.2">
      <c r="A35" s="123"/>
      <c r="B35" s="138" t="s">
        <v>129</v>
      </c>
      <c r="C35" s="138"/>
      <c r="D35" s="143">
        <v>1036883</v>
      </c>
      <c r="E35" s="143">
        <v>922408</v>
      </c>
      <c r="F35" s="143">
        <v>1020064</v>
      </c>
      <c r="G35" s="143">
        <v>1058660</v>
      </c>
      <c r="H35" s="143">
        <v>1180656</v>
      </c>
      <c r="I35" s="143">
        <v>965854</v>
      </c>
      <c r="J35" s="143">
        <v>1185914</v>
      </c>
      <c r="K35" s="143">
        <v>942110</v>
      </c>
      <c r="L35" s="143">
        <v>1032419</v>
      </c>
      <c r="M35" s="143">
        <v>277135</v>
      </c>
      <c r="N35" s="143">
        <v>317796</v>
      </c>
      <c r="O35" s="143">
        <v>594911</v>
      </c>
      <c r="P35" s="143">
        <v>544448</v>
      </c>
      <c r="Q35" s="143">
        <v>628883</v>
      </c>
      <c r="R35" s="143">
        <v>754837</v>
      </c>
      <c r="S35" s="143">
        <v>698994</v>
      </c>
      <c r="T35" s="143">
        <v>688720</v>
      </c>
      <c r="U35" s="143">
        <v>838971</v>
      </c>
      <c r="V35" s="143">
        <v>833104</v>
      </c>
      <c r="W35" s="143">
        <v>667458</v>
      </c>
      <c r="X35" s="143">
        <v>741968</v>
      </c>
      <c r="Y35" s="143">
        <v>774411</v>
      </c>
      <c r="Z35" s="143"/>
      <c r="AA35" s="143"/>
      <c r="AB35" s="157"/>
      <c r="AC35" s="145">
        <f t="shared" si="4"/>
        <v>7171794</v>
      </c>
      <c r="AD35" s="145">
        <f t="shared" si="5"/>
        <v>717179.4</v>
      </c>
      <c r="AE35" s="123"/>
      <c r="AF35" s="123"/>
      <c r="AG35" s="123"/>
      <c r="AH35" s="123"/>
      <c r="AI35" s="123"/>
      <c r="AJ35" s="123"/>
      <c r="AK35" s="123"/>
      <c r="AL35" s="123"/>
    </row>
    <row r="36" spans="1:38" ht="14.25" customHeight="1" x14ac:dyDescent="0.2">
      <c r="A36" s="123"/>
      <c r="B36" s="138" t="s">
        <v>130</v>
      </c>
      <c r="C36" s="138"/>
      <c r="D36" s="143">
        <v>83345</v>
      </c>
      <c r="E36" s="143">
        <v>72663</v>
      </c>
      <c r="F36" s="143">
        <v>83089</v>
      </c>
      <c r="G36" s="143">
        <v>91282</v>
      </c>
      <c r="H36" s="143">
        <v>99695</v>
      </c>
      <c r="I36" s="143">
        <v>91115</v>
      </c>
      <c r="J36" s="143">
        <v>111251</v>
      </c>
      <c r="K36" s="143">
        <v>80431</v>
      </c>
      <c r="L36" s="143">
        <v>82644</v>
      </c>
      <c r="M36" s="143">
        <v>66151</v>
      </c>
      <c r="N36" s="143">
        <v>4721</v>
      </c>
      <c r="O36" s="143">
        <v>128766</v>
      </c>
      <c r="P36" s="143">
        <v>7772</v>
      </c>
      <c r="Q36" s="143">
        <v>2086</v>
      </c>
      <c r="R36" s="143">
        <v>2814</v>
      </c>
      <c r="S36" s="143">
        <v>3342</v>
      </c>
      <c r="T36" s="143">
        <v>1988</v>
      </c>
      <c r="U36" s="143">
        <v>2438</v>
      </c>
      <c r="V36" s="143">
        <v>2751</v>
      </c>
      <c r="W36" s="143">
        <v>2734</v>
      </c>
      <c r="X36" s="143">
        <v>2483</v>
      </c>
      <c r="Y36" s="143">
        <v>3536</v>
      </c>
      <c r="Z36" s="143"/>
      <c r="AA36" s="143"/>
      <c r="AB36" s="157"/>
      <c r="AC36" s="145">
        <f t="shared" si="4"/>
        <v>31944</v>
      </c>
      <c r="AD36" s="145">
        <f t="shared" si="5"/>
        <v>3194.4</v>
      </c>
      <c r="AE36" s="123"/>
      <c r="AF36" s="123"/>
      <c r="AG36" s="123"/>
      <c r="AH36" s="123"/>
      <c r="AI36" s="123"/>
      <c r="AJ36" s="123"/>
      <c r="AK36" s="123"/>
      <c r="AL36" s="123"/>
    </row>
    <row r="37" spans="1:38" ht="14.25" customHeight="1" x14ac:dyDescent="0.2">
      <c r="A37" s="123"/>
      <c r="B37" s="138" t="s">
        <v>131</v>
      </c>
      <c r="C37" s="138"/>
      <c r="D37" s="143">
        <v>1224784</v>
      </c>
      <c r="E37" s="143">
        <v>1084913</v>
      </c>
      <c r="F37" s="143">
        <v>1199477</v>
      </c>
      <c r="G37" s="143">
        <v>1253907</v>
      </c>
      <c r="H37" s="143">
        <v>1404284</v>
      </c>
      <c r="I37" s="143">
        <v>1178270</v>
      </c>
      <c r="J37" s="143">
        <v>1440638</v>
      </c>
      <c r="K37" s="143">
        <v>1134391</v>
      </c>
      <c r="L37" s="143">
        <v>1210050</v>
      </c>
      <c r="M37" s="143">
        <v>346755</v>
      </c>
      <c r="N37" s="143">
        <v>323746</v>
      </c>
      <c r="O37" s="143">
        <v>769599</v>
      </c>
      <c r="P37" s="143">
        <v>552260</v>
      </c>
      <c r="Q37" s="143">
        <v>634551</v>
      </c>
      <c r="R37" s="143">
        <v>764085</v>
      </c>
      <c r="S37" s="143">
        <v>707831</v>
      </c>
      <c r="T37" s="143">
        <v>690743</v>
      </c>
      <c r="U37" s="143">
        <v>841409</v>
      </c>
      <c r="V37" s="143">
        <v>835855</v>
      </c>
      <c r="W37" s="143">
        <v>670192</v>
      </c>
      <c r="X37" s="143">
        <v>744451</v>
      </c>
      <c r="Y37" s="143">
        <v>777947</v>
      </c>
      <c r="Z37" s="143"/>
      <c r="AA37" s="143"/>
      <c r="AB37" s="157"/>
      <c r="AC37" s="145">
        <f t="shared" si="4"/>
        <v>7219324</v>
      </c>
      <c r="AD37" s="145">
        <f t="shared" si="5"/>
        <v>721932.4</v>
      </c>
      <c r="AE37" s="123"/>
      <c r="AF37" s="123"/>
      <c r="AG37" s="123"/>
      <c r="AH37" s="123"/>
      <c r="AI37" s="123"/>
      <c r="AJ37" s="123"/>
      <c r="AK37" s="123"/>
      <c r="AL37" s="123"/>
    </row>
    <row r="38" spans="1:38" ht="14.25" customHeight="1" x14ac:dyDescent="0.2">
      <c r="A38" s="123"/>
      <c r="B38" s="126" t="s">
        <v>132</v>
      </c>
      <c r="C38" s="123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0"/>
      <c r="AC38" s="148"/>
      <c r="AD38" s="148"/>
      <c r="AE38" s="123"/>
      <c r="AF38" s="123"/>
      <c r="AG38" s="123"/>
      <c r="AH38" s="123"/>
      <c r="AI38" s="123"/>
      <c r="AJ38" s="123"/>
      <c r="AK38" s="123"/>
    </row>
    <row r="39" spans="1:38" ht="14.25" customHeight="1" x14ac:dyDescent="0.2">
      <c r="A39" s="150"/>
      <c r="B39" s="158" t="s">
        <v>86</v>
      </c>
      <c r="C39" s="158"/>
      <c r="D39" s="152">
        <v>20429</v>
      </c>
      <c r="E39" s="152">
        <v>19281</v>
      </c>
      <c r="F39" s="152">
        <v>19846</v>
      </c>
      <c r="G39" s="152">
        <v>22267</v>
      </c>
      <c r="H39" s="152">
        <v>21698</v>
      </c>
      <c r="I39" s="152">
        <v>19936</v>
      </c>
      <c r="J39" s="152">
        <v>23075</v>
      </c>
      <c r="K39" s="152">
        <v>20984</v>
      </c>
      <c r="L39" s="152">
        <v>21885</v>
      </c>
      <c r="M39" s="152">
        <v>25103</v>
      </c>
      <c r="N39" s="152">
        <v>22036</v>
      </c>
      <c r="O39" s="152">
        <v>22791</v>
      </c>
      <c r="P39" s="152">
        <v>25957</v>
      </c>
      <c r="Q39" s="152">
        <v>22756</v>
      </c>
      <c r="R39" s="152">
        <v>26373</v>
      </c>
      <c r="S39" s="152">
        <v>26294</v>
      </c>
      <c r="T39" s="152">
        <v>25887</v>
      </c>
      <c r="U39" s="152">
        <v>28914</v>
      </c>
      <c r="V39" s="152">
        <v>29891</v>
      </c>
      <c r="W39" s="152">
        <v>28894</v>
      </c>
      <c r="X39" s="152">
        <v>32221</v>
      </c>
      <c r="Y39" s="152">
        <v>35977</v>
      </c>
      <c r="Z39" s="152"/>
      <c r="AA39" s="152"/>
      <c r="AB39" s="159"/>
      <c r="AC39" s="154">
        <f t="shared" ref="AC39:AC41" si="6">SUM(P39:AA39)</f>
        <v>283164</v>
      </c>
      <c r="AD39" s="154">
        <f t="shared" ref="AD39:AD41" si="7">IFERROR(AC39/(COUNT(P39:AA39)),0)</f>
        <v>28316.400000000001</v>
      </c>
      <c r="AE39" s="150"/>
      <c r="AF39" s="150"/>
      <c r="AG39" s="150"/>
      <c r="AH39" s="150"/>
      <c r="AI39" s="150"/>
      <c r="AJ39" s="150"/>
      <c r="AK39" s="150"/>
      <c r="AL39" s="150"/>
    </row>
    <row r="40" spans="1:38" ht="14.25" customHeight="1" x14ac:dyDescent="0.2">
      <c r="A40" s="123"/>
      <c r="B40" s="160" t="s">
        <v>133</v>
      </c>
      <c r="C40" s="161"/>
      <c r="D40" s="162">
        <v>0</v>
      </c>
      <c r="E40" s="162">
        <v>0</v>
      </c>
      <c r="F40" s="162">
        <v>0</v>
      </c>
      <c r="G40" s="162">
        <v>0</v>
      </c>
      <c r="H40" s="162">
        <v>0</v>
      </c>
      <c r="I40" s="162">
        <v>0</v>
      </c>
      <c r="J40" s="162">
        <v>0</v>
      </c>
      <c r="K40" s="162">
        <v>0</v>
      </c>
      <c r="L40" s="162">
        <v>0</v>
      </c>
      <c r="M40" s="162">
        <v>0</v>
      </c>
      <c r="N40" s="162">
        <v>0</v>
      </c>
      <c r="O40" s="162">
        <v>0</v>
      </c>
      <c r="P40" s="162">
        <v>0</v>
      </c>
      <c r="Q40" s="162">
        <v>0</v>
      </c>
      <c r="R40" s="162">
        <v>0</v>
      </c>
      <c r="S40" s="162">
        <v>0</v>
      </c>
      <c r="T40" s="162">
        <v>0</v>
      </c>
      <c r="U40" s="162">
        <v>0</v>
      </c>
      <c r="V40" s="162">
        <v>0</v>
      </c>
      <c r="W40" s="162">
        <v>0</v>
      </c>
      <c r="X40" s="162">
        <v>0</v>
      </c>
      <c r="Y40" s="162">
        <v>0</v>
      </c>
      <c r="Z40" s="162"/>
      <c r="AA40" s="162"/>
      <c r="AB40" s="163"/>
      <c r="AC40" s="156">
        <f t="shared" si="6"/>
        <v>0</v>
      </c>
      <c r="AD40" s="156">
        <f t="shared" si="7"/>
        <v>0</v>
      </c>
      <c r="AE40" s="123"/>
      <c r="AF40" s="123"/>
      <c r="AG40" s="123"/>
      <c r="AH40" s="123"/>
      <c r="AI40" s="123"/>
      <c r="AJ40" s="123"/>
      <c r="AK40" s="123"/>
    </row>
    <row r="41" spans="1:38" ht="14.25" customHeight="1" x14ac:dyDescent="0.2">
      <c r="A41" s="123"/>
      <c r="B41" s="160" t="s">
        <v>134</v>
      </c>
      <c r="C41" s="161"/>
      <c r="D41" s="162">
        <v>0.98673454403054484</v>
      </c>
      <c r="E41" s="162">
        <v>0.98599657694103005</v>
      </c>
      <c r="F41" s="162">
        <v>0.98584097551143812</v>
      </c>
      <c r="G41" s="162">
        <v>0.98913189922306555</v>
      </c>
      <c r="H41" s="162">
        <v>0.98990690386210711</v>
      </c>
      <c r="I41" s="162">
        <v>0.99026886035313</v>
      </c>
      <c r="J41" s="162">
        <v>0.99120260021668471</v>
      </c>
      <c r="K41" s="162">
        <v>0.99270873046130381</v>
      </c>
      <c r="L41" s="162">
        <v>0.9918665752798721</v>
      </c>
      <c r="M41" s="162">
        <v>0.99255069115245187</v>
      </c>
      <c r="N41" s="162">
        <v>0.98947177346160831</v>
      </c>
      <c r="O41" s="162">
        <v>0.98828484928261151</v>
      </c>
      <c r="P41" s="162">
        <v>0.99318103016527337</v>
      </c>
      <c r="Q41" s="162">
        <v>0.98778344172965371</v>
      </c>
      <c r="R41" s="162">
        <v>0.99472945815796454</v>
      </c>
      <c r="S41" s="162">
        <v>0.99353464668745717</v>
      </c>
      <c r="T41" s="162">
        <v>0.99300807355043075</v>
      </c>
      <c r="U41" s="162">
        <v>0.98931313550529154</v>
      </c>
      <c r="V41" s="162">
        <v>0.99484794754273864</v>
      </c>
      <c r="W41" s="162">
        <v>0.99186682356198519</v>
      </c>
      <c r="X41" s="162">
        <v>0.99515843704416374</v>
      </c>
      <c r="Y41" s="162">
        <v>0.99508019012146653</v>
      </c>
      <c r="Z41" s="162"/>
      <c r="AA41" s="162"/>
      <c r="AB41" s="163"/>
      <c r="AC41" s="156">
        <f t="shared" si="6"/>
        <v>9.9285031840664271</v>
      </c>
      <c r="AD41" s="156">
        <f t="shared" si="7"/>
        <v>0.99285031840664273</v>
      </c>
      <c r="AE41" s="123"/>
      <c r="AF41" s="123"/>
      <c r="AG41" s="123"/>
      <c r="AH41" s="123"/>
      <c r="AI41" s="123"/>
      <c r="AJ41" s="123"/>
      <c r="AK41" s="123"/>
    </row>
    <row r="42" spans="1:38" ht="14.25" customHeight="1" x14ac:dyDescent="0.2">
      <c r="A42" s="123"/>
      <c r="B42" s="126" t="s">
        <v>135</v>
      </c>
      <c r="C42" s="125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23"/>
      <c r="AC42" s="148"/>
      <c r="AD42" s="148"/>
      <c r="AE42" s="123"/>
      <c r="AF42" s="123"/>
      <c r="AG42" s="123"/>
      <c r="AH42" s="123"/>
      <c r="AI42" s="123"/>
      <c r="AJ42" s="123"/>
      <c r="AK42" s="123"/>
    </row>
    <row r="43" spans="1:38" ht="14.25" customHeight="1" x14ac:dyDescent="0.2">
      <c r="A43" s="123"/>
      <c r="B43" s="164" t="s">
        <v>136</v>
      </c>
      <c r="C43" s="165"/>
      <c r="D43" s="166">
        <v>271</v>
      </c>
      <c r="E43" s="167">
        <v>270</v>
      </c>
      <c r="F43" s="167">
        <v>281</v>
      </c>
      <c r="G43" s="167">
        <v>242</v>
      </c>
      <c r="H43" s="167">
        <v>219</v>
      </c>
      <c r="I43" s="167">
        <v>194</v>
      </c>
      <c r="J43" s="167">
        <v>203</v>
      </c>
      <c r="K43" s="167">
        <v>153</v>
      </c>
      <c r="L43" s="167">
        <v>178</v>
      </c>
      <c r="M43" s="167">
        <v>187</v>
      </c>
      <c r="N43" s="167">
        <v>232</v>
      </c>
      <c r="O43" s="167">
        <v>267</v>
      </c>
      <c r="P43" s="167">
        <v>177</v>
      </c>
      <c r="Q43" s="167">
        <v>278</v>
      </c>
      <c r="R43" s="167">
        <v>139</v>
      </c>
      <c r="S43" s="167">
        <v>170</v>
      </c>
      <c r="T43" s="167">
        <v>181</v>
      </c>
      <c r="U43" s="167">
        <v>309</v>
      </c>
      <c r="V43" s="167">
        <v>154</v>
      </c>
      <c r="W43" s="167">
        <v>235</v>
      </c>
      <c r="X43" s="167">
        <v>156</v>
      </c>
      <c r="Y43" s="167">
        <v>177</v>
      </c>
      <c r="Z43" s="167"/>
      <c r="AA43" s="167"/>
      <c r="AB43" s="163"/>
      <c r="AC43" s="141">
        <f t="shared" ref="AC43:AC49" si="8">SUM(P43:AA43)</f>
        <v>1976</v>
      </c>
      <c r="AD43" s="141">
        <f t="shared" ref="AD43:AD49" si="9">IFERROR(AC43/(COUNT(P43:AA43)),0)</f>
        <v>197.6</v>
      </c>
      <c r="AE43" s="123"/>
      <c r="AF43" s="123"/>
      <c r="AG43" s="123"/>
      <c r="AH43" s="123"/>
      <c r="AI43" s="123"/>
      <c r="AJ43" s="123"/>
      <c r="AK43" s="123"/>
    </row>
    <row r="44" spans="1:38" ht="14.25" customHeight="1" x14ac:dyDescent="0.2">
      <c r="A44" s="123"/>
      <c r="B44" s="164" t="s">
        <v>138</v>
      </c>
      <c r="C44" s="165"/>
      <c r="D44" s="166">
        <v>259</v>
      </c>
      <c r="E44" s="167">
        <v>262</v>
      </c>
      <c r="F44" s="167">
        <v>269</v>
      </c>
      <c r="G44" s="167">
        <v>222</v>
      </c>
      <c r="H44" s="167">
        <v>209</v>
      </c>
      <c r="I44" s="167"/>
      <c r="J44" s="167"/>
      <c r="K44" s="167"/>
      <c r="L44" s="167"/>
      <c r="M44" s="167"/>
      <c r="N44" s="167"/>
      <c r="O44" s="167"/>
      <c r="P44" s="167"/>
      <c r="Q44" s="167">
        <v>0.10625</v>
      </c>
      <c r="R44" s="167"/>
      <c r="S44" s="167"/>
      <c r="T44" s="167"/>
      <c r="U44" s="167"/>
      <c r="V44" s="167"/>
      <c r="W44" s="167">
        <v>0.10833333333333334</v>
      </c>
      <c r="X44" s="167"/>
      <c r="Y44" s="167"/>
      <c r="Z44" s="167"/>
      <c r="AA44" s="167"/>
      <c r="AB44" s="163"/>
      <c r="AC44" s="141">
        <f t="shared" si="8"/>
        <v>0.21458333333333335</v>
      </c>
      <c r="AD44" s="141">
        <f t="shared" si="9"/>
        <v>0.10729166666666667</v>
      </c>
      <c r="AE44" s="123"/>
      <c r="AF44" s="123"/>
      <c r="AG44" s="123"/>
      <c r="AH44" s="123"/>
      <c r="AI44" s="123"/>
      <c r="AJ44" s="123"/>
      <c r="AK44" s="123"/>
    </row>
    <row r="45" spans="1:38" ht="14.25" customHeight="1" x14ac:dyDescent="0.2">
      <c r="A45" s="123"/>
      <c r="B45" s="164" t="s">
        <v>140</v>
      </c>
      <c r="C45" s="165"/>
      <c r="D45" s="168">
        <v>3.2</v>
      </c>
      <c r="E45" s="168">
        <v>2.4900000000000002</v>
      </c>
      <c r="F45" s="168">
        <v>3.1</v>
      </c>
      <c r="G45" s="168">
        <v>2.5</v>
      </c>
      <c r="H45" s="168">
        <v>3.04</v>
      </c>
      <c r="I45" s="168">
        <v>2.4300000000000002</v>
      </c>
      <c r="J45" s="168">
        <v>2.44</v>
      </c>
      <c r="K45" s="168">
        <v>2.34</v>
      </c>
      <c r="L45" s="168">
        <v>2.35</v>
      </c>
      <c r="M45" s="168">
        <v>2.5499999999999998</v>
      </c>
      <c r="N45" s="168">
        <v>2.4</v>
      </c>
      <c r="O45" s="168">
        <v>2.3199999999999998</v>
      </c>
      <c r="P45" s="168">
        <v>2.57</v>
      </c>
      <c r="Q45" s="168">
        <v>2.33</v>
      </c>
      <c r="R45" s="168">
        <v>2.5</v>
      </c>
      <c r="S45" s="168">
        <v>2.59</v>
      </c>
      <c r="T45" s="168">
        <v>3.05</v>
      </c>
      <c r="U45" s="168">
        <v>1.44</v>
      </c>
      <c r="V45" s="168">
        <v>2.46</v>
      </c>
      <c r="W45" s="168">
        <v>2.36</v>
      </c>
      <c r="X45" s="168">
        <v>2.2599999999999998</v>
      </c>
      <c r="Y45" s="168">
        <v>2.41</v>
      </c>
      <c r="Z45" s="168"/>
      <c r="AA45" s="168"/>
      <c r="AB45" s="163"/>
      <c r="AC45" s="169">
        <f t="shared" si="8"/>
        <v>23.969999999999995</v>
      </c>
      <c r="AD45" s="169">
        <f t="shared" si="9"/>
        <v>2.3969999999999994</v>
      </c>
      <c r="AE45" s="123"/>
      <c r="AF45" s="123"/>
      <c r="AG45" s="123"/>
      <c r="AH45" s="123"/>
      <c r="AI45" s="123"/>
      <c r="AJ45" s="123"/>
      <c r="AK45" s="123"/>
    </row>
    <row r="46" spans="1:38" ht="14.25" customHeight="1" x14ac:dyDescent="0.2">
      <c r="A46" s="123"/>
      <c r="B46" s="164" t="s">
        <v>141</v>
      </c>
      <c r="C46" s="165"/>
      <c r="D46" s="166">
        <v>225</v>
      </c>
      <c r="E46" s="167">
        <v>203</v>
      </c>
      <c r="F46" s="167">
        <v>154</v>
      </c>
      <c r="G46" s="167">
        <v>150</v>
      </c>
      <c r="H46" s="167">
        <v>185</v>
      </c>
      <c r="I46" s="167">
        <v>189</v>
      </c>
      <c r="J46" s="167">
        <v>195</v>
      </c>
      <c r="K46" s="167">
        <v>137</v>
      </c>
      <c r="L46" s="167">
        <v>158</v>
      </c>
      <c r="M46" s="167">
        <v>164</v>
      </c>
      <c r="N46" s="167">
        <v>197</v>
      </c>
      <c r="O46" s="167">
        <v>217</v>
      </c>
      <c r="P46" s="167">
        <v>142</v>
      </c>
      <c r="Q46" s="167">
        <v>232</v>
      </c>
      <c r="R46" s="167">
        <v>125</v>
      </c>
      <c r="S46" s="167">
        <v>168</v>
      </c>
      <c r="T46" s="167">
        <v>160</v>
      </c>
      <c r="U46" s="167">
        <v>285</v>
      </c>
      <c r="V46" s="167">
        <v>133</v>
      </c>
      <c r="W46" s="167">
        <v>227</v>
      </c>
      <c r="X46" s="167">
        <v>147</v>
      </c>
      <c r="Y46" s="167">
        <v>171</v>
      </c>
      <c r="Z46" s="167"/>
      <c r="AA46" s="167"/>
      <c r="AB46" s="163"/>
      <c r="AC46" s="141">
        <f t="shared" si="8"/>
        <v>1790</v>
      </c>
      <c r="AD46" s="141">
        <f t="shared" si="9"/>
        <v>179</v>
      </c>
      <c r="AE46" s="123"/>
      <c r="AF46" s="123"/>
      <c r="AG46" s="123"/>
      <c r="AH46" s="123"/>
      <c r="AI46" s="123"/>
      <c r="AJ46" s="123"/>
      <c r="AK46" s="123"/>
    </row>
    <row r="47" spans="1:38" ht="14.25" customHeight="1" x14ac:dyDescent="0.2">
      <c r="A47" s="123"/>
      <c r="B47" s="164" t="s">
        <v>143</v>
      </c>
      <c r="C47" s="165"/>
      <c r="D47" s="166">
        <v>3</v>
      </c>
      <c r="E47" s="167">
        <v>8</v>
      </c>
      <c r="F47" s="167">
        <v>11</v>
      </c>
      <c r="G47" s="167">
        <v>16</v>
      </c>
      <c r="H47" s="167">
        <v>7</v>
      </c>
      <c r="I47" s="167">
        <v>1</v>
      </c>
      <c r="J47" s="167">
        <v>1</v>
      </c>
      <c r="K47" s="167">
        <v>1</v>
      </c>
      <c r="L47" s="167">
        <v>5</v>
      </c>
      <c r="M47" s="167">
        <v>2</v>
      </c>
      <c r="N47" s="167">
        <v>4</v>
      </c>
      <c r="O47" s="167">
        <v>4</v>
      </c>
      <c r="P47" s="167">
        <v>3</v>
      </c>
      <c r="Q47" s="167">
        <v>5</v>
      </c>
      <c r="R47" s="167">
        <v>8</v>
      </c>
      <c r="S47" s="167">
        <v>2</v>
      </c>
      <c r="T47" s="167">
        <v>1</v>
      </c>
      <c r="U47" s="167">
        <v>4</v>
      </c>
      <c r="V47" s="167">
        <v>2</v>
      </c>
      <c r="W47" s="167">
        <v>2</v>
      </c>
      <c r="X47" s="167">
        <v>1</v>
      </c>
      <c r="Y47" s="167">
        <v>1</v>
      </c>
      <c r="Z47" s="167"/>
      <c r="AA47" s="167"/>
      <c r="AB47" s="163"/>
      <c r="AC47" s="141">
        <f t="shared" si="8"/>
        <v>29</v>
      </c>
      <c r="AD47" s="141">
        <f t="shared" si="9"/>
        <v>2.9</v>
      </c>
      <c r="AE47" s="123"/>
      <c r="AF47" s="123"/>
      <c r="AG47" s="123"/>
      <c r="AH47" s="123"/>
      <c r="AI47" s="123"/>
      <c r="AJ47" s="123"/>
      <c r="AK47" s="123"/>
    </row>
    <row r="48" spans="1:38" ht="14.25" customHeight="1" x14ac:dyDescent="0.2">
      <c r="A48" s="123"/>
      <c r="B48" s="164" t="s">
        <v>145</v>
      </c>
      <c r="C48" s="165"/>
      <c r="D48" s="170">
        <v>0.01</v>
      </c>
      <c r="E48" s="171">
        <v>0.03</v>
      </c>
      <c r="F48" s="171">
        <v>3.9145907473309607E-2</v>
      </c>
      <c r="G48" s="171">
        <v>6.6115702479338845E-2</v>
      </c>
      <c r="H48" s="171">
        <v>3.1963470319634701E-2</v>
      </c>
      <c r="I48" s="171">
        <v>5.1546391752577319E-3</v>
      </c>
      <c r="J48" s="171">
        <v>4.9261083743842365E-3</v>
      </c>
      <c r="K48" s="171">
        <v>0.01</v>
      </c>
      <c r="L48" s="171">
        <v>2.8089887640449437E-2</v>
      </c>
      <c r="M48" s="171">
        <v>0.01</v>
      </c>
      <c r="N48" s="171">
        <v>0.01</v>
      </c>
      <c r="O48" s="171">
        <v>0.02</v>
      </c>
      <c r="P48" s="171" t="s">
        <v>247</v>
      </c>
      <c r="Q48" s="171">
        <v>0.02</v>
      </c>
      <c r="R48" s="171">
        <v>5.7553956834532377E-2</v>
      </c>
      <c r="S48" s="171">
        <v>1.1764705882352941E-2</v>
      </c>
      <c r="T48" s="171">
        <v>5.5248618784530384E-3</v>
      </c>
      <c r="U48" s="171">
        <v>1.2944983818770227E-2</v>
      </c>
      <c r="V48" s="171">
        <v>1.2987012987012988E-2</v>
      </c>
      <c r="W48" s="171">
        <v>0.01</v>
      </c>
      <c r="X48" s="171">
        <v>6.41025641025641E-3</v>
      </c>
      <c r="Y48" s="171">
        <v>5.6497175141242938E-3</v>
      </c>
      <c r="Z48" s="171"/>
      <c r="AA48" s="171"/>
      <c r="AB48" s="163"/>
      <c r="AC48" s="172">
        <f t="shared" si="8"/>
        <v>0.1428354953255023</v>
      </c>
      <c r="AD48" s="172">
        <f t="shared" si="9"/>
        <v>1.5870610591722477E-2</v>
      </c>
      <c r="AE48" s="123"/>
      <c r="AF48" s="123"/>
      <c r="AG48" s="123"/>
      <c r="AH48" s="123"/>
      <c r="AI48" s="123"/>
      <c r="AJ48" s="123"/>
      <c r="AK48" s="123"/>
    </row>
    <row r="49" spans="1:37" ht="14.25" customHeight="1" x14ac:dyDescent="0.2">
      <c r="A49" s="123"/>
      <c r="B49" s="164" t="s">
        <v>146</v>
      </c>
      <c r="C49" s="165"/>
      <c r="D49" s="170">
        <v>0.83</v>
      </c>
      <c r="E49" s="171">
        <v>0.75</v>
      </c>
      <c r="F49" s="171">
        <v>0.54804270462633453</v>
      </c>
      <c r="G49" s="171">
        <v>0.67567567567567566</v>
      </c>
      <c r="H49" s="171">
        <v>0.88516746411483249</v>
      </c>
      <c r="I49" s="171">
        <v>0.97422680412371132</v>
      </c>
      <c r="J49" s="171">
        <v>0.96059113300492616</v>
      </c>
      <c r="K49" s="171">
        <v>0.9</v>
      </c>
      <c r="L49" s="171">
        <v>0.88764044943820219</v>
      </c>
      <c r="M49" s="171">
        <v>0.9</v>
      </c>
      <c r="N49" s="171">
        <v>0.87</v>
      </c>
      <c r="O49" s="171">
        <v>0.84</v>
      </c>
      <c r="P49" s="171">
        <v>0.83</v>
      </c>
      <c r="Q49" s="171">
        <v>0.85</v>
      </c>
      <c r="R49" s="171">
        <v>0.9</v>
      </c>
      <c r="S49" s="171">
        <v>0.99</v>
      </c>
      <c r="T49" s="171">
        <v>0.92</v>
      </c>
      <c r="U49" s="171">
        <v>0.93</v>
      </c>
      <c r="V49" s="171">
        <v>0.94</v>
      </c>
      <c r="W49" s="171">
        <v>0.97</v>
      </c>
      <c r="X49" s="171">
        <v>0.94230769230769229</v>
      </c>
      <c r="Y49" s="171">
        <v>0.96610169491525422</v>
      </c>
      <c r="Z49" s="171"/>
      <c r="AA49" s="171"/>
      <c r="AB49" s="163"/>
      <c r="AC49" s="172">
        <f t="shared" si="8"/>
        <v>9.238409387222946</v>
      </c>
      <c r="AD49" s="172">
        <f t="shared" si="9"/>
        <v>0.92384093872229456</v>
      </c>
      <c r="AE49" s="123"/>
      <c r="AF49" s="123"/>
      <c r="AG49" s="123"/>
      <c r="AH49" s="123"/>
      <c r="AI49" s="123"/>
      <c r="AJ49" s="123"/>
      <c r="AK49" s="123"/>
    </row>
    <row r="50" spans="1:37" ht="14.25" customHeight="1" x14ac:dyDescent="0.2">
      <c r="A50" s="123"/>
      <c r="B50" s="126" t="s">
        <v>147</v>
      </c>
      <c r="C50" s="125"/>
      <c r="AB50" s="123"/>
      <c r="AC50" s="148"/>
      <c r="AD50" s="148"/>
      <c r="AE50" s="123"/>
      <c r="AF50" s="123"/>
      <c r="AG50" s="123"/>
      <c r="AH50" s="123"/>
      <c r="AI50" s="123"/>
      <c r="AJ50" s="123"/>
      <c r="AK50" s="123"/>
    </row>
    <row r="51" spans="1:37" ht="14.25" customHeight="1" x14ac:dyDescent="0.2">
      <c r="A51" s="123"/>
      <c r="B51" s="164" t="s">
        <v>148</v>
      </c>
      <c r="C51" s="165"/>
      <c r="D51" s="166" t="s">
        <v>184</v>
      </c>
      <c r="E51" s="167">
        <v>19011</v>
      </c>
      <c r="F51" s="167">
        <v>19565</v>
      </c>
      <c r="G51" s="167">
        <v>22025</v>
      </c>
      <c r="H51" s="167">
        <v>21479</v>
      </c>
      <c r="I51" s="167">
        <v>19742</v>
      </c>
      <c r="J51" s="167">
        <v>22872</v>
      </c>
      <c r="K51" s="167">
        <v>20831</v>
      </c>
      <c r="L51" s="167">
        <v>21707</v>
      </c>
      <c r="M51" s="167">
        <v>24916</v>
      </c>
      <c r="N51" s="167">
        <v>21804</v>
      </c>
      <c r="O51" s="167">
        <v>22524</v>
      </c>
      <c r="P51" s="167">
        <v>25780</v>
      </c>
      <c r="Q51" s="167">
        <v>22478</v>
      </c>
      <c r="R51" s="167">
        <v>26234</v>
      </c>
      <c r="S51" s="167">
        <v>26124</v>
      </c>
      <c r="T51" s="167">
        <v>25706</v>
      </c>
      <c r="U51" s="167">
        <v>28605</v>
      </c>
      <c r="V51" s="167">
        <v>29737</v>
      </c>
      <c r="W51" s="167">
        <v>28659</v>
      </c>
      <c r="X51" s="167">
        <v>32065</v>
      </c>
      <c r="Y51" s="167">
        <v>35800</v>
      </c>
      <c r="Z51" s="167"/>
      <c r="AA51" s="167"/>
      <c r="AB51" s="163"/>
      <c r="AC51" s="141">
        <f t="shared" ref="AC51:AC57" si="10">SUM(P51:AA51)</f>
        <v>281188</v>
      </c>
      <c r="AD51" s="141">
        <f t="shared" ref="AD51:AD57" si="11">IFERROR(AC51/(COUNT(P51:AA51)),0)</f>
        <v>28118.799999999999</v>
      </c>
      <c r="AE51" s="123"/>
      <c r="AF51" s="123"/>
      <c r="AG51" s="123"/>
      <c r="AH51" s="123"/>
      <c r="AI51" s="123"/>
      <c r="AJ51" s="123"/>
      <c r="AK51" s="123"/>
    </row>
    <row r="52" spans="1:37" ht="14.25" customHeight="1" x14ac:dyDescent="0.2">
      <c r="A52" s="123"/>
      <c r="B52" s="164" t="s">
        <v>149</v>
      </c>
      <c r="C52" s="165"/>
      <c r="D52" s="166" t="s">
        <v>185</v>
      </c>
      <c r="E52" s="167">
        <v>18620</v>
      </c>
      <c r="F52" s="167">
        <v>18860</v>
      </c>
      <c r="G52" s="167">
        <v>21174</v>
      </c>
      <c r="H52" s="167">
        <v>21127</v>
      </c>
      <c r="I52" s="167"/>
      <c r="J52" s="167"/>
      <c r="K52" s="167"/>
      <c r="L52" s="167"/>
      <c r="M52" s="167"/>
      <c r="N52" s="167"/>
      <c r="O52" s="167"/>
      <c r="P52" s="167"/>
      <c r="Q52" s="167">
        <v>0.27152777777777776</v>
      </c>
      <c r="R52" s="167"/>
      <c r="S52" s="167"/>
      <c r="T52" s="167"/>
      <c r="U52" s="167"/>
      <c r="V52" s="167"/>
      <c r="W52" s="167">
        <v>0.26874999999999999</v>
      </c>
      <c r="X52" s="167"/>
      <c r="Y52" s="167"/>
      <c r="Z52" s="167"/>
      <c r="AA52" s="167"/>
      <c r="AB52" s="163"/>
      <c r="AC52" s="141">
        <f t="shared" si="10"/>
        <v>0.54027777777777775</v>
      </c>
      <c r="AD52" s="141">
        <f t="shared" si="11"/>
        <v>0.27013888888888887</v>
      </c>
      <c r="AE52" s="142"/>
      <c r="AF52" s="123"/>
      <c r="AG52" s="123"/>
      <c r="AH52" s="123"/>
      <c r="AI52" s="123"/>
      <c r="AJ52" s="123"/>
      <c r="AK52" s="123"/>
    </row>
    <row r="53" spans="1:37" ht="14.25" customHeight="1" x14ac:dyDescent="0.2">
      <c r="A53" s="123"/>
      <c r="B53" s="164" t="s">
        <v>150</v>
      </c>
      <c r="C53" s="165"/>
      <c r="D53" s="168">
        <v>6.23</v>
      </c>
      <c r="E53" s="168">
        <v>6.22</v>
      </c>
      <c r="F53" s="168">
        <v>6.31</v>
      </c>
      <c r="G53" s="168">
        <v>6.36</v>
      </c>
      <c r="H53" s="168">
        <v>7.11</v>
      </c>
      <c r="I53" s="168">
        <v>6.55</v>
      </c>
      <c r="J53" s="168">
        <v>6.28</v>
      </c>
      <c r="K53" s="168">
        <v>6.43</v>
      </c>
      <c r="L53" s="168">
        <v>7.08</v>
      </c>
      <c r="M53" s="168">
        <v>7.23</v>
      </c>
      <c r="N53" s="168">
        <v>8.15</v>
      </c>
      <c r="O53" s="168">
        <v>7.05</v>
      </c>
      <c r="P53" s="168">
        <v>6.47</v>
      </c>
      <c r="Q53" s="168">
        <v>6.31</v>
      </c>
      <c r="R53" s="168">
        <v>6.2</v>
      </c>
      <c r="S53" s="168">
        <v>6.22</v>
      </c>
      <c r="T53" s="168">
        <v>6.17</v>
      </c>
      <c r="U53" s="168">
        <v>6</v>
      </c>
      <c r="V53" s="168">
        <v>6.1</v>
      </c>
      <c r="W53" s="168">
        <v>6.27</v>
      </c>
      <c r="X53" s="168">
        <v>6.2</v>
      </c>
      <c r="Y53" s="168">
        <v>6.15</v>
      </c>
      <c r="Z53" s="168"/>
      <c r="AA53" s="168"/>
      <c r="AB53" s="163"/>
      <c r="AC53" s="169">
        <f t="shared" si="10"/>
        <v>62.089999999999996</v>
      </c>
      <c r="AD53" s="169">
        <f t="shared" si="11"/>
        <v>6.2089999999999996</v>
      </c>
      <c r="AE53" s="142"/>
      <c r="AF53" s="123"/>
      <c r="AG53" s="123"/>
      <c r="AH53" s="123"/>
      <c r="AI53" s="123"/>
      <c r="AJ53" s="123"/>
      <c r="AK53" s="123"/>
    </row>
    <row r="54" spans="1:37" ht="14.25" customHeight="1" x14ac:dyDescent="0.2">
      <c r="A54" s="123"/>
      <c r="B54" s="164" t="s">
        <v>151</v>
      </c>
      <c r="C54" s="165"/>
      <c r="D54" s="166" t="s">
        <v>186</v>
      </c>
      <c r="E54" s="167">
        <v>13560</v>
      </c>
      <c r="F54" s="167">
        <v>12290</v>
      </c>
      <c r="G54" s="167">
        <v>12885</v>
      </c>
      <c r="H54" s="167">
        <v>18168</v>
      </c>
      <c r="I54" s="167">
        <v>18745</v>
      </c>
      <c r="J54" s="167">
        <v>21305</v>
      </c>
      <c r="K54" s="167">
        <v>19207</v>
      </c>
      <c r="L54" s="167">
        <v>20109</v>
      </c>
      <c r="M54" s="167">
        <v>21370</v>
      </c>
      <c r="N54" s="167">
        <v>19223</v>
      </c>
      <c r="O54" s="167">
        <v>19218</v>
      </c>
      <c r="P54" s="167">
        <v>21560</v>
      </c>
      <c r="Q54" s="167">
        <v>19212</v>
      </c>
      <c r="R54" s="167">
        <v>23482</v>
      </c>
      <c r="S54" s="167">
        <v>25261</v>
      </c>
      <c r="T54" s="167">
        <v>25073</v>
      </c>
      <c r="U54" s="167">
        <v>23950</v>
      </c>
      <c r="V54" s="167">
        <v>26954</v>
      </c>
      <c r="W54" s="167">
        <v>26828</v>
      </c>
      <c r="X54" s="167">
        <v>30156</v>
      </c>
      <c r="Y54" s="167">
        <v>34038</v>
      </c>
      <c r="Z54" s="167"/>
      <c r="AA54" s="167"/>
      <c r="AB54" s="163"/>
      <c r="AC54" s="141">
        <f t="shared" si="10"/>
        <v>256514</v>
      </c>
      <c r="AD54" s="141">
        <f t="shared" si="11"/>
        <v>25651.4</v>
      </c>
      <c r="AE54" s="123"/>
      <c r="AF54" s="123"/>
      <c r="AG54" s="123"/>
      <c r="AH54" s="123"/>
      <c r="AI54" s="123"/>
      <c r="AJ54" s="123"/>
      <c r="AK54" s="123"/>
    </row>
    <row r="55" spans="1:37" ht="14.25" customHeight="1" x14ac:dyDescent="0.2">
      <c r="A55" s="123"/>
      <c r="B55" s="164" t="s">
        <v>152</v>
      </c>
      <c r="C55" s="165"/>
      <c r="D55" s="166" t="s">
        <v>187</v>
      </c>
      <c r="E55" s="167">
        <v>275</v>
      </c>
      <c r="F55" s="167">
        <v>590</v>
      </c>
      <c r="G55" s="167">
        <v>679</v>
      </c>
      <c r="H55" s="167">
        <v>263</v>
      </c>
      <c r="I55" s="167">
        <v>111</v>
      </c>
      <c r="J55" s="167">
        <v>124</v>
      </c>
      <c r="K55" s="167">
        <v>139</v>
      </c>
      <c r="L55" s="167">
        <v>108</v>
      </c>
      <c r="M55" s="167">
        <v>136</v>
      </c>
      <c r="N55" s="167">
        <v>81</v>
      </c>
      <c r="O55" s="167">
        <v>70</v>
      </c>
      <c r="P55" s="167">
        <v>162</v>
      </c>
      <c r="Q55" s="167">
        <v>67</v>
      </c>
      <c r="R55" s="167">
        <v>217</v>
      </c>
      <c r="S55" s="167">
        <v>39</v>
      </c>
      <c r="T55" s="167">
        <v>114</v>
      </c>
      <c r="U55" s="167">
        <v>173</v>
      </c>
      <c r="V55" s="167">
        <v>111</v>
      </c>
      <c r="W55" s="167">
        <v>107</v>
      </c>
      <c r="X55" s="167">
        <v>145</v>
      </c>
      <c r="Y55" s="167">
        <v>82</v>
      </c>
      <c r="Z55" s="167"/>
      <c r="AA55" s="167"/>
      <c r="AB55" s="163"/>
      <c r="AC55" s="141">
        <f t="shared" si="10"/>
        <v>1217</v>
      </c>
      <c r="AD55" s="141">
        <f t="shared" si="11"/>
        <v>121.7</v>
      </c>
      <c r="AE55" s="123"/>
      <c r="AF55" s="123"/>
      <c r="AG55" s="123"/>
      <c r="AH55" s="123"/>
      <c r="AI55" s="123"/>
      <c r="AJ55" s="123"/>
      <c r="AK55" s="123"/>
    </row>
    <row r="56" spans="1:37" ht="14.25" customHeight="1" x14ac:dyDescent="0.2">
      <c r="A56" s="123"/>
      <c r="B56" s="164" t="s">
        <v>154</v>
      </c>
      <c r="C56" s="165"/>
      <c r="D56" s="170" t="s">
        <v>188</v>
      </c>
      <c r="E56" s="171">
        <v>0.01</v>
      </c>
      <c r="F56" s="171">
        <v>3.01558906210069E-2</v>
      </c>
      <c r="G56" s="171">
        <v>3.0828603859250851E-2</v>
      </c>
      <c r="H56" s="171">
        <v>1.2244517901205829E-2</v>
      </c>
      <c r="I56" s="171">
        <v>5.6225306453246884E-3</v>
      </c>
      <c r="J56" s="171">
        <v>5.4214760405736275E-3</v>
      </c>
      <c r="K56" s="171">
        <v>0.01</v>
      </c>
      <c r="L56" s="171">
        <v>4.9753535725802741E-3</v>
      </c>
      <c r="M56" s="171">
        <v>0</v>
      </c>
      <c r="N56" s="171">
        <v>0.01</v>
      </c>
      <c r="O56" s="171">
        <v>0.01</v>
      </c>
      <c r="P56" s="171" t="s">
        <v>248</v>
      </c>
      <c r="Q56" s="171">
        <v>0</v>
      </c>
      <c r="R56" s="171">
        <v>8.2717084699245255E-3</v>
      </c>
      <c r="S56" s="171">
        <v>1.4928801102434544E-3</v>
      </c>
      <c r="T56" s="171">
        <v>4.4347623123006299E-3</v>
      </c>
      <c r="U56" s="171">
        <v>0.01</v>
      </c>
      <c r="V56" s="171">
        <v>3.7327235430608331E-3</v>
      </c>
      <c r="W56" s="171">
        <v>0</v>
      </c>
      <c r="X56" s="171">
        <v>4.5220645563698739E-3</v>
      </c>
      <c r="Y56" s="171">
        <v>2.2905027932960892E-3</v>
      </c>
      <c r="Z56" s="171"/>
      <c r="AA56" s="171"/>
      <c r="AB56" s="163"/>
      <c r="AC56" s="172">
        <f t="shared" si="10"/>
        <v>3.4744641785195408E-2</v>
      </c>
      <c r="AD56" s="172">
        <f t="shared" si="11"/>
        <v>3.8605157539106007E-3</v>
      </c>
      <c r="AE56" s="123"/>
      <c r="AF56" s="123"/>
      <c r="AG56" s="123"/>
      <c r="AH56" s="123"/>
      <c r="AI56" s="123"/>
      <c r="AJ56" s="123"/>
      <c r="AK56" s="123"/>
    </row>
    <row r="57" spans="1:37" ht="14.25" customHeight="1" x14ac:dyDescent="0.2">
      <c r="A57" s="123"/>
      <c r="B57" s="164" t="s">
        <v>155</v>
      </c>
      <c r="C57" s="165"/>
      <c r="D57" s="170">
        <v>0.71</v>
      </c>
      <c r="E57" s="171">
        <v>0.71</v>
      </c>
      <c r="F57" s="171">
        <v>0.62816253513927933</v>
      </c>
      <c r="G57" s="171">
        <v>0.6085293284216492</v>
      </c>
      <c r="H57" s="171">
        <v>0.84584943433120718</v>
      </c>
      <c r="I57" s="171">
        <v>0.94949853105055215</v>
      </c>
      <c r="J57" s="171">
        <v>0.93148828261629946</v>
      </c>
      <c r="K57" s="171">
        <v>0.92</v>
      </c>
      <c r="L57" s="171">
        <v>0.92638319436126593</v>
      </c>
      <c r="M57" s="171">
        <v>0.93</v>
      </c>
      <c r="N57" s="171">
        <v>0.91</v>
      </c>
      <c r="O57" s="171">
        <v>0.88</v>
      </c>
      <c r="P57" s="171">
        <v>0.87</v>
      </c>
      <c r="Q57" s="171">
        <v>0.88</v>
      </c>
      <c r="R57" s="171">
        <v>0.9</v>
      </c>
      <c r="S57" s="171">
        <v>0.99</v>
      </c>
      <c r="T57" s="171">
        <v>0.93</v>
      </c>
      <c r="U57" s="171">
        <v>0.91</v>
      </c>
      <c r="V57" s="171">
        <v>0.94</v>
      </c>
      <c r="W57" s="171">
        <v>0.94</v>
      </c>
      <c r="X57" s="171">
        <v>0.94046468111648218</v>
      </c>
      <c r="Y57" s="171">
        <v>0.95078212290502795</v>
      </c>
      <c r="Z57" s="171"/>
      <c r="AA57" s="171"/>
      <c r="AB57" s="163"/>
      <c r="AC57" s="172">
        <f t="shared" si="10"/>
        <v>9.2512468040215108</v>
      </c>
      <c r="AD57" s="172">
        <f t="shared" si="11"/>
        <v>0.92512468040215112</v>
      </c>
      <c r="AE57" s="123"/>
      <c r="AF57" s="123"/>
      <c r="AG57" s="123"/>
      <c r="AH57" s="123"/>
      <c r="AI57" s="123"/>
      <c r="AJ57" s="123"/>
      <c r="AK57" s="123"/>
    </row>
    <row r="58" spans="1:37" ht="14.25" customHeight="1" x14ac:dyDescent="0.2">
      <c r="A58" s="123"/>
      <c r="B58" s="126" t="s">
        <v>156</v>
      </c>
      <c r="C58" s="173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48"/>
      <c r="AC58" s="175"/>
      <c r="AD58" s="176"/>
      <c r="AE58" s="123"/>
      <c r="AF58" s="123"/>
      <c r="AG58" s="123"/>
      <c r="AH58" s="123"/>
      <c r="AI58" s="123"/>
      <c r="AJ58" s="123"/>
      <c r="AK58" s="123"/>
    </row>
    <row r="59" spans="1:37" ht="14.25" customHeight="1" x14ac:dyDescent="0.2">
      <c r="A59" s="123"/>
      <c r="B59" s="164" t="s">
        <v>157</v>
      </c>
      <c r="C59" s="165"/>
      <c r="D59" s="177">
        <v>42</v>
      </c>
      <c r="E59" s="177">
        <v>42</v>
      </c>
      <c r="F59" s="177">
        <v>42</v>
      </c>
      <c r="G59" s="177">
        <v>42</v>
      </c>
      <c r="H59" s="177">
        <v>42</v>
      </c>
      <c r="I59" s="177">
        <v>56</v>
      </c>
      <c r="J59" s="177">
        <v>56</v>
      </c>
      <c r="K59" s="177">
        <v>56</v>
      </c>
      <c r="L59" s="177">
        <v>56</v>
      </c>
      <c r="M59" s="177">
        <v>56</v>
      </c>
      <c r="N59" s="177">
        <v>56</v>
      </c>
      <c r="O59" s="177">
        <v>56</v>
      </c>
      <c r="P59" s="177">
        <v>56</v>
      </c>
      <c r="Q59" s="177">
        <v>56</v>
      </c>
      <c r="R59" s="177">
        <v>56</v>
      </c>
      <c r="S59" s="177">
        <v>56</v>
      </c>
      <c r="T59" s="177">
        <v>56</v>
      </c>
      <c r="U59" s="177">
        <v>56</v>
      </c>
      <c r="V59" s="177">
        <v>56</v>
      </c>
      <c r="W59" s="177">
        <v>56</v>
      </c>
      <c r="X59" s="177">
        <v>56</v>
      </c>
      <c r="Y59" s="177">
        <v>56</v>
      </c>
      <c r="Z59" s="177"/>
      <c r="AA59" s="177"/>
      <c r="AB59" s="163"/>
      <c r="AC59" s="141">
        <f t="shared" ref="AC59:AC62" si="12">SUM(P59:AA59)</f>
        <v>560</v>
      </c>
      <c r="AD59" s="141">
        <f t="shared" ref="AD59:AD62" si="13">IFERROR(AC59/(COUNT(P59:AA59)),0)</f>
        <v>56</v>
      </c>
      <c r="AE59" s="123"/>
      <c r="AF59" s="123"/>
      <c r="AG59" s="123"/>
      <c r="AH59" s="123"/>
      <c r="AI59" s="123"/>
      <c r="AJ59" s="123"/>
      <c r="AK59" s="123"/>
    </row>
    <row r="60" spans="1:37" ht="14.25" customHeight="1" x14ac:dyDescent="0.2">
      <c r="A60" s="123"/>
      <c r="B60" s="164" t="s">
        <v>158</v>
      </c>
      <c r="C60" s="165"/>
      <c r="D60" s="139">
        <v>648.73809523809518</v>
      </c>
      <c r="E60" s="139">
        <v>633.78571428571433</v>
      </c>
      <c r="F60" s="139">
        <v>666.64285714285711</v>
      </c>
      <c r="G60" s="139">
        <v>716.02380952380952</v>
      </c>
      <c r="H60" s="139">
        <v>778.28571428571433</v>
      </c>
      <c r="I60" s="139">
        <v>516.51785714285711</v>
      </c>
      <c r="J60" s="139">
        <v>607.42857142857144</v>
      </c>
      <c r="K60" s="139">
        <v>500.55357142857144</v>
      </c>
      <c r="L60" s="139">
        <v>555.16071428571433</v>
      </c>
      <c r="M60" s="139">
        <v>638.32142857142856</v>
      </c>
      <c r="N60" s="139">
        <v>537.16071428571433</v>
      </c>
      <c r="O60" s="139">
        <v>627.125</v>
      </c>
      <c r="P60" s="139">
        <v>602.58928571428567</v>
      </c>
      <c r="Q60" s="139">
        <v>566.625</v>
      </c>
      <c r="R60" s="139">
        <v>645.16071428571433</v>
      </c>
      <c r="S60" s="139">
        <v>646.10714285714289</v>
      </c>
      <c r="T60" s="139">
        <v>625.80357142857144</v>
      </c>
      <c r="U60" s="139">
        <v>678.28571428571433</v>
      </c>
      <c r="V60" s="139">
        <v>608.42857142857144</v>
      </c>
      <c r="W60" s="139">
        <v>604.73214285714289</v>
      </c>
      <c r="X60" s="139">
        <v>669.30357142857144</v>
      </c>
      <c r="Y60" s="139">
        <v>721.71428571428567</v>
      </c>
      <c r="Z60" s="139"/>
      <c r="AA60" s="139"/>
      <c r="AB60" s="163"/>
      <c r="AC60" s="141">
        <f t="shared" si="12"/>
        <v>6368.75</v>
      </c>
      <c r="AD60" s="141">
        <f t="shared" si="13"/>
        <v>636.875</v>
      </c>
      <c r="AE60" s="123"/>
      <c r="AF60" s="123"/>
      <c r="AG60" s="123"/>
      <c r="AH60" s="123"/>
      <c r="AI60" s="123"/>
      <c r="AJ60" s="123"/>
      <c r="AK60" s="123"/>
    </row>
    <row r="61" spans="1:37" ht="14.25" customHeight="1" x14ac:dyDescent="0.2">
      <c r="A61" s="123"/>
      <c r="B61" s="164" t="s">
        <v>159</v>
      </c>
      <c r="C61" s="165"/>
      <c r="D61" s="139">
        <v>495.09523809523807</v>
      </c>
      <c r="E61" s="139">
        <v>471.14285714285717</v>
      </c>
      <c r="F61" s="139">
        <v>520.88095238095241</v>
      </c>
      <c r="G61" s="139">
        <v>522.33333333333337</v>
      </c>
      <c r="H61" s="139">
        <v>581.11904761904759</v>
      </c>
      <c r="I61" s="139">
        <v>391.80357142857144</v>
      </c>
      <c r="J61" s="139">
        <v>449.16071428571428</v>
      </c>
      <c r="K61" s="139">
        <v>367.60714285714283</v>
      </c>
      <c r="L61" s="139">
        <v>431.19642857142856</v>
      </c>
      <c r="M61" s="139">
        <v>486.91071428571428</v>
      </c>
      <c r="N61" s="139">
        <v>395.82142857142856</v>
      </c>
      <c r="O61" s="139">
        <v>459.33928571428572</v>
      </c>
      <c r="P61" s="139">
        <v>453.46428571428572</v>
      </c>
      <c r="Q61" s="139">
        <v>417.91071428571428</v>
      </c>
      <c r="R61" s="139">
        <v>497.46428571428572</v>
      </c>
      <c r="S61" s="139">
        <v>483.92857142857144</v>
      </c>
      <c r="T61" s="139">
        <v>470.28571428571428</v>
      </c>
      <c r="U61" s="139">
        <v>553.05357142857144</v>
      </c>
      <c r="V61" s="139">
        <v>512</v>
      </c>
      <c r="W61" s="139">
        <v>518.71428571428567</v>
      </c>
      <c r="X61" s="139">
        <v>565.66071428571433</v>
      </c>
      <c r="Y61" s="139">
        <v>586.60714285714289</v>
      </c>
      <c r="Z61" s="139"/>
      <c r="AA61" s="139"/>
      <c r="AB61" s="163"/>
      <c r="AC61" s="141">
        <f t="shared" si="12"/>
        <v>5059.0892857142862</v>
      </c>
      <c r="AD61" s="141">
        <f t="shared" si="13"/>
        <v>505.90892857142865</v>
      </c>
      <c r="AE61" s="123"/>
      <c r="AF61" s="123"/>
      <c r="AG61" s="123"/>
      <c r="AH61" s="123"/>
      <c r="AI61" s="123"/>
      <c r="AJ61" s="123"/>
      <c r="AK61" s="123"/>
    </row>
    <row r="62" spans="1:37" ht="14.25" customHeight="1" x14ac:dyDescent="0.2">
      <c r="A62" s="123"/>
      <c r="B62" s="164" t="s">
        <v>160</v>
      </c>
      <c r="C62" s="165"/>
      <c r="D62" s="139">
        <v>475.38095238095241</v>
      </c>
      <c r="E62" s="139">
        <v>449.57142857142856</v>
      </c>
      <c r="F62" s="139">
        <v>455.45238095238096</v>
      </c>
      <c r="G62" s="139">
        <v>509.42857142857144</v>
      </c>
      <c r="H62" s="139">
        <v>508</v>
      </c>
      <c r="I62" s="139">
        <v>0</v>
      </c>
      <c r="J62" s="139">
        <v>0</v>
      </c>
      <c r="K62" s="139">
        <v>0</v>
      </c>
      <c r="L62" s="139">
        <v>0</v>
      </c>
      <c r="M62" s="139">
        <v>0</v>
      </c>
      <c r="N62" s="139">
        <v>0</v>
      </c>
      <c r="O62" s="139">
        <v>0</v>
      </c>
      <c r="P62" s="139">
        <v>0</v>
      </c>
      <c r="Q62" s="139">
        <v>6.7460317460317455E-3</v>
      </c>
      <c r="R62" s="139">
        <v>0</v>
      </c>
      <c r="S62" s="139">
        <v>0</v>
      </c>
      <c r="T62" s="139">
        <v>0</v>
      </c>
      <c r="U62" s="139">
        <v>0</v>
      </c>
      <c r="V62" s="139">
        <v>0</v>
      </c>
      <c r="W62" s="139">
        <v>6.7336309523809519E-3</v>
      </c>
      <c r="X62" s="139">
        <v>0</v>
      </c>
      <c r="Y62" s="139">
        <v>0</v>
      </c>
      <c r="Z62" s="139"/>
      <c r="AA62" s="139"/>
      <c r="AB62" s="163"/>
      <c r="AC62" s="141">
        <f t="shared" si="12"/>
        <v>1.3479662698412697E-2</v>
      </c>
      <c r="AD62" s="141">
        <f t="shared" si="13"/>
        <v>1.3479662698412697E-3</v>
      </c>
      <c r="AE62" s="123"/>
      <c r="AF62" s="123"/>
      <c r="AG62" s="123"/>
      <c r="AH62" s="123"/>
      <c r="AI62" s="123"/>
      <c r="AJ62" s="123"/>
      <c r="AK62" s="123"/>
    </row>
    <row r="63" spans="1:37" ht="14.25" customHeight="1" x14ac:dyDescent="0.2">
      <c r="A63" s="123"/>
      <c r="B63" s="126" t="s">
        <v>161</v>
      </c>
      <c r="C63" s="178"/>
      <c r="AB63" s="123"/>
      <c r="AC63" s="148"/>
      <c r="AD63" s="148"/>
      <c r="AE63" s="123"/>
      <c r="AF63" s="123"/>
      <c r="AG63" s="123"/>
      <c r="AH63" s="123"/>
      <c r="AI63" s="123"/>
      <c r="AJ63" s="123"/>
      <c r="AK63" s="123"/>
    </row>
    <row r="64" spans="1:37" ht="14.25" customHeight="1" x14ac:dyDescent="0.2">
      <c r="A64" s="123"/>
      <c r="B64" s="164" t="s">
        <v>162</v>
      </c>
      <c r="C64" s="161"/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  <c r="AA64" s="167"/>
      <c r="AB64" s="140"/>
      <c r="AC64" s="141">
        <f t="shared" ref="AC64:AC70" si="14">SUM(P64:AA64)</f>
        <v>0</v>
      </c>
      <c r="AD64" s="141">
        <f t="shared" ref="AD64:AD70" si="15">IFERROR(AC64/(COUNT(P64:AA64)),0)</f>
        <v>0</v>
      </c>
      <c r="AE64" s="123"/>
      <c r="AF64" s="123"/>
      <c r="AG64" s="123"/>
      <c r="AH64" s="123"/>
      <c r="AI64" s="123"/>
      <c r="AJ64" s="123"/>
      <c r="AK64" s="123"/>
    </row>
    <row r="65" spans="1:37" ht="14.25" customHeight="1" x14ac:dyDescent="0.2">
      <c r="A65" s="123"/>
      <c r="B65" s="164" t="s">
        <v>163</v>
      </c>
      <c r="C65" s="161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40"/>
      <c r="AC65" s="141">
        <f t="shared" si="14"/>
        <v>0</v>
      </c>
      <c r="AD65" s="141">
        <f t="shared" si="15"/>
        <v>0</v>
      </c>
      <c r="AE65" s="123"/>
      <c r="AF65" s="123"/>
      <c r="AG65" s="123"/>
      <c r="AH65" s="123"/>
      <c r="AI65" s="123"/>
      <c r="AJ65" s="123"/>
      <c r="AK65" s="123"/>
    </row>
    <row r="66" spans="1:37" ht="14.25" customHeight="1" x14ac:dyDescent="0.2">
      <c r="A66" s="123"/>
      <c r="B66" s="164" t="s">
        <v>164</v>
      </c>
      <c r="C66" s="161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40"/>
      <c r="AC66" s="169">
        <f t="shared" si="14"/>
        <v>0</v>
      </c>
      <c r="AD66" s="169">
        <f t="shared" si="15"/>
        <v>0</v>
      </c>
      <c r="AE66" s="123"/>
      <c r="AF66" s="123"/>
      <c r="AG66" s="123"/>
      <c r="AH66" s="123"/>
      <c r="AI66" s="123"/>
      <c r="AJ66" s="123"/>
      <c r="AK66" s="123"/>
    </row>
    <row r="67" spans="1:37" ht="14.25" customHeight="1" x14ac:dyDescent="0.2">
      <c r="A67" s="123"/>
      <c r="B67" s="164" t="s">
        <v>165</v>
      </c>
      <c r="C67" s="161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40"/>
      <c r="AC67" s="141">
        <f t="shared" si="14"/>
        <v>0</v>
      </c>
      <c r="AD67" s="141">
        <f t="shared" si="15"/>
        <v>0</v>
      </c>
      <c r="AE67" s="123"/>
      <c r="AF67" s="123"/>
      <c r="AG67" s="123"/>
      <c r="AH67" s="123"/>
      <c r="AI67" s="123"/>
      <c r="AJ67" s="123"/>
      <c r="AK67" s="123"/>
    </row>
    <row r="68" spans="1:37" ht="14.25" customHeight="1" x14ac:dyDescent="0.2">
      <c r="A68" s="123"/>
      <c r="B68" s="164" t="s">
        <v>166</v>
      </c>
      <c r="C68" s="161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  <c r="AB68" s="140"/>
      <c r="AC68" s="141">
        <f t="shared" si="14"/>
        <v>0</v>
      </c>
      <c r="AD68" s="141">
        <f t="shared" si="15"/>
        <v>0</v>
      </c>
      <c r="AE68" s="123"/>
      <c r="AF68" s="123"/>
      <c r="AG68" s="123"/>
      <c r="AH68" s="123"/>
      <c r="AI68" s="123"/>
      <c r="AJ68" s="123"/>
      <c r="AK68" s="123"/>
    </row>
    <row r="69" spans="1:37" ht="14.25" customHeight="1" x14ac:dyDescent="0.2">
      <c r="A69" s="123"/>
      <c r="B69" s="164" t="s">
        <v>167</v>
      </c>
      <c r="C69" s="161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40"/>
      <c r="AC69" s="172">
        <f t="shared" si="14"/>
        <v>0</v>
      </c>
      <c r="AD69" s="172">
        <f t="shared" si="15"/>
        <v>0</v>
      </c>
      <c r="AE69" s="123"/>
      <c r="AF69" s="123"/>
      <c r="AG69" s="123"/>
      <c r="AH69" s="123"/>
      <c r="AI69" s="123"/>
      <c r="AJ69" s="123"/>
      <c r="AK69" s="123"/>
    </row>
    <row r="70" spans="1:37" ht="14.25" customHeight="1" x14ac:dyDescent="0.2">
      <c r="A70" s="123"/>
      <c r="B70" s="164" t="s">
        <v>168</v>
      </c>
      <c r="C70" s="161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40"/>
      <c r="AC70" s="172">
        <f t="shared" si="14"/>
        <v>0</v>
      </c>
      <c r="AD70" s="172">
        <f t="shared" si="15"/>
        <v>0</v>
      </c>
      <c r="AE70" s="123"/>
      <c r="AF70" s="123"/>
      <c r="AG70" s="123"/>
      <c r="AH70" s="123"/>
      <c r="AI70" s="123"/>
      <c r="AJ70" s="123"/>
      <c r="AK70" s="123"/>
    </row>
    <row r="71" spans="1:37" ht="14.25" customHeight="1" x14ac:dyDescent="0.2">
      <c r="A71" s="123"/>
      <c r="B71" s="126" t="s">
        <v>169</v>
      </c>
      <c r="C71" s="173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  <c r="AA71" s="174"/>
      <c r="AB71" s="48"/>
      <c r="AC71" s="175"/>
      <c r="AD71" s="176"/>
      <c r="AE71" s="123"/>
      <c r="AF71" s="123"/>
      <c r="AG71" s="123"/>
      <c r="AH71" s="123"/>
      <c r="AI71" s="123"/>
      <c r="AJ71" s="123"/>
      <c r="AK71" s="123"/>
    </row>
    <row r="72" spans="1:37" ht="14.25" customHeight="1" x14ac:dyDescent="0.2">
      <c r="A72" s="123"/>
      <c r="B72" s="164" t="s">
        <v>170</v>
      </c>
      <c r="C72" s="165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63"/>
      <c r="AC72" s="141">
        <v>0</v>
      </c>
      <c r="AD72" s="141">
        <v>0</v>
      </c>
      <c r="AE72" s="123"/>
      <c r="AF72" s="123"/>
      <c r="AG72" s="123"/>
      <c r="AH72" s="123"/>
      <c r="AI72" s="123"/>
      <c r="AJ72" s="123"/>
      <c r="AK72" s="123"/>
    </row>
    <row r="73" spans="1:37" ht="14.25" customHeight="1" x14ac:dyDescent="0.2">
      <c r="A73" s="123"/>
      <c r="B73" s="164" t="s">
        <v>171</v>
      </c>
      <c r="C73" s="165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39"/>
      <c r="Z73" s="139"/>
      <c r="AA73" s="139"/>
      <c r="AB73" s="163"/>
      <c r="AC73" s="141">
        <v>0</v>
      </c>
      <c r="AD73" s="141">
        <v>0</v>
      </c>
      <c r="AE73" s="123"/>
      <c r="AF73" s="123"/>
      <c r="AG73" s="123"/>
      <c r="AH73" s="123"/>
      <c r="AI73" s="123"/>
      <c r="AJ73" s="123"/>
      <c r="AK73" s="123"/>
    </row>
    <row r="74" spans="1:37" ht="14.25" customHeight="1" x14ac:dyDescent="0.2">
      <c r="A74" s="123"/>
      <c r="B74" s="126" t="s">
        <v>172</v>
      </c>
      <c r="C74" s="173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  <c r="AA74" s="174"/>
      <c r="AB74" s="174"/>
      <c r="AC74" s="174"/>
      <c r="AD74" s="174"/>
      <c r="AE74" s="123"/>
      <c r="AF74" s="123"/>
      <c r="AG74" s="123"/>
      <c r="AH74" s="123"/>
      <c r="AI74" s="123"/>
      <c r="AJ74" s="123"/>
      <c r="AK74" s="123"/>
    </row>
    <row r="75" spans="1:37" ht="14.25" customHeight="1" x14ac:dyDescent="0.2">
      <c r="A75" s="123"/>
      <c r="B75" s="164" t="s">
        <v>173</v>
      </c>
      <c r="C75" s="165"/>
      <c r="D75" s="166">
        <v>60269</v>
      </c>
      <c r="E75" s="166">
        <v>61609</v>
      </c>
      <c r="F75" s="166">
        <v>57659</v>
      </c>
      <c r="G75" s="166">
        <v>54477</v>
      </c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82"/>
      <c r="AC75" s="141">
        <v>0</v>
      </c>
      <c r="AD75" s="141">
        <v>0</v>
      </c>
      <c r="AE75" s="123"/>
      <c r="AF75" s="123"/>
      <c r="AG75" s="123"/>
      <c r="AH75" s="123"/>
      <c r="AI75" s="123"/>
      <c r="AJ75" s="123"/>
      <c r="AK75" s="123"/>
    </row>
    <row r="76" spans="1:37" ht="14.25" customHeight="1" x14ac:dyDescent="0.2">
      <c r="A76" s="123"/>
      <c r="B76" s="164" t="s">
        <v>174</v>
      </c>
      <c r="C76" s="165"/>
      <c r="D76" s="166">
        <v>3172</v>
      </c>
      <c r="E76" s="166">
        <v>3273</v>
      </c>
      <c r="F76" s="166">
        <v>2753</v>
      </c>
      <c r="G76" s="166">
        <v>3954</v>
      </c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82"/>
      <c r="AC76" s="141">
        <v>0</v>
      </c>
      <c r="AD76" s="141">
        <v>0</v>
      </c>
      <c r="AE76" s="123"/>
      <c r="AF76" s="123"/>
      <c r="AG76" s="123"/>
      <c r="AH76" s="123"/>
      <c r="AI76" s="123"/>
      <c r="AJ76" s="123"/>
      <c r="AK76" s="123"/>
    </row>
    <row r="77" spans="1:37" s="254" customFormat="1" ht="14.25" customHeight="1" x14ac:dyDescent="0.2">
      <c r="A77" s="247"/>
      <c r="B77" s="248" t="s">
        <v>175</v>
      </c>
      <c r="C77" s="249"/>
      <c r="D77" s="250">
        <v>63441</v>
      </c>
      <c r="E77" s="250">
        <v>64882</v>
      </c>
      <c r="F77" s="250">
        <v>60412</v>
      </c>
      <c r="G77" s="250">
        <v>58431</v>
      </c>
      <c r="H77" s="250">
        <v>25271</v>
      </c>
      <c r="I77" s="250">
        <v>19892</v>
      </c>
      <c r="J77" s="250">
        <v>21097</v>
      </c>
      <c r="K77" s="250">
        <v>22132</v>
      </c>
      <c r="L77" s="250">
        <v>21344</v>
      </c>
      <c r="M77" s="250">
        <v>22011</v>
      </c>
      <c r="N77" s="250">
        <v>26860</v>
      </c>
      <c r="O77" s="250">
        <v>20514</v>
      </c>
      <c r="P77" s="250">
        <v>21106</v>
      </c>
      <c r="Q77" s="250">
        <v>20562</v>
      </c>
      <c r="R77" s="250">
        <v>19807</v>
      </c>
      <c r="S77" s="250">
        <v>9483</v>
      </c>
      <c r="T77" s="250">
        <v>23996</v>
      </c>
      <c r="U77" s="250">
        <v>20170</v>
      </c>
      <c r="V77" s="250">
        <v>14859</v>
      </c>
      <c r="W77" s="250">
        <v>14673</v>
      </c>
      <c r="X77" s="250">
        <v>18743</v>
      </c>
      <c r="Y77" s="250">
        <v>19307</v>
      </c>
      <c r="Z77" s="250"/>
      <c r="AA77" s="250"/>
      <c r="AB77" s="252"/>
      <c r="AC77" s="253">
        <v>0</v>
      </c>
      <c r="AD77" s="253">
        <v>0</v>
      </c>
      <c r="AE77" s="247"/>
      <c r="AF77" s="247"/>
      <c r="AG77" s="247"/>
      <c r="AH77" s="247"/>
      <c r="AI77" s="247"/>
      <c r="AJ77" s="247"/>
      <c r="AK77" s="247"/>
    </row>
    <row r="78" spans="1:37" ht="14.25" customHeight="1" x14ac:dyDescent="0.2">
      <c r="A78" s="123"/>
      <c r="B78" s="126" t="s">
        <v>176</v>
      </c>
      <c r="C78" s="178"/>
      <c r="AB78" s="174"/>
      <c r="AC78" s="148"/>
      <c r="AD78" s="148"/>
      <c r="AE78" s="123"/>
      <c r="AF78" s="123"/>
      <c r="AG78" s="123"/>
      <c r="AH78" s="123"/>
      <c r="AI78" s="123"/>
      <c r="AJ78" s="123"/>
      <c r="AK78" s="123"/>
    </row>
    <row r="79" spans="1:37" ht="14.25" customHeight="1" x14ac:dyDescent="0.2">
      <c r="A79" s="123"/>
      <c r="B79" s="137" t="s">
        <v>177</v>
      </c>
      <c r="C79" s="138"/>
      <c r="D79" s="155">
        <v>0</v>
      </c>
      <c r="E79" s="155">
        <v>0</v>
      </c>
      <c r="F79" s="155">
        <v>0</v>
      </c>
      <c r="G79" s="155">
        <v>0</v>
      </c>
      <c r="H79" s="155">
        <v>0</v>
      </c>
      <c r="I79" s="155">
        <v>0</v>
      </c>
      <c r="J79" s="155">
        <v>0</v>
      </c>
      <c r="K79" s="155">
        <v>0</v>
      </c>
      <c r="L79" s="155">
        <v>0</v>
      </c>
      <c r="M79" s="155">
        <v>0</v>
      </c>
      <c r="N79" s="155">
        <v>0</v>
      </c>
      <c r="O79" s="155">
        <v>0</v>
      </c>
      <c r="P79" s="155">
        <v>0</v>
      </c>
      <c r="Q79" s="155">
        <v>0</v>
      </c>
      <c r="R79" s="155">
        <v>0</v>
      </c>
      <c r="S79" s="155">
        <v>0</v>
      </c>
      <c r="T79" s="155">
        <v>0</v>
      </c>
      <c r="U79" s="155">
        <v>0</v>
      </c>
      <c r="V79" s="155">
        <v>0</v>
      </c>
      <c r="W79" s="155">
        <v>0</v>
      </c>
      <c r="X79" s="155">
        <v>0</v>
      </c>
      <c r="Y79" s="155">
        <v>0</v>
      </c>
      <c r="Z79" s="155"/>
      <c r="AA79" s="155"/>
      <c r="AB79" s="183"/>
      <c r="AC79" s="172">
        <f t="shared" ref="AC79:AC84" si="16">SUM(P79:AA79)</f>
        <v>0</v>
      </c>
      <c r="AD79" s="148"/>
      <c r="AE79" s="123"/>
      <c r="AF79" s="123"/>
      <c r="AG79" s="123"/>
      <c r="AH79" s="123"/>
      <c r="AI79" s="123"/>
      <c r="AJ79" s="123"/>
      <c r="AK79" s="123"/>
    </row>
    <row r="80" spans="1:37" ht="14.25" customHeight="1" x14ac:dyDescent="0.2">
      <c r="A80" s="123"/>
      <c r="B80" s="137" t="s">
        <v>178</v>
      </c>
      <c r="C80" s="138"/>
      <c r="D80" s="155">
        <v>0</v>
      </c>
      <c r="E80" s="155">
        <v>0</v>
      </c>
      <c r="F80" s="155">
        <v>0</v>
      </c>
      <c r="G80" s="155">
        <v>0</v>
      </c>
      <c r="H80" s="155">
        <v>0</v>
      </c>
      <c r="I80" s="155">
        <v>0</v>
      </c>
      <c r="J80" s="155">
        <v>0</v>
      </c>
      <c r="K80" s="155">
        <v>0</v>
      </c>
      <c r="L80" s="155">
        <v>0</v>
      </c>
      <c r="M80" s="155">
        <v>0</v>
      </c>
      <c r="N80" s="155">
        <v>0</v>
      </c>
      <c r="O80" s="155">
        <v>0</v>
      </c>
      <c r="P80" s="155">
        <v>0</v>
      </c>
      <c r="Q80" s="155">
        <v>0</v>
      </c>
      <c r="R80" s="155">
        <v>0</v>
      </c>
      <c r="S80" s="155">
        <v>0</v>
      </c>
      <c r="T80" s="155">
        <v>0</v>
      </c>
      <c r="U80" s="155">
        <v>0</v>
      </c>
      <c r="V80" s="155">
        <v>0</v>
      </c>
      <c r="W80" s="155">
        <v>0</v>
      </c>
      <c r="X80" s="155">
        <v>0</v>
      </c>
      <c r="Y80" s="155">
        <v>0</v>
      </c>
      <c r="Z80" s="155"/>
      <c r="AA80" s="155"/>
      <c r="AB80" s="183"/>
      <c r="AC80" s="172">
        <f t="shared" si="16"/>
        <v>0</v>
      </c>
      <c r="AD80" s="148"/>
      <c r="AE80" s="123"/>
      <c r="AF80" s="123"/>
      <c r="AG80" s="123"/>
      <c r="AH80" s="123"/>
      <c r="AI80" s="123"/>
      <c r="AJ80" s="123"/>
      <c r="AK80" s="123"/>
    </row>
    <row r="81" spans="1:38" ht="14.25" customHeight="1" x14ac:dyDescent="0.2">
      <c r="A81" s="123"/>
      <c r="B81" s="137" t="s">
        <v>179</v>
      </c>
      <c r="C81" s="138"/>
      <c r="D81" s="155">
        <v>58.988778114915959</v>
      </c>
      <c r="E81" s="155">
        <v>54.829585081113862</v>
      </c>
      <c r="F81" s="155">
        <v>54.840755303584494</v>
      </c>
      <c r="G81" s="155">
        <v>57.21683778234086</v>
      </c>
      <c r="H81" s="155">
        <v>57.606924560036099</v>
      </c>
      <c r="I81" s="155">
        <v>53.748289389654225</v>
      </c>
      <c r="J81" s="155">
        <v>57.343390518648249</v>
      </c>
      <c r="K81" s="155">
        <v>55.241831020209396</v>
      </c>
      <c r="L81" s="155">
        <v>50.186636804777905</v>
      </c>
      <c r="M81" s="155">
        <v>12.73056024671415</v>
      </c>
      <c r="N81" s="155">
        <v>14.639204160072349</v>
      </c>
      <c r="O81" s="155">
        <v>29.959475241357833</v>
      </c>
      <c r="P81" s="155">
        <v>21.758795949726174</v>
      </c>
      <c r="Q81" s="155">
        <v>27.119882041200103</v>
      </c>
      <c r="R81" s="155">
        <v>27.430802369413033</v>
      </c>
      <c r="S81" s="155">
        <v>26.175245913763774</v>
      </c>
      <c r="T81" s="155">
        <v>26.282980099691791</v>
      </c>
      <c r="U81" s="155">
        <v>27.221255257198319</v>
      </c>
      <c r="V81" s="155">
        <v>29.198134628148253</v>
      </c>
      <c r="W81" s="155">
        <v>23.110865891927308</v>
      </c>
      <c r="X81" s="155">
        <v>23.53771974200076</v>
      </c>
      <c r="Y81" s="155">
        <v>23.724406087036076</v>
      </c>
      <c r="Z81" s="155"/>
      <c r="AA81" s="155"/>
      <c r="AB81" s="183"/>
      <c r="AC81" s="172">
        <f t="shared" si="16"/>
        <v>255.56008798010561</v>
      </c>
      <c r="AD81" s="148"/>
      <c r="AE81" s="123"/>
      <c r="AF81" s="123"/>
      <c r="AG81" s="123"/>
      <c r="AH81" s="123"/>
      <c r="AI81" s="123"/>
      <c r="AJ81" s="123"/>
      <c r="AK81" s="123"/>
    </row>
    <row r="82" spans="1:38" ht="14.25" customHeight="1" x14ac:dyDescent="0.2">
      <c r="A82" s="123"/>
      <c r="B82" s="137" t="s">
        <v>180</v>
      </c>
      <c r="C82" s="138"/>
      <c r="D82" s="155">
        <v>7.5372775372775369E-2</v>
      </c>
      <c r="E82" s="155">
        <v>6.7872845807853646E-2</v>
      </c>
      <c r="F82" s="155">
        <v>6.6066203365032924E-2</v>
      </c>
      <c r="G82" s="155">
        <v>7.077063383492932E-2</v>
      </c>
      <c r="H82" s="155">
        <v>9.2540983606557381E-2</v>
      </c>
      <c r="I82" s="155">
        <v>9.7424207886938688E-2</v>
      </c>
      <c r="J82" s="155">
        <v>0.10101010101010101</v>
      </c>
      <c r="K82" s="155">
        <v>9.8673018033344675E-2</v>
      </c>
      <c r="L82" s="155">
        <v>8.5318857995276179E-2</v>
      </c>
      <c r="M82" s="155">
        <v>0.10471684272300469</v>
      </c>
      <c r="N82" s="155">
        <v>0.10179586679902536</v>
      </c>
      <c r="O82" s="155">
        <v>8.7720662570961977E-2</v>
      </c>
      <c r="P82" s="155">
        <v>9.9247468578858203E-2</v>
      </c>
      <c r="Q82" s="155">
        <v>0.10992392512180528</v>
      </c>
      <c r="R82" s="155">
        <v>9.4238018309100696E-2</v>
      </c>
      <c r="S82" s="155">
        <v>0.10287822878228782</v>
      </c>
      <c r="T82" s="155">
        <v>8.0165571716097672E-2</v>
      </c>
      <c r="U82" s="155">
        <v>8.0254489084097658E-2</v>
      </c>
      <c r="V82" s="155">
        <v>8.0827461103746598E-2</v>
      </c>
      <c r="W82" s="155">
        <v>7.7826371431523128E-2</v>
      </c>
      <c r="X82" s="155">
        <v>7.6777311057069766E-2</v>
      </c>
      <c r="Y82" s="155">
        <v>8.5893493286240602E-2</v>
      </c>
      <c r="Z82" s="155"/>
      <c r="AA82" s="155"/>
      <c r="AB82" s="183"/>
      <c r="AC82" s="172">
        <f t="shared" si="16"/>
        <v>0.88803233847082741</v>
      </c>
      <c r="AD82" s="148"/>
      <c r="AE82" s="123"/>
      <c r="AF82" s="123"/>
      <c r="AG82" s="123"/>
      <c r="AH82" s="123"/>
      <c r="AI82" s="123"/>
      <c r="AJ82" s="123"/>
      <c r="AK82" s="123"/>
    </row>
    <row r="83" spans="1:38" ht="14.25" customHeight="1" x14ac:dyDescent="0.2">
      <c r="A83" s="123"/>
      <c r="B83" s="137" t="s">
        <v>181</v>
      </c>
      <c r="C83" s="138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  <c r="AA83" s="155"/>
      <c r="AB83" s="183"/>
      <c r="AC83" s="172">
        <f t="shared" si="16"/>
        <v>0</v>
      </c>
      <c r="AD83" s="148"/>
      <c r="AE83" s="123"/>
      <c r="AF83" s="123"/>
      <c r="AG83" s="123"/>
      <c r="AH83" s="123"/>
      <c r="AI83" s="123"/>
      <c r="AJ83" s="123"/>
      <c r="AK83" s="123"/>
    </row>
    <row r="84" spans="1:38" ht="14.25" customHeight="1" x14ac:dyDescent="0.2">
      <c r="A84" s="123"/>
      <c r="B84" s="137" t="s">
        <v>182</v>
      </c>
      <c r="C84" s="138"/>
      <c r="D84" s="146">
        <v>54.9032708032708</v>
      </c>
      <c r="E84" s="146">
        <v>51.157325516753424</v>
      </c>
      <c r="F84" s="146">
        <v>51.041880029261158</v>
      </c>
      <c r="G84" s="146">
        <v>53.01527587779298</v>
      </c>
      <c r="H84" s="146">
        <v>53.466762295081971</v>
      </c>
      <c r="I84" s="146">
        <v>49.562571233188969</v>
      </c>
      <c r="J84" s="146">
        <v>52.86673824862801</v>
      </c>
      <c r="K84" s="146">
        <v>51.230253244543817</v>
      </c>
      <c r="L84" s="146">
        <v>46.716363485683502</v>
      </c>
      <c r="M84" s="146">
        <v>10.292106807511738</v>
      </c>
      <c r="N84" s="146">
        <v>14.395135818066962</v>
      </c>
      <c r="O84" s="146">
        <v>24.917684112294889</v>
      </c>
      <c r="P84" s="146">
        <v>21.452582640557896</v>
      </c>
      <c r="Q84" s="146">
        <v>27.030729122147193</v>
      </c>
      <c r="R84" s="146">
        <v>27.329779213785677</v>
      </c>
      <c r="S84" s="146">
        <v>25.995904059040591</v>
      </c>
      <c r="T84" s="146">
        <v>26.155584247901871</v>
      </c>
      <c r="U84" s="146">
        <v>27.095045859708048</v>
      </c>
      <c r="V84" s="146">
        <v>29.062443312635178</v>
      </c>
      <c r="W84" s="146">
        <v>22.984882399531664</v>
      </c>
      <c r="X84" s="146">
        <v>23.433281748412973</v>
      </c>
      <c r="Y84" s="146">
        <v>23.579179733885454</v>
      </c>
      <c r="Z84" s="146"/>
      <c r="AA84" s="146"/>
      <c r="AB84" s="183"/>
      <c r="AC84" s="147">
        <f t="shared" si="16"/>
        <v>254.11941233760655</v>
      </c>
      <c r="AD84" s="148"/>
      <c r="AE84" s="123"/>
      <c r="AF84" s="123"/>
      <c r="AG84" s="123"/>
      <c r="AH84" s="123"/>
      <c r="AI84" s="123"/>
      <c r="AJ84" s="123"/>
      <c r="AK84" s="123"/>
    </row>
    <row r="85" spans="1:38" ht="14.25" customHeight="1" x14ac:dyDescent="0.2">
      <c r="A85" s="123"/>
      <c r="B85" s="123"/>
      <c r="C85" s="123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184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  <c r="AA85" s="267"/>
      <c r="AB85" s="123"/>
      <c r="AC85" s="123"/>
      <c r="AD85" s="125"/>
      <c r="AE85" s="123"/>
      <c r="AF85" s="123"/>
      <c r="AG85" s="123"/>
      <c r="AH85" s="123"/>
      <c r="AI85" s="123"/>
      <c r="AJ85" s="123"/>
      <c r="AK85" s="123"/>
      <c r="AL85" s="123"/>
    </row>
    <row r="86" spans="1:38" ht="14.25" customHeight="1" x14ac:dyDescent="0.2">
      <c r="A86" s="123"/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85"/>
      <c r="M86" s="123"/>
      <c r="N86" s="123"/>
      <c r="O86" s="123"/>
      <c r="P86" s="262"/>
      <c r="Q86" s="262"/>
      <c r="R86" s="262"/>
      <c r="S86" s="262"/>
      <c r="T86" s="262"/>
      <c r="U86" s="262"/>
      <c r="V86" s="262"/>
      <c r="W86" s="262"/>
      <c r="X86" s="262"/>
      <c r="Y86" s="262"/>
      <c r="Z86" s="262"/>
      <c r="AA86" s="262"/>
      <c r="AB86" s="123"/>
      <c r="AC86" s="123"/>
      <c r="AD86" s="125"/>
      <c r="AE86" s="123"/>
      <c r="AF86" s="123"/>
      <c r="AG86" s="123"/>
      <c r="AH86" s="123"/>
      <c r="AI86" s="123"/>
      <c r="AJ86" s="123"/>
      <c r="AK86" s="123"/>
      <c r="AL86" s="123"/>
    </row>
    <row r="87" spans="1:38" ht="14.25" customHeight="1" x14ac:dyDescent="0.2">
      <c r="A87" s="123"/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262"/>
      <c r="Q87" s="262"/>
      <c r="R87" s="262"/>
      <c r="S87" s="262"/>
      <c r="T87" s="262"/>
      <c r="U87" s="262"/>
      <c r="V87" s="262"/>
      <c r="W87" s="262"/>
      <c r="X87" s="262"/>
      <c r="Y87" s="262"/>
      <c r="Z87" s="262"/>
      <c r="AA87" s="262"/>
      <c r="AB87" s="123"/>
      <c r="AC87" s="123"/>
      <c r="AD87" s="125"/>
      <c r="AE87" s="123"/>
      <c r="AF87" s="123"/>
      <c r="AG87" s="123"/>
      <c r="AH87" s="123"/>
      <c r="AI87" s="123"/>
      <c r="AJ87" s="123"/>
      <c r="AK87" s="123"/>
      <c r="AL87" s="123"/>
    </row>
    <row r="88" spans="1:38" ht="14.25" customHeight="1" x14ac:dyDescent="0.2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262"/>
      <c r="Q88" s="262"/>
      <c r="R88" s="262"/>
      <c r="S88" s="262"/>
      <c r="T88" s="262"/>
      <c r="U88" s="262"/>
      <c r="V88" s="262"/>
      <c r="W88" s="262"/>
      <c r="X88" s="262"/>
      <c r="Y88" s="262"/>
      <c r="Z88" s="262"/>
      <c r="AA88" s="262"/>
      <c r="AB88" s="123"/>
      <c r="AC88" s="123"/>
      <c r="AD88" s="125"/>
      <c r="AE88" s="123"/>
      <c r="AF88" s="123"/>
      <c r="AG88" s="123"/>
      <c r="AH88" s="123"/>
      <c r="AI88" s="123"/>
      <c r="AJ88" s="123"/>
      <c r="AK88" s="123"/>
      <c r="AL88" s="123"/>
    </row>
    <row r="89" spans="1:38" ht="14.25" customHeight="1" x14ac:dyDescent="0.2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262"/>
      <c r="Q89" s="262"/>
      <c r="R89" s="262"/>
      <c r="S89" s="262"/>
      <c r="T89" s="262"/>
      <c r="U89" s="262"/>
      <c r="V89" s="262"/>
      <c r="W89" s="262"/>
      <c r="X89" s="262"/>
      <c r="Y89" s="262"/>
      <c r="Z89" s="262"/>
      <c r="AA89" s="262"/>
      <c r="AB89" s="123"/>
      <c r="AC89" s="123"/>
      <c r="AD89" s="125"/>
      <c r="AE89" s="123"/>
      <c r="AF89" s="123"/>
      <c r="AG89" s="123"/>
      <c r="AH89" s="123"/>
      <c r="AI89" s="123"/>
      <c r="AJ89" s="123"/>
      <c r="AK89" s="123"/>
      <c r="AL89" s="123"/>
    </row>
    <row r="90" spans="1:38" ht="14.25" customHeight="1" x14ac:dyDescent="0.2">
      <c r="A90" s="123"/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262"/>
      <c r="Q90" s="262"/>
      <c r="R90" s="262"/>
      <c r="S90" s="262"/>
      <c r="T90" s="262"/>
      <c r="U90" s="262"/>
      <c r="V90" s="262"/>
      <c r="W90" s="262"/>
      <c r="X90" s="262"/>
      <c r="Y90" s="262"/>
      <c r="Z90" s="262"/>
      <c r="AA90" s="262"/>
      <c r="AB90" s="123"/>
      <c r="AC90" s="123"/>
      <c r="AD90" s="125"/>
      <c r="AE90" s="123"/>
      <c r="AF90" s="123"/>
      <c r="AG90" s="123"/>
      <c r="AH90" s="123"/>
      <c r="AI90" s="123"/>
      <c r="AJ90" s="123"/>
      <c r="AK90" s="123"/>
      <c r="AL90" s="123"/>
    </row>
    <row r="91" spans="1:38" ht="14.25" customHeight="1" x14ac:dyDescent="0.2">
      <c r="A91" s="123"/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262"/>
      <c r="Q91" s="262"/>
      <c r="R91" s="262"/>
      <c r="S91" s="262"/>
      <c r="T91" s="262"/>
      <c r="U91" s="262"/>
      <c r="V91" s="262"/>
      <c r="W91" s="262"/>
      <c r="X91" s="262"/>
      <c r="Y91" s="262"/>
      <c r="Z91" s="262"/>
      <c r="AA91" s="262"/>
      <c r="AB91" s="123"/>
      <c r="AC91" s="123"/>
      <c r="AD91" s="125"/>
      <c r="AE91" s="123"/>
      <c r="AF91" s="123"/>
      <c r="AG91" s="123"/>
      <c r="AH91" s="123"/>
      <c r="AI91" s="123"/>
      <c r="AJ91" s="123"/>
      <c r="AK91" s="123"/>
      <c r="AL91" s="123"/>
    </row>
    <row r="92" spans="1:38" ht="14.25" customHeight="1" x14ac:dyDescent="0.2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262"/>
      <c r="Q92" s="262"/>
      <c r="R92" s="262"/>
      <c r="S92" s="262"/>
      <c r="T92" s="262"/>
      <c r="U92" s="262"/>
      <c r="V92" s="262"/>
      <c r="W92" s="262"/>
      <c r="X92" s="262"/>
      <c r="Y92" s="262"/>
      <c r="Z92" s="262"/>
      <c r="AA92" s="262"/>
      <c r="AB92" s="123"/>
      <c r="AC92" s="123"/>
      <c r="AD92" s="125"/>
      <c r="AE92" s="123"/>
      <c r="AF92" s="123"/>
      <c r="AG92" s="123"/>
      <c r="AH92" s="123"/>
      <c r="AI92" s="123"/>
      <c r="AJ92" s="123"/>
      <c r="AK92" s="123"/>
      <c r="AL92" s="123"/>
    </row>
    <row r="93" spans="1:38" ht="14.25" customHeight="1" x14ac:dyDescent="0.2">
      <c r="A93" s="123"/>
      <c r="B93" s="123"/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262"/>
      <c r="Q93" s="262"/>
      <c r="R93" s="262"/>
      <c r="S93" s="262"/>
      <c r="T93" s="262"/>
      <c r="U93" s="262"/>
      <c r="V93" s="262"/>
      <c r="W93" s="262"/>
      <c r="X93" s="262"/>
      <c r="Y93" s="262"/>
      <c r="Z93" s="262"/>
      <c r="AA93" s="262"/>
      <c r="AB93" s="123"/>
      <c r="AC93" s="123"/>
      <c r="AD93" s="125"/>
      <c r="AE93" s="123"/>
      <c r="AF93" s="123"/>
      <c r="AG93" s="123"/>
      <c r="AH93" s="123"/>
      <c r="AI93" s="123"/>
      <c r="AJ93" s="123"/>
      <c r="AK93" s="123"/>
      <c r="AL93" s="123"/>
    </row>
    <row r="94" spans="1:38" ht="14.25" customHeight="1" x14ac:dyDescent="0.2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123"/>
      <c r="AC94" s="123"/>
      <c r="AD94" s="125"/>
      <c r="AE94" s="123"/>
      <c r="AF94" s="123"/>
      <c r="AG94" s="123"/>
      <c r="AH94" s="123"/>
      <c r="AI94" s="123"/>
      <c r="AJ94" s="123"/>
      <c r="AK94" s="123"/>
      <c r="AL94" s="123"/>
    </row>
    <row r="95" spans="1:38" ht="14.25" customHeight="1" x14ac:dyDescent="0.2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262"/>
      <c r="Q95" s="262"/>
      <c r="R95" s="262"/>
      <c r="S95" s="262"/>
      <c r="T95" s="262"/>
      <c r="U95" s="262"/>
      <c r="V95" s="262"/>
      <c r="W95" s="262"/>
      <c r="X95" s="262"/>
      <c r="Y95" s="262"/>
      <c r="Z95" s="262"/>
      <c r="AA95" s="262"/>
      <c r="AB95" s="123"/>
      <c r="AC95" s="123"/>
      <c r="AD95" s="125"/>
      <c r="AE95" s="123"/>
      <c r="AF95" s="123"/>
      <c r="AG95" s="123"/>
      <c r="AH95" s="123"/>
      <c r="AI95" s="123"/>
      <c r="AJ95" s="123"/>
      <c r="AK95" s="123"/>
      <c r="AL95" s="123"/>
    </row>
    <row r="96" spans="1:38" ht="14.25" customHeight="1" x14ac:dyDescent="0.2">
      <c r="A96" s="123"/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262"/>
      <c r="Q96" s="262"/>
      <c r="R96" s="262"/>
      <c r="S96" s="262"/>
      <c r="T96" s="262"/>
      <c r="U96" s="262"/>
      <c r="V96" s="262"/>
      <c r="W96" s="262"/>
      <c r="X96" s="262"/>
      <c r="Y96" s="262"/>
      <c r="Z96" s="262"/>
      <c r="AA96" s="262"/>
      <c r="AB96" s="123"/>
      <c r="AC96" s="123"/>
      <c r="AD96" s="125"/>
      <c r="AE96" s="123"/>
      <c r="AF96" s="123"/>
      <c r="AG96" s="123"/>
      <c r="AH96" s="123"/>
      <c r="AI96" s="123"/>
      <c r="AJ96" s="123"/>
      <c r="AK96" s="123"/>
      <c r="AL96" s="123"/>
    </row>
    <row r="97" spans="1:38" ht="14.25" customHeight="1" x14ac:dyDescent="0.2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262"/>
      <c r="Q97" s="262"/>
      <c r="R97" s="262"/>
      <c r="S97" s="262"/>
      <c r="T97" s="262"/>
      <c r="U97" s="262"/>
      <c r="V97" s="262"/>
      <c r="W97" s="262"/>
      <c r="X97" s="262"/>
      <c r="Y97" s="262"/>
      <c r="Z97" s="262"/>
      <c r="AA97" s="262"/>
      <c r="AB97" s="123"/>
      <c r="AC97" s="123"/>
      <c r="AD97" s="125"/>
      <c r="AE97" s="123"/>
      <c r="AF97" s="123"/>
      <c r="AG97" s="123"/>
      <c r="AH97" s="123"/>
      <c r="AI97" s="123"/>
      <c r="AJ97" s="123"/>
      <c r="AK97" s="123"/>
      <c r="AL97" s="123"/>
    </row>
    <row r="98" spans="1:38" ht="14.25" customHeight="1" x14ac:dyDescent="0.2">
      <c r="A98" s="123"/>
      <c r="B98" s="123"/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262"/>
      <c r="Q98" s="262"/>
      <c r="R98" s="262"/>
      <c r="S98" s="262"/>
      <c r="T98" s="262"/>
      <c r="U98" s="262"/>
      <c r="V98" s="262"/>
      <c r="W98" s="262"/>
      <c r="X98" s="262"/>
      <c r="Y98" s="262"/>
      <c r="Z98" s="262"/>
      <c r="AA98" s="262"/>
      <c r="AB98" s="123"/>
      <c r="AC98" s="123"/>
      <c r="AD98" s="125"/>
      <c r="AE98" s="123"/>
      <c r="AF98" s="123"/>
      <c r="AG98" s="123"/>
      <c r="AH98" s="123"/>
      <c r="AI98" s="123"/>
      <c r="AJ98" s="123"/>
      <c r="AK98" s="123"/>
      <c r="AL98" s="123"/>
    </row>
    <row r="99" spans="1:38" ht="14.25" customHeight="1" x14ac:dyDescent="0.2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262"/>
      <c r="Q99" s="262"/>
      <c r="R99" s="262"/>
      <c r="S99" s="262"/>
      <c r="T99" s="262"/>
      <c r="U99" s="262"/>
      <c r="V99" s="262"/>
      <c r="W99" s="262"/>
      <c r="X99" s="262"/>
      <c r="Y99" s="262"/>
      <c r="Z99" s="262"/>
      <c r="AA99" s="262"/>
      <c r="AB99" s="123"/>
      <c r="AC99" s="123"/>
      <c r="AD99" s="125"/>
      <c r="AE99" s="123"/>
      <c r="AF99" s="123"/>
      <c r="AG99" s="123"/>
      <c r="AH99" s="123"/>
      <c r="AI99" s="123"/>
      <c r="AJ99" s="123"/>
      <c r="AK99" s="123"/>
      <c r="AL99" s="123"/>
    </row>
    <row r="100" spans="1:38" ht="14.25" customHeight="1" x14ac:dyDescent="0.2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123"/>
      <c r="AC100" s="123"/>
      <c r="AD100" s="125"/>
      <c r="AE100" s="123"/>
      <c r="AF100" s="123"/>
      <c r="AG100" s="123"/>
      <c r="AH100" s="123"/>
      <c r="AI100" s="123"/>
      <c r="AJ100" s="123"/>
      <c r="AK100" s="123"/>
      <c r="AL100" s="123"/>
    </row>
    <row r="101" spans="1:38" ht="14.25" customHeight="1" x14ac:dyDescent="0.2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  <c r="Z101" s="262"/>
      <c r="AA101" s="262"/>
      <c r="AB101" s="123"/>
      <c r="AC101" s="123"/>
      <c r="AD101" s="125"/>
      <c r="AE101" s="123"/>
      <c r="AF101" s="123"/>
      <c r="AG101" s="123"/>
      <c r="AH101" s="123"/>
      <c r="AI101" s="123"/>
      <c r="AJ101" s="123"/>
      <c r="AK101" s="123"/>
      <c r="AL101" s="123"/>
    </row>
    <row r="102" spans="1:38" ht="14.25" customHeight="1" x14ac:dyDescent="0.2">
      <c r="A102" s="123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62"/>
      <c r="AA102" s="262"/>
      <c r="AB102" s="123"/>
      <c r="AC102" s="123"/>
      <c r="AD102" s="125"/>
      <c r="AE102" s="123"/>
      <c r="AF102" s="123"/>
      <c r="AG102" s="123"/>
      <c r="AH102" s="123"/>
      <c r="AI102" s="123"/>
      <c r="AJ102" s="123"/>
      <c r="AK102" s="123"/>
      <c r="AL102" s="123"/>
    </row>
    <row r="103" spans="1:38" ht="14.25" customHeight="1" x14ac:dyDescent="0.2">
      <c r="A103" s="123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85"/>
      <c r="M103" s="123"/>
      <c r="N103" s="123"/>
      <c r="O103" s="123"/>
      <c r="P103" s="262"/>
      <c r="Q103" s="262"/>
      <c r="R103" s="262"/>
      <c r="S103" s="262"/>
      <c r="T103" s="262"/>
      <c r="U103" s="262"/>
      <c r="V103" s="262"/>
      <c r="W103" s="262"/>
      <c r="X103" s="262"/>
      <c r="Y103" s="262"/>
      <c r="Z103" s="262"/>
      <c r="AA103" s="262"/>
      <c r="AB103" s="123"/>
      <c r="AC103" s="123"/>
      <c r="AD103" s="125"/>
      <c r="AE103" s="123"/>
      <c r="AF103" s="123"/>
      <c r="AG103" s="123"/>
      <c r="AH103" s="123"/>
      <c r="AI103" s="123"/>
      <c r="AJ103" s="123"/>
      <c r="AK103" s="123"/>
      <c r="AL103" s="123"/>
    </row>
    <row r="104" spans="1:38" ht="14.25" customHeight="1" x14ac:dyDescent="0.2">
      <c r="A104" s="123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  <c r="Z104" s="262"/>
      <c r="AA104" s="262"/>
      <c r="AB104" s="123"/>
      <c r="AC104" s="123"/>
      <c r="AD104" s="125"/>
      <c r="AE104" s="123"/>
      <c r="AF104" s="123"/>
      <c r="AG104" s="123"/>
      <c r="AH104" s="123"/>
      <c r="AI104" s="123"/>
      <c r="AJ104" s="123"/>
      <c r="AK104" s="123"/>
      <c r="AL104" s="123"/>
    </row>
    <row r="105" spans="1:38" ht="14.25" customHeight="1" x14ac:dyDescent="0.2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262"/>
      <c r="Q105" s="262"/>
      <c r="R105" s="262"/>
      <c r="S105" s="262"/>
      <c r="T105" s="262"/>
      <c r="U105" s="262"/>
      <c r="V105" s="262"/>
      <c r="W105" s="262"/>
      <c r="X105" s="262"/>
      <c r="Y105" s="262"/>
      <c r="Z105" s="262"/>
      <c r="AA105" s="262"/>
      <c r="AB105" s="123"/>
      <c r="AC105" s="123"/>
      <c r="AD105" s="125"/>
      <c r="AE105" s="123"/>
      <c r="AF105" s="123"/>
      <c r="AG105" s="123"/>
      <c r="AH105" s="123"/>
      <c r="AI105" s="123"/>
      <c r="AJ105" s="123"/>
      <c r="AK105" s="123"/>
      <c r="AL105" s="123"/>
    </row>
    <row r="106" spans="1:38" ht="14.25" customHeight="1" x14ac:dyDescent="0.2">
      <c r="A106" s="123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123"/>
      <c r="AC106" s="123"/>
      <c r="AD106" s="125"/>
      <c r="AE106" s="123"/>
      <c r="AF106" s="123"/>
      <c r="AG106" s="123"/>
      <c r="AH106" s="123"/>
      <c r="AI106" s="123"/>
      <c r="AJ106" s="123"/>
      <c r="AK106" s="123"/>
      <c r="AL106" s="123"/>
    </row>
    <row r="107" spans="1:38" ht="14.25" customHeight="1" x14ac:dyDescent="0.2">
      <c r="A107" s="123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262"/>
      <c r="Q107" s="262"/>
      <c r="R107" s="262"/>
      <c r="S107" s="262"/>
      <c r="T107" s="262"/>
      <c r="U107" s="262"/>
      <c r="V107" s="262"/>
      <c r="W107" s="262"/>
      <c r="X107" s="262"/>
      <c r="Y107" s="262"/>
      <c r="Z107" s="262"/>
      <c r="AA107" s="262"/>
      <c r="AB107" s="123"/>
      <c r="AC107" s="123"/>
      <c r="AD107" s="125"/>
      <c r="AE107" s="123"/>
      <c r="AF107" s="123"/>
      <c r="AG107" s="123"/>
      <c r="AH107" s="123"/>
      <c r="AI107" s="123"/>
      <c r="AJ107" s="123"/>
      <c r="AK107" s="123"/>
      <c r="AL107" s="123"/>
    </row>
    <row r="108" spans="1:38" ht="14.25" customHeight="1" x14ac:dyDescent="0.2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262"/>
      <c r="Q108" s="262"/>
      <c r="R108" s="262"/>
      <c r="S108" s="262"/>
      <c r="T108" s="262"/>
      <c r="U108" s="262"/>
      <c r="V108" s="262"/>
      <c r="W108" s="262"/>
      <c r="X108" s="262"/>
      <c r="Y108" s="262"/>
      <c r="Z108" s="262"/>
      <c r="AA108" s="262"/>
      <c r="AB108" s="123"/>
      <c r="AC108" s="123"/>
      <c r="AD108" s="125"/>
      <c r="AE108" s="123"/>
      <c r="AF108" s="123"/>
      <c r="AG108" s="123"/>
      <c r="AH108" s="123"/>
      <c r="AI108" s="123"/>
      <c r="AJ108" s="123"/>
      <c r="AK108" s="123"/>
      <c r="AL108" s="123"/>
    </row>
    <row r="109" spans="1:38" ht="14.25" customHeight="1" x14ac:dyDescent="0.2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262"/>
      <c r="Q109" s="262"/>
      <c r="R109" s="262"/>
      <c r="S109" s="262"/>
      <c r="T109" s="262"/>
      <c r="U109" s="262"/>
      <c r="V109" s="262"/>
      <c r="W109" s="262"/>
      <c r="X109" s="262"/>
      <c r="Y109" s="262"/>
      <c r="Z109" s="262"/>
      <c r="AA109" s="262"/>
      <c r="AB109" s="123"/>
      <c r="AC109" s="123"/>
      <c r="AD109" s="125"/>
      <c r="AE109" s="123"/>
      <c r="AF109" s="123"/>
      <c r="AG109" s="123"/>
      <c r="AH109" s="123"/>
      <c r="AI109" s="123"/>
      <c r="AJ109" s="123"/>
      <c r="AK109" s="123"/>
      <c r="AL109" s="123"/>
    </row>
    <row r="110" spans="1:38" ht="14.25" customHeight="1" x14ac:dyDescent="0.2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262"/>
      <c r="Q110" s="262"/>
      <c r="R110" s="262"/>
      <c r="S110" s="262"/>
      <c r="T110" s="262"/>
      <c r="U110" s="262"/>
      <c r="V110" s="262"/>
      <c r="W110" s="262"/>
      <c r="X110" s="262"/>
      <c r="Y110" s="262"/>
      <c r="Z110" s="262"/>
      <c r="AA110" s="262"/>
      <c r="AB110" s="123"/>
      <c r="AC110" s="123"/>
      <c r="AD110" s="125"/>
      <c r="AE110" s="123"/>
      <c r="AF110" s="123"/>
      <c r="AG110" s="123"/>
      <c r="AH110" s="123"/>
      <c r="AI110" s="123"/>
      <c r="AJ110" s="123"/>
      <c r="AK110" s="123"/>
      <c r="AL110" s="123"/>
    </row>
    <row r="111" spans="1:38" ht="14.25" customHeight="1" x14ac:dyDescent="0.2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262"/>
      <c r="Q111" s="262"/>
      <c r="R111" s="262"/>
      <c r="S111" s="262"/>
      <c r="T111" s="262"/>
      <c r="U111" s="262"/>
      <c r="V111" s="262"/>
      <c r="W111" s="262"/>
      <c r="X111" s="262"/>
      <c r="Y111" s="262"/>
      <c r="Z111" s="262"/>
      <c r="AA111" s="262"/>
      <c r="AB111" s="123"/>
      <c r="AC111" s="123"/>
      <c r="AD111" s="125"/>
      <c r="AE111" s="123"/>
      <c r="AF111" s="123"/>
      <c r="AG111" s="123"/>
      <c r="AH111" s="123"/>
      <c r="AI111" s="123"/>
      <c r="AJ111" s="123"/>
      <c r="AK111" s="123"/>
      <c r="AL111" s="123"/>
    </row>
    <row r="112" spans="1:38" ht="14.25" customHeight="1" x14ac:dyDescent="0.2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262"/>
      <c r="Q112" s="262"/>
      <c r="R112" s="262"/>
      <c r="S112" s="262"/>
      <c r="T112" s="262"/>
      <c r="U112" s="262"/>
      <c r="V112" s="262"/>
      <c r="W112" s="262"/>
      <c r="X112" s="262"/>
      <c r="Y112" s="262"/>
      <c r="Z112" s="262"/>
      <c r="AA112" s="262"/>
      <c r="AB112" s="123"/>
      <c r="AC112" s="123"/>
      <c r="AD112" s="125"/>
      <c r="AE112" s="123"/>
      <c r="AF112" s="123"/>
      <c r="AG112" s="123"/>
      <c r="AH112" s="123"/>
      <c r="AI112" s="123"/>
      <c r="AJ112" s="123"/>
      <c r="AK112" s="123"/>
      <c r="AL112" s="123"/>
    </row>
    <row r="113" spans="1:38" ht="14.25" customHeight="1" x14ac:dyDescent="0.2">
      <c r="A113" s="123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262"/>
      <c r="Q113" s="262"/>
      <c r="R113" s="262"/>
      <c r="S113" s="262"/>
      <c r="T113" s="262"/>
      <c r="U113" s="262"/>
      <c r="V113" s="262"/>
      <c r="W113" s="262"/>
      <c r="X113" s="262"/>
      <c r="Y113" s="262"/>
      <c r="Z113" s="262"/>
      <c r="AA113" s="262"/>
      <c r="AB113" s="123"/>
      <c r="AC113" s="123"/>
      <c r="AD113" s="125"/>
      <c r="AE113" s="123"/>
      <c r="AF113" s="123"/>
      <c r="AG113" s="123"/>
      <c r="AH113" s="123"/>
      <c r="AI113" s="123"/>
      <c r="AJ113" s="123"/>
      <c r="AK113" s="123"/>
      <c r="AL113" s="123"/>
    </row>
    <row r="114" spans="1:38" ht="14.25" customHeight="1" x14ac:dyDescent="0.2">
      <c r="A114" s="123"/>
      <c r="C114" s="123"/>
      <c r="AB114" s="123"/>
      <c r="AC114" s="123"/>
      <c r="AD114" s="125"/>
      <c r="AE114" s="123"/>
      <c r="AF114" s="123"/>
      <c r="AG114" s="123"/>
      <c r="AH114" s="123"/>
      <c r="AI114" s="123"/>
      <c r="AJ114" s="123"/>
      <c r="AK114" s="123"/>
    </row>
    <row r="115" spans="1:38" ht="14.25" customHeight="1" x14ac:dyDescent="0.2">
      <c r="A115" s="123"/>
      <c r="C115" s="123"/>
      <c r="AB115" s="123"/>
      <c r="AC115" s="123"/>
      <c r="AD115" s="125"/>
      <c r="AE115" s="123"/>
      <c r="AF115" s="123"/>
      <c r="AG115" s="123"/>
      <c r="AH115" s="123"/>
      <c r="AI115" s="123"/>
      <c r="AJ115" s="123"/>
      <c r="AK115" s="123"/>
    </row>
    <row r="116" spans="1:38" ht="14.25" customHeight="1" x14ac:dyDescent="0.2">
      <c r="A116" s="123"/>
      <c r="C116" s="123"/>
      <c r="AB116" s="123"/>
      <c r="AC116" s="123"/>
      <c r="AD116" s="125"/>
      <c r="AE116" s="123"/>
      <c r="AF116" s="123"/>
      <c r="AG116" s="123"/>
      <c r="AH116" s="123"/>
      <c r="AI116" s="123"/>
      <c r="AJ116" s="123"/>
      <c r="AK116" s="123"/>
    </row>
    <row r="117" spans="1:38" ht="14.25" customHeight="1" x14ac:dyDescent="0.2">
      <c r="A117" s="123"/>
      <c r="C117" s="123"/>
      <c r="AB117" s="123"/>
      <c r="AC117" s="123"/>
      <c r="AD117" s="125"/>
      <c r="AE117" s="123"/>
      <c r="AF117" s="123"/>
      <c r="AG117" s="123"/>
      <c r="AH117" s="123"/>
      <c r="AI117" s="123"/>
      <c r="AJ117" s="123"/>
      <c r="AK117" s="123"/>
    </row>
    <row r="118" spans="1:38" ht="14.25" customHeight="1" x14ac:dyDescent="0.2">
      <c r="A118" s="123"/>
      <c r="C118" s="123"/>
      <c r="AB118" s="123"/>
      <c r="AC118" s="123"/>
      <c r="AD118" s="125"/>
      <c r="AE118" s="123"/>
      <c r="AF118" s="123"/>
      <c r="AG118" s="123"/>
      <c r="AH118" s="123"/>
      <c r="AI118" s="123"/>
      <c r="AJ118" s="123"/>
      <c r="AK118" s="123"/>
    </row>
    <row r="119" spans="1:38" ht="14.25" customHeight="1" x14ac:dyDescent="0.2">
      <c r="A119" s="123"/>
      <c r="C119" s="123"/>
      <c r="AB119" s="123"/>
      <c r="AC119" s="123"/>
      <c r="AD119" s="125"/>
      <c r="AE119" s="123"/>
      <c r="AF119" s="123"/>
      <c r="AG119" s="123"/>
      <c r="AH119" s="123"/>
      <c r="AI119" s="123"/>
      <c r="AJ119" s="123"/>
      <c r="AK119" s="123"/>
    </row>
    <row r="120" spans="1:38" ht="14.25" customHeight="1" x14ac:dyDescent="0.2">
      <c r="A120" s="123"/>
      <c r="C120" s="123"/>
      <c r="AB120" s="123"/>
      <c r="AC120" s="123"/>
      <c r="AD120" s="125"/>
      <c r="AE120" s="123"/>
      <c r="AF120" s="123"/>
      <c r="AG120" s="123"/>
      <c r="AH120" s="123"/>
      <c r="AI120" s="123"/>
      <c r="AJ120" s="123"/>
      <c r="AK120" s="123"/>
    </row>
    <row r="121" spans="1:38" ht="14.25" customHeight="1" x14ac:dyDescent="0.2">
      <c r="A121" s="123"/>
      <c r="C121" s="123"/>
      <c r="AB121" s="123"/>
      <c r="AC121" s="123"/>
      <c r="AD121" s="125"/>
      <c r="AE121" s="123"/>
      <c r="AF121" s="123"/>
      <c r="AG121" s="123"/>
      <c r="AH121" s="123"/>
      <c r="AI121" s="123"/>
      <c r="AJ121" s="123"/>
      <c r="AK121" s="123"/>
    </row>
    <row r="122" spans="1:38" ht="14.25" customHeight="1" x14ac:dyDescent="0.2">
      <c r="A122" s="123"/>
      <c r="C122" s="123"/>
      <c r="AB122" s="123"/>
      <c r="AC122" s="123"/>
      <c r="AD122" s="125"/>
      <c r="AE122" s="123"/>
      <c r="AF122" s="123"/>
      <c r="AG122" s="123"/>
      <c r="AH122" s="123"/>
      <c r="AI122" s="123"/>
      <c r="AJ122" s="123"/>
      <c r="AK122" s="123"/>
    </row>
    <row r="123" spans="1:38" ht="14.25" customHeight="1" x14ac:dyDescent="0.2">
      <c r="A123" s="123"/>
      <c r="C123" s="123"/>
      <c r="AB123" s="123"/>
      <c r="AC123" s="123"/>
      <c r="AD123" s="125"/>
      <c r="AE123" s="123"/>
      <c r="AF123" s="123"/>
      <c r="AG123" s="123"/>
      <c r="AH123" s="123"/>
      <c r="AI123" s="123"/>
      <c r="AJ123" s="123"/>
      <c r="AK123" s="123"/>
    </row>
    <row r="124" spans="1:38" ht="14.25" customHeight="1" x14ac:dyDescent="0.2">
      <c r="A124" s="123"/>
      <c r="C124" s="123"/>
      <c r="AB124" s="123"/>
      <c r="AC124" s="123"/>
      <c r="AD124" s="125"/>
      <c r="AE124" s="123"/>
      <c r="AF124" s="123"/>
      <c r="AG124" s="123"/>
      <c r="AH124" s="123"/>
      <c r="AI124" s="123"/>
      <c r="AJ124" s="123"/>
      <c r="AK124" s="123"/>
    </row>
    <row r="125" spans="1:38" ht="14.25" customHeight="1" x14ac:dyDescent="0.2">
      <c r="A125" s="123"/>
      <c r="C125" s="123"/>
      <c r="AB125" s="123"/>
      <c r="AC125" s="123"/>
      <c r="AD125" s="125"/>
      <c r="AE125" s="123"/>
      <c r="AF125" s="123"/>
      <c r="AG125" s="123"/>
      <c r="AH125" s="123"/>
      <c r="AI125" s="123"/>
      <c r="AJ125" s="123"/>
      <c r="AK125" s="123"/>
    </row>
    <row r="126" spans="1:38" ht="14.25" customHeight="1" x14ac:dyDescent="0.2">
      <c r="A126" s="123"/>
      <c r="C126" s="123"/>
      <c r="AB126" s="123"/>
      <c r="AC126" s="123"/>
      <c r="AD126" s="125"/>
      <c r="AE126" s="123"/>
      <c r="AF126" s="123"/>
      <c r="AG126" s="123"/>
      <c r="AH126" s="123"/>
      <c r="AI126" s="123"/>
      <c r="AJ126" s="123"/>
      <c r="AK126" s="123"/>
    </row>
    <row r="127" spans="1:38" ht="14.25" customHeight="1" x14ac:dyDescent="0.2">
      <c r="A127" s="123"/>
      <c r="C127" s="123"/>
      <c r="AB127" s="123"/>
      <c r="AC127" s="123"/>
      <c r="AD127" s="125"/>
      <c r="AE127" s="123"/>
      <c r="AF127" s="123"/>
      <c r="AG127" s="123"/>
      <c r="AH127" s="123"/>
      <c r="AI127" s="123"/>
      <c r="AJ127" s="123"/>
      <c r="AK127" s="123"/>
    </row>
    <row r="128" spans="1:38" ht="14.25" customHeight="1" x14ac:dyDescent="0.2">
      <c r="A128" s="123"/>
      <c r="C128" s="123"/>
      <c r="AB128" s="123"/>
      <c r="AC128" s="123"/>
      <c r="AD128" s="125"/>
      <c r="AE128" s="123"/>
      <c r="AF128" s="123"/>
      <c r="AG128" s="123"/>
      <c r="AH128" s="123"/>
      <c r="AI128" s="123"/>
      <c r="AJ128" s="123"/>
      <c r="AK128" s="123"/>
    </row>
    <row r="129" spans="1:37" ht="14.25" customHeight="1" x14ac:dyDescent="0.2">
      <c r="A129" s="123"/>
      <c r="C129" s="123"/>
      <c r="AB129" s="123"/>
      <c r="AC129" s="123"/>
      <c r="AD129" s="125"/>
      <c r="AE129" s="123"/>
      <c r="AF129" s="123"/>
      <c r="AG129" s="123"/>
      <c r="AH129" s="123"/>
      <c r="AI129" s="123"/>
      <c r="AJ129" s="123"/>
      <c r="AK129" s="123"/>
    </row>
    <row r="130" spans="1:37" ht="14.25" customHeight="1" x14ac:dyDescent="0.2">
      <c r="A130" s="123"/>
      <c r="C130" s="123"/>
      <c r="AB130" s="123"/>
      <c r="AC130" s="123"/>
      <c r="AD130" s="125"/>
      <c r="AE130" s="123"/>
      <c r="AF130" s="123"/>
      <c r="AG130" s="123"/>
      <c r="AH130" s="123"/>
      <c r="AI130" s="123"/>
      <c r="AJ130" s="123"/>
      <c r="AK130" s="123"/>
    </row>
    <row r="131" spans="1:37" ht="14.25" customHeight="1" x14ac:dyDescent="0.2">
      <c r="A131" s="123"/>
      <c r="C131" s="123"/>
      <c r="AB131" s="123"/>
      <c r="AC131" s="123"/>
      <c r="AD131" s="125"/>
      <c r="AE131" s="123"/>
      <c r="AF131" s="123"/>
      <c r="AG131" s="123"/>
      <c r="AH131" s="123"/>
      <c r="AI131" s="123"/>
      <c r="AJ131" s="123"/>
      <c r="AK131" s="123"/>
    </row>
    <row r="132" spans="1:37" ht="14.25" customHeight="1" x14ac:dyDescent="0.2">
      <c r="A132" s="123"/>
      <c r="C132" s="123"/>
      <c r="AB132" s="123"/>
      <c r="AC132" s="123"/>
      <c r="AD132" s="125"/>
      <c r="AE132" s="123"/>
      <c r="AF132" s="123"/>
      <c r="AG132" s="123"/>
      <c r="AH132" s="123"/>
      <c r="AI132" s="123"/>
      <c r="AJ132" s="123"/>
      <c r="AK132" s="123"/>
    </row>
    <row r="133" spans="1:37" ht="14.25" customHeight="1" x14ac:dyDescent="0.2">
      <c r="A133" s="123"/>
      <c r="C133" s="123"/>
      <c r="AB133" s="123"/>
      <c r="AC133" s="123"/>
      <c r="AD133" s="125"/>
      <c r="AE133" s="123"/>
      <c r="AF133" s="123"/>
      <c r="AG133" s="123"/>
      <c r="AH133" s="123"/>
      <c r="AI133" s="123"/>
      <c r="AJ133" s="123"/>
      <c r="AK133" s="123"/>
    </row>
    <row r="134" spans="1:37" ht="14.25" customHeight="1" x14ac:dyDescent="0.2">
      <c r="A134" s="123"/>
      <c r="C134" s="123"/>
      <c r="AB134" s="123"/>
      <c r="AC134" s="123"/>
      <c r="AD134" s="125"/>
      <c r="AE134" s="123"/>
      <c r="AF134" s="123"/>
      <c r="AG134" s="123"/>
      <c r="AH134" s="123"/>
      <c r="AI134" s="123"/>
      <c r="AJ134" s="123"/>
      <c r="AK134" s="123"/>
    </row>
    <row r="135" spans="1:37" ht="14.25" customHeight="1" x14ac:dyDescent="0.2">
      <c r="A135" s="123"/>
      <c r="C135" s="123"/>
      <c r="AB135" s="123"/>
      <c r="AC135" s="123"/>
      <c r="AD135" s="125"/>
      <c r="AE135" s="123"/>
      <c r="AF135" s="123"/>
      <c r="AG135" s="123"/>
      <c r="AH135" s="123"/>
      <c r="AI135" s="123"/>
      <c r="AJ135" s="123"/>
      <c r="AK135" s="123"/>
    </row>
    <row r="136" spans="1:37" ht="14.25" customHeight="1" x14ac:dyDescent="0.2">
      <c r="A136" s="123"/>
      <c r="C136" s="123"/>
      <c r="AB136" s="123"/>
      <c r="AC136" s="123"/>
      <c r="AD136" s="125"/>
      <c r="AE136" s="123"/>
      <c r="AF136" s="123"/>
      <c r="AG136" s="123"/>
      <c r="AH136" s="123"/>
      <c r="AI136" s="123"/>
      <c r="AJ136" s="123"/>
      <c r="AK136" s="123"/>
    </row>
    <row r="137" spans="1:37" ht="14.25" customHeight="1" x14ac:dyDescent="0.2">
      <c r="A137" s="123"/>
      <c r="C137" s="123"/>
      <c r="AB137" s="123"/>
      <c r="AC137" s="123"/>
      <c r="AD137" s="125"/>
      <c r="AE137" s="123"/>
      <c r="AF137" s="123"/>
      <c r="AG137" s="123"/>
      <c r="AH137" s="123"/>
      <c r="AI137" s="123"/>
      <c r="AJ137" s="123"/>
      <c r="AK137" s="123"/>
    </row>
    <row r="138" spans="1:37" ht="14.25" customHeight="1" x14ac:dyDescent="0.2">
      <c r="A138" s="123"/>
      <c r="C138" s="123"/>
      <c r="AB138" s="123"/>
      <c r="AC138" s="123"/>
      <c r="AD138" s="125"/>
      <c r="AE138" s="123"/>
      <c r="AF138" s="123"/>
      <c r="AG138" s="123"/>
      <c r="AH138" s="123"/>
      <c r="AI138" s="123"/>
      <c r="AJ138" s="123"/>
      <c r="AK138" s="123"/>
    </row>
    <row r="139" spans="1:37" ht="14.25" customHeight="1" x14ac:dyDescent="0.2">
      <c r="A139" s="123"/>
      <c r="C139" s="123"/>
      <c r="AB139" s="123"/>
      <c r="AC139" s="123"/>
      <c r="AD139" s="125"/>
      <c r="AE139" s="123"/>
      <c r="AF139" s="123"/>
      <c r="AG139" s="123"/>
      <c r="AH139" s="123"/>
      <c r="AI139" s="123"/>
      <c r="AJ139" s="123"/>
      <c r="AK139" s="123"/>
    </row>
    <row r="140" spans="1:37" ht="14.25" customHeight="1" x14ac:dyDescent="0.2">
      <c r="A140" s="123"/>
      <c r="C140" s="123"/>
      <c r="AB140" s="123"/>
      <c r="AC140" s="123"/>
      <c r="AD140" s="125"/>
      <c r="AE140" s="123"/>
      <c r="AF140" s="123"/>
      <c r="AG140" s="123"/>
      <c r="AH140" s="123"/>
      <c r="AI140" s="123"/>
      <c r="AJ140" s="123"/>
      <c r="AK140" s="123"/>
    </row>
    <row r="141" spans="1:37" ht="14.25" customHeight="1" x14ac:dyDescent="0.2">
      <c r="A141" s="123"/>
      <c r="C141" s="123"/>
      <c r="AB141" s="123"/>
      <c r="AC141" s="123"/>
      <c r="AD141" s="125"/>
      <c r="AE141" s="123"/>
      <c r="AF141" s="123"/>
      <c r="AG141" s="123"/>
      <c r="AH141" s="123"/>
      <c r="AI141" s="123"/>
      <c r="AJ141" s="123"/>
      <c r="AK141" s="123"/>
    </row>
    <row r="142" spans="1:37" ht="14.25" customHeight="1" x14ac:dyDescent="0.2">
      <c r="A142" s="123"/>
      <c r="C142" s="123"/>
      <c r="AB142" s="123"/>
      <c r="AC142" s="123"/>
      <c r="AD142" s="125"/>
      <c r="AE142" s="123"/>
      <c r="AF142" s="123"/>
      <c r="AG142" s="123"/>
      <c r="AH142" s="123"/>
      <c r="AI142" s="123"/>
      <c r="AJ142" s="123"/>
      <c r="AK142" s="123"/>
    </row>
    <row r="143" spans="1:37" ht="14.25" customHeight="1" x14ac:dyDescent="0.2">
      <c r="A143" s="123"/>
      <c r="C143" s="123"/>
      <c r="AB143" s="123"/>
      <c r="AC143" s="123"/>
      <c r="AD143" s="125"/>
      <c r="AE143" s="123"/>
      <c r="AF143" s="123"/>
      <c r="AG143" s="123"/>
      <c r="AH143" s="123"/>
      <c r="AI143" s="123"/>
      <c r="AJ143" s="123"/>
      <c r="AK143" s="123"/>
    </row>
    <row r="144" spans="1:37" ht="14.25" customHeight="1" x14ac:dyDescent="0.2">
      <c r="A144" s="123"/>
      <c r="C144" s="123"/>
      <c r="AB144" s="123"/>
      <c r="AC144" s="123"/>
      <c r="AD144" s="125"/>
      <c r="AE144" s="123"/>
      <c r="AF144" s="123"/>
      <c r="AG144" s="123"/>
      <c r="AH144" s="123"/>
      <c r="AI144" s="123"/>
      <c r="AJ144" s="123"/>
      <c r="AK144" s="123"/>
    </row>
    <row r="145" spans="1:37" ht="14.25" customHeight="1" x14ac:dyDescent="0.2">
      <c r="A145" s="123"/>
      <c r="C145" s="123"/>
      <c r="AB145" s="123"/>
      <c r="AC145" s="123"/>
      <c r="AD145" s="125"/>
      <c r="AE145" s="123"/>
      <c r="AF145" s="123"/>
      <c r="AG145" s="123"/>
      <c r="AH145" s="123"/>
      <c r="AI145" s="123"/>
      <c r="AJ145" s="123"/>
      <c r="AK145" s="123"/>
    </row>
    <row r="146" spans="1:37" ht="14.25" customHeight="1" x14ac:dyDescent="0.2">
      <c r="A146" s="123"/>
      <c r="C146" s="123"/>
      <c r="AB146" s="123"/>
      <c r="AC146" s="123"/>
      <c r="AD146" s="125"/>
      <c r="AE146" s="123"/>
      <c r="AF146" s="123"/>
      <c r="AG146" s="123"/>
      <c r="AH146" s="123"/>
      <c r="AI146" s="123"/>
      <c r="AJ146" s="123"/>
      <c r="AK146" s="123"/>
    </row>
    <row r="147" spans="1:37" ht="14.25" customHeight="1" x14ac:dyDescent="0.2">
      <c r="A147" s="123"/>
      <c r="C147" s="123"/>
      <c r="AB147" s="123"/>
      <c r="AC147" s="123"/>
      <c r="AD147" s="125"/>
      <c r="AE147" s="123"/>
      <c r="AF147" s="123"/>
      <c r="AG147" s="123"/>
      <c r="AH147" s="123"/>
      <c r="AI147" s="123"/>
      <c r="AJ147" s="123"/>
      <c r="AK147" s="123"/>
    </row>
    <row r="148" spans="1:37" ht="14.25" customHeight="1" x14ac:dyDescent="0.2">
      <c r="A148" s="123"/>
      <c r="C148" s="123"/>
      <c r="AB148" s="123"/>
      <c r="AC148" s="123"/>
      <c r="AD148" s="125"/>
      <c r="AE148" s="123"/>
      <c r="AF148" s="123"/>
      <c r="AG148" s="123"/>
      <c r="AH148" s="123"/>
      <c r="AI148" s="123"/>
      <c r="AJ148" s="123"/>
      <c r="AK148" s="123"/>
    </row>
    <row r="149" spans="1:37" ht="14.25" customHeight="1" x14ac:dyDescent="0.2">
      <c r="A149" s="123"/>
      <c r="C149" s="123"/>
      <c r="AB149" s="123"/>
      <c r="AC149" s="123"/>
      <c r="AD149" s="125"/>
      <c r="AE149" s="123"/>
      <c r="AF149" s="123"/>
      <c r="AG149" s="123"/>
      <c r="AH149" s="123"/>
      <c r="AI149" s="123"/>
      <c r="AJ149" s="123"/>
      <c r="AK149" s="123"/>
    </row>
    <row r="150" spans="1:37" ht="14.25" customHeight="1" x14ac:dyDescent="0.2">
      <c r="A150" s="123"/>
      <c r="C150" s="123"/>
      <c r="AB150" s="123"/>
      <c r="AC150" s="123"/>
      <c r="AD150" s="125"/>
      <c r="AE150" s="123"/>
      <c r="AF150" s="123"/>
      <c r="AG150" s="123"/>
      <c r="AH150" s="123"/>
      <c r="AI150" s="123"/>
      <c r="AJ150" s="123"/>
      <c r="AK150" s="123"/>
    </row>
    <row r="151" spans="1:37" ht="14.25" customHeight="1" x14ac:dyDescent="0.2">
      <c r="A151" s="123"/>
      <c r="C151" s="123"/>
      <c r="AB151" s="123"/>
      <c r="AC151" s="123"/>
      <c r="AD151" s="125"/>
      <c r="AE151" s="123"/>
      <c r="AF151" s="123"/>
      <c r="AG151" s="123"/>
      <c r="AH151" s="123"/>
      <c r="AI151" s="123"/>
      <c r="AJ151" s="123"/>
      <c r="AK151" s="123"/>
    </row>
    <row r="152" spans="1:37" ht="14.25" customHeight="1" x14ac:dyDescent="0.2">
      <c r="A152" s="123"/>
      <c r="C152" s="123"/>
      <c r="AB152" s="123"/>
      <c r="AC152" s="123"/>
      <c r="AD152" s="125"/>
      <c r="AE152" s="123"/>
      <c r="AF152" s="123"/>
      <c r="AG152" s="123"/>
      <c r="AH152" s="123"/>
      <c r="AI152" s="123"/>
      <c r="AJ152" s="123"/>
      <c r="AK152" s="123"/>
    </row>
    <row r="153" spans="1:37" ht="14.25" customHeight="1" x14ac:dyDescent="0.2">
      <c r="A153" s="123"/>
      <c r="C153" s="123"/>
      <c r="AB153" s="123"/>
      <c r="AC153" s="123"/>
      <c r="AD153" s="125"/>
      <c r="AE153" s="123"/>
      <c r="AF153" s="123"/>
      <c r="AG153" s="123"/>
      <c r="AH153" s="123"/>
      <c r="AI153" s="123"/>
      <c r="AJ153" s="123"/>
      <c r="AK153" s="123"/>
    </row>
    <row r="154" spans="1:37" ht="14.25" customHeight="1" x14ac:dyDescent="0.2">
      <c r="A154" s="123"/>
      <c r="C154" s="123"/>
      <c r="AB154" s="123"/>
      <c r="AC154" s="123"/>
      <c r="AD154" s="125"/>
      <c r="AE154" s="123"/>
      <c r="AF154" s="123"/>
      <c r="AG154" s="123"/>
      <c r="AH154" s="123"/>
      <c r="AI154" s="123"/>
      <c r="AJ154" s="123"/>
      <c r="AK154" s="123"/>
    </row>
    <row r="155" spans="1:37" ht="14.25" customHeight="1" x14ac:dyDescent="0.2">
      <c r="A155" s="123"/>
      <c r="C155" s="123"/>
      <c r="AB155" s="123"/>
      <c r="AC155" s="123"/>
      <c r="AD155" s="125"/>
      <c r="AE155" s="123"/>
      <c r="AF155" s="123"/>
      <c r="AG155" s="123"/>
      <c r="AH155" s="123"/>
      <c r="AI155" s="123"/>
      <c r="AJ155" s="123"/>
      <c r="AK155" s="123"/>
    </row>
    <row r="156" spans="1:37" ht="14.25" customHeight="1" x14ac:dyDescent="0.2">
      <c r="A156" s="123"/>
      <c r="C156" s="123"/>
      <c r="AB156" s="123"/>
      <c r="AC156" s="123"/>
      <c r="AD156" s="125"/>
      <c r="AE156" s="123"/>
      <c r="AF156" s="123"/>
      <c r="AG156" s="123"/>
      <c r="AH156" s="123"/>
      <c r="AI156" s="123"/>
      <c r="AJ156" s="123"/>
      <c r="AK156" s="123"/>
    </row>
    <row r="157" spans="1:37" ht="14.25" customHeight="1" x14ac:dyDescent="0.2">
      <c r="A157" s="123"/>
      <c r="C157" s="123"/>
      <c r="AB157" s="123"/>
      <c r="AC157" s="123"/>
      <c r="AD157" s="125"/>
      <c r="AE157" s="123"/>
      <c r="AF157" s="123"/>
      <c r="AG157" s="123"/>
      <c r="AH157" s="123"/>
      <c r="AI157" s="123"/>
      <c r="AJ157" s="123"/>
      <c r="AK157" s="123"/>
    </row>
    <row r="158" spans="1:37" ht="14.25" customHeight="1" x14ac:dyDescent="0.2">
      <c r="A158" s="123"/>
      <c r="C158" s="123"/>
      <c r="AB158" s="123"/>
      <c r="AC158" s="123"/>
      <c r="AD158" s="125"/>
      <c r="AE158" s="123"/>
      <c r="AF158" s="123"/>
      <c r="AG158" s="123"/>
      <c r="AH158" s="123"/>
      <c r="AI158" s="123"/>
      <c r="AJ158" s="123"/>
      <c r="AK158" s="123"/>
    </row>
    <row r="159" spans="1:37" ht="14.25" customHeight="1" x14ac:dyDescent="0.2">
      <c r="A159" s="123"/>
      <c r="C159" s="123"/>
      <c r="AB159" s="123"/>
      <c r="AC159" s="123"/>
      <c r="AD159" s="125"/>
      <c r="AE159" s="123"/>
      <c r="AF159" s="123"/>
      <c r="AG159" s="123"/>
      <c r="AH159" s="123"/>
      <c r="AI159" s="123"/>
      <c r="AJ159" s="123"/>
      <c r="AK159" s="123"/>
    </row>
    <row r="160" spans="1:37" ht="14.25" customHeight="1" x14ac:dyDescent="0.2">
      <c r="A160" s="123"/>
      <c r="C160" s="123"/>
      <c r="AB160" s="123"/>
      <c r="AC160" s="123"/>
      <c r="AD160" s="125"/>
      <c r="AE160" s="123"/>
      <c r="AF160" s="123"/>
      <c r="AG160" s="123"/>
      <c r="AH160" s="123"/>
      <c r="AI160" s="123"/>
      <c r="AJ160" s="123"/>
      <c r="AK160" s="123"/>
    </row>
    <row r="161" spans="1:37" ht="14.25" customHeight="1" x14ac:dyDescent="0.2">
      <c r="A161" s="123"/>
      <c r="C161" s="123"/>
      <c r="AB161" s="123"/>
      <c r="AC161" s="123"/>
      <c r="AD161" s="125"/>
      <c r="AE161" s="123"/>
      <c r="AF161" s="123"/>
      <c r="AG161" s="123"/>
      <c r="AH161" s="123"/>
      <c r="AI161" s="123"/>
      <c r="AJ161" s="123"/>
      <c r="AK161" s="123"/>
    </row>
    <row r="162" spans="1:37" ht="14.25" customHeight="1" x14ac:dyDescent="0.2">
      <c r="A162" s="123"/>
      <c r="C162" s="123"/>
      <c r="AB162" s="123"/>
      <c r="AC162" s="123"/>
      <c r="AD162" s="125"/>
      <c r="AE162" s="123"/>
      <c r="AF162" s="123"/>
      <c r="AG162" s="123"/>
      <c r="AH162" s="123"/>
      <c r="AI162" s="123"/>
      <c r="AJ162" s="123"/>
      <c r="AK162" s="123"/>
    </row>
    <row r="163" spans="1:37" ht="14.25" customHeight="1" x14ac:dyDescent="0.2">
      <c r="A163" s="123"/>
      <c r="C163" s="123"/>
      <c r="AB163" s="123"/>
      <c r="AC163" s="123"/>
      <c r="AD163" s="125"/>
      <c r="AE163" s="123"/>
      <c r="AF163" s="123"/>
      <c r="AG163" s="123"/>
      <c r="AH163" s="123"/>
      <c r="AI163" s="123"/>
      <c r="AJ163" s="123"/>
      <c r="AK163" s="123"/>
    </row>
    <row r="164" spans="1:37" ht="14.25" customHeight="1" x14ac:dyDescent="0.2">
      <c r="A164" s="123"/>
      <c r="C164" s="123"/>
      <c r="AB164" s="123"/>
      <c r="AC164" s="123"/>
      <c r="AD164" s="125"/>
      <c r="AE164" s="123"/>
      <c r="AF164" s="123"/>
      <c r="AG164" s="123"/>
      <c r="AH164" s="123"/>
      <c r="AI164" s="123"/>
      <c r="AJ164" s="123"/>
      <c r="AK164" s="123"/>
    </row>
    <row r="165" spans="1:37" ht="14.25" customHeight="1" x14ac:dyDescent="0.2">
      <c r="A165" s="123"/>
      <c r="C165" s="123"/>
      <c r="AB165" s="123"/>
      <c r="AC165" s="123"/>
      <c r="AD165" s="125"/>
      <c r="AE165" s="123"/>
      <c r="AF165" s="123"/>
      <c r="AG165" s="123"/>
      <c r="AH165" s="123"/>
      <c r="AI165" s="123"/>
      <c r="AJ165" s="123"/>
      <c r="AK165" s="123"/>
    </row>
    <row r="166" spans="1:37" ht="14.25" customHeight="1" x14ac:dyDescent="0.2">
      <c r="A166" s="123"/>
      <c r="C166" s="123"/>
      <c r="AB166" s="123"/>
      <c r="AC166" s="123"/>
      <c r="AD166" s="125"/>
      <c r="AE166" s="123"/>
      <c r="AF166" s="123"/>
      <c r="AG166" s="123"/>
      <c r="AH166" s="123"/>
      <c r="AI166" s="123"/>
      <c r="AJ166" s="123"/>
      <c r="AK166" s="123"/>
    </row>
    <row r="167" spans="1:37" ht="14.25" customHeight="1" x14ac:dyDescent="0.2">
      <c r="A167" s="123"/>
      <c r="C167" s="123"/>
      <c r="AB167" s="123"/>
      <c r="AC167" s="123"/>
      <c r="AD167" s="125"/>
      <c r="AE167" s="123"/>
      <c r="AF167" s="123"/>
      <c r="AG167" s="123"/>
      <c r="AH167" s="123"/>
      <c r="AI167" s="123"/>
      <c r="AJ167" s="123"/>
      <c r="AK167" s="123"/>
    </row>
    <row r="168" spans="1:37" ht="14.25" customHeight="1" x14ac:dyDescent="0.2">
      <c r="A168" s="123"/>
      <c r="C168" s="123"/>
      <c r="AB168" s="123"/>
      <c r="AC168" s="123"/>
      <c r="AD168" s="125"/>
      <c r="AE168" s="123"/>
      <c r="AF168" s="123"/>
      <c r="AG168" s="123"/>
      <c r="AH168" s="123"/>
      <c r="AI168" s="123"/>
      <c r="AJ168" s="123"/>
      <c r="AK168" s="123"/>
    </row>
    <row r="169" spans="1:37" ht="14.25" customHeight="1" x14ac:dyDescent="0.2">
      <c r="A169" s="123"/>
      <c r="C169" s="123"/>
      <c r="AB169" s="123"/>
      <c r="AC169" s="123"/>
      <c r="AD169" s="125"/>
      <c r="AE169" s="123"/>
      <c r="AF169" s="123"/>
      <c r="AG169" s="123"/>
      <c r="AH169" s="123"/>
      <c r="AI169" s="123"/>
      <c r="AJ169" s="123"/>
      <c r="AK169" s="123"/>
    </row>
    <row r="170" spans="1:37" ht="14.25" customHeight="1" x14ac:dyDescent="0.2">
      <c r="A170" s="123"/>
      <c r="C170" s="123"/>
      <c r="AB170" s="123"/>
      <c r="AC170" s="123"/>
      <c r="AD170" s="125"/>
      <c r="AE170" s="123"/>
      <c r="AF170" s="123"/>
      <c r="AG170" s="123"/>
      <c r="AH170" s="123"/>
      <c r="AI170" s="123"/>
      <c r="AJ170" s="123"/>
      <c r="AK170" s="123"/>
    </row>
    <row r="171" spans="1:37" ht="14.25" customHeight="1" x14ac:dyDescent="0.2">
      <c r="A171" s="123"/>
      <c r="C171" s="123"/>
      <c r="AB171" s="123"/>
      <c r="AC171" s="123"/>
      <c r="AD171" s="125"/>
      <c r="AE171" s="123"/>
      <c r="AF171" s="123"/>
      <c r="AG171" s="123"/>
      <c r="AH171" s="123"/>
      <c r="AI171" s="123"/>
      <c r="AJ171" s="123"/>
      <c r="AK171" s="123"/>
    </row>
    <row r="172" spans="1:37" ht="14.25" customHeight="1" x14ac:dyDescent="0.2">
      <c r="A172" s="123"/>
      <c r="C172" s="123"/>
      <c r="AB172" s="123"/>
      <c r="AC172" s="123"/>
      <c r="AD172" s="125"/>
      <c r="AE172" s="123"/>
      <c r="AF172" s="123"/>
      <c r="AG172" s="123"/>
      <c r="AH172" s="123"/>
      <c r="AI172" s="123"/>
      <c r="AJ172" s="123"/>
      <c r="AK172" s="123"/>
    </row>
    <row r="173" spans="1:37" ht="14.25" customHeight="1" x14ac:dyDescent="0.2">
      <c r="A173" s="123"/>
      <c r="C173" s="123"/>
      <c r="AB173" s="123"/>
      <c r="AC173" s="123"/>
      <c r="AD173" s="125"/>
      <c r="AE173" s="123"/>
      <c r="AF173" s="123"/>
      <c r="AG173" s="123"/>
      <c r="AH173" s="123"/>
      <c r="AI173" s="123"/>
      <c r="AJ173" s="123"/>
      <c r="AK173" s="123"/>
    </row>
    <row r="174" spans="1:37" ht="14.25" customHeight="1" x14ac:dyDescent="0.2">
      <c r="A174" s="123"/>
      <c r="C174" s="123"/>
      <c r="AB174" s="123"/>
      <c r="AC174" s="123"/>
      <c r="AD174" s="125"/>
      <c r="AE174" s="123"/>
      <c r="AF174" s="123"/>
      <c r="AG174" s="123"/>
      <c r="AH174" s="123"/>
      <c r="AI174" s="123"/>
      <c r="AJ174" s="123"/>
      <c r="AK174" s="123"/>
    </row>
    <row r="175" spans="1:37" ht="14.25" customHeight="1" x14ac:dyDescent="0.2">
      <c r="A175" s="123"/>
      <c r="C175" s="123"/>
      <c r="AB175" s="123"/>
      <c r="AC175" s="123"/>
      <c r="AD175" s="125"/>
      <c r="AE175" s="123"/>
      <c r="AF175" s="123"/>
      <c r="AG175" s="123"/>
      <c r="AH175" s="123"/>
      <c r="AI175" s="123"/>
      <c r="AJ175" s="123"/>
      <c r="AK175" s="123"/>
    </row>
    <row r="176" spans="1:37" ht="14.25" customHeight="1" x14ac:dyDescent="0.2">
      <c r="A176" s="123"/>
      <c r="C176" s="123"/>
      <c r="AB176" s="123"/>
      <c r="AC176" s="123"/>
      <c r="AD176" s="125"/>
      <c r="AE176" s="123"/>
      <c r="AF176" s="123"/>
      <c r="AG176" s="123"/>
      <c r="AH176" s="123"/>
      <c r="AI176" s="123"/>
      <c r="AJ176" s="123"/>
      <c r="AK176" s="123"/>
    </row>
    <row r="177" spans="1:37" ht="14.25" customHeight="1" x14ac:dyDescent="0.2">
      <c r="A177" s="123"/>
      <c r="C177" s="123"/>
      <c r="AB177" s="123"/>
      <c r="AC177" s="123"/>
      <c r="AD177" s="125"/>
      <c r="AE177" s="123"/>
      <c r="AF177" s="123"/>
      <c r="AG177" s="123"/>
      <c r="AH177" s="123"/>
      <c r="AI177" s="123"/>
      <c r="AJ177" s="123"/>
      <c r="AK177" s="123"/>
    </row>
    <row r="178" spans="1:37" ht="14.25" customHeight="1" x14ac:dyDescent="0.2">
      <c r="A178" s="123"/>
      <c r="C178" s="123"/>
      <c r="AB178" s="123"/>
      <c r="AC178" s="123"/>
      <c r="AD178" s="125"/>
      <c r="AE178" s="123"/>
      <c r="AF178" s="123"/>
      <c r="AG178" s="123"/>
      <c r="AH178" s="123"/>
      <c r="AI178" s="123"/>
      <c r="AJ178" s="123"/>
      <c r="AK178" s="123"/>
    </row>
    <row r="179" spans="1:37" ht="14.25" customHeight="1" x14ac:dyDescent="0.2">
      <c r="A179" s="123"/>
      <c r="C179" s="123"/>
      <c r="AB179" s="123"/>
      <c r="AC179" s="123"/>
      <c r="AD179" s="125"/>
      <c r="AE179" s="123"/>
      <c r="AF179" s="123"/>
      <c r="AG179" s="123"/>
      <c r="AH179" s="123"/>
      <c r="AI179" s="123"/>
      <c r="AJ179" s="123"/>
      <c r="AK179" s="123"/>
    </row>
    <row r="180" spans="1:37" ht="14.25" customHeight="1" x14ac:dyDescent="0.2">
      <c r="A180" s="123"/>
      <c r="C180" s="123"/>
      <c r="AB180" s="123"/>
      <c r="AC180" s="123"/>
      <c r="AD180" s="125"/>
      <c r="AE180" s="123"/>
      <c r="AF180" s="123"/>
      <c r="AG180" s="123"/>
      <c r="AH180" s="123"/>
      <c r="AI180" s="123"/>
      <c r="AJ180" s="123"/>
      <c r="AK180" s="123"/>
    </row>
    <row r="181" spans="1:37" ht="14.25" customHeight="1" x14ac:dyDescent="0.2">
      <c r="A181" s="123"/>
      <c r="C181" s="123"/>
      <c r="AB181" s="123"/>
      <c r="AC181" s="123"/>
      <c r="AD181" s="125"/>
      <c r="AE181" s="123"/>
      <c r="AF181" s="123"/>
      <c r="AG181" s="123"/>
      <c r="AH181" s="123"/>
      <c r="AI181" s="123"/>
      <c r="AJ181" s="123"/>
      <c r="AK181" s="123"/>
    </row>
    <row r="182" spans="1:37" ht="14.25" customHeight="1" x14ac:dyDescent="0.2">
      <c r="A182" s="123"/>
      <c r="C182" s="123"/>
      <c r="AB182" s="123"/>
      <c r="AC182" s="123"/>
      <c r="AD182" s="125"/>
      <c r="AE182" s="123"/>
      <c r="AF182" s="123"/>
      <c r="AG182" s="123"/>
      <c r="AH182" s="123"/>
      <c r="AI182" s="123"/>
      <c r="AJ182" s="123"/>
      <c r="AK182" s="123"/>
    </row>
    <row r="183" spans="1:37" ht="14.25" customHeight="1" x14ac:dyDescent="0.2">
      <c r="A183" s="123"/>
      <c r="C183" s="123"/>
      <c r="AB183" s="123"/>
      <c r="AC183" s="123"/>
      <c r="AD183" s="125"/>
      <c r="AE183" s="123"/>
      <c r="AF183" s="123"/>
      <c r="AG183" s="123"/>
      <c r="AH183" s="123"/>
      <c r="AI183" s="123"/>
      <c r="AJ183" s="123"/>
      <c r="AK183" s="123"/>
    </row>
    <row r="184" spans="1:37" ht="14.25" customHeight="1" x14ac:dyDescent="0.2">
      <c r="A184" s="123"/>
      <c r="C184" s="123"/>
      <c r="AB184" s="123"/>
      <c r="AC184" s="123"/>
      <c r="AD184" s="125"/>
      <c r="AE184" s="123"/>
      <c r="AF184" s="123"/>
      <c r="AG184" s="123"/>
      <c r="AH184" s="123"/>
      <c r="AI184" s="123"/>
      <c r="AJ184" s="123"/>
      <c r="AK184" s="123"/>
    </row>
    <row r="185" spans="1:37" ht="14.25" customHeight="1" x14ac:dyDescent="0.2">
      <c r="A185" s="123"/>
      <c r="C185" s="123"/>
      <c r="AB185" s="123"/>
      <c r="AC185" s="123"/>
      <c r="AD185" s="125"/>
      <c r="AE185" s="123"/>
      <c r="AF185" s="123"/>
      <c r="AG185" s="123"/>
      <c r="AH185" s="123"/>
      <c r="AI185" s="123"/>
      <c r="AJ185" s="123"/>
      <c r="AK185" s="123"/>
    </row>
    <row r="186" spans="1:37" ht="14.25" customHeight="1" x14ac:dyDescent="0.2">
      <c r="A186" s="123"/>
      <c r="C186" s="123"/>
      <c r="AB186" s="123"/>
      <c r="AC186" s="123"/>
      <c r="AD186" s="125"/>
      <c r="AE186" s="123"/>
      <c r="AF186" s="123"/>
      <c r="AG186" s="123"/>
      <c r="AH186" s="123"/>
      <c r="AI186" s="123"/>
      <c r="AJ186" s="123"/>
      <c r="AK186" s="123"/>
    </row>
    <row r="187" spans="1:37" ht="14.25" customHeight="1" x14ac:dyDescent="0.2">
      <c r="A187" s="123"/>
      <c r="C187" s="123"/>
      <c r="AB187" s="123"/>
      <c r="AC187" s="123"/>
      <c r="AD187" s="125"/>
      <c r="AE187" s="123"/>
      <c r="AF187" s="123"/>
      <c r="AG187" s="123"/>
      <c r="AH187" s="123"/>
      <c r="AI187" s="123"/>
      <c r="AJ187" s="123"/>
      <c r="AK187" s="123"/>
    </row>
    <row r="188" spans="1:37" ht="14.25" customHeight="1" x14ac:dyDescent="0.2">
      <c r="A188" s="123"/>
      <c r="C188" s="123"/>
      <c r="AB188" s="123"/>
      <c r="AC188" s="123"/>
      <c r="AD188" s="125"/>
      <c r="AE188" s="123"/>
      <c r="AF188" s="123"/>
      <c r="AG188" s="123"/>
      <c r="AH188" s="123"/>
      <c r="AI188" s="123"/>
      <c r="AJ188" s="123"/>
      <c r="AK188" s="123"/>
    </row>
    <row r="189" spans="1:37" ht="14.25" customHeight="1" x14ac:dyDescent="0.2">
      <c r="A189" s="123"/>
      <c r="C189" s="123"/>
      <c r="AB189" s="123"/>
      <c r="AC189" s="123"/>
      <c r="AD189" s="125"/>
      <c r="AE189" s="123"/>
      <c r="AF189" s="123"/>
      <c r="AG189" s="123"/>
      <c r="AH189" s="123"/>
      <c r="AI189" s="123"/>
      <c r="AJ189" s="123"/>
      <c r="AK189" s="123"/>
    </row>
    <row r="190" spans="1:37" ht="14.25" customHeight="1" x14ac:dyDescent="0.2">
      <c r="A190" s="123"/>
      <c r="C190" s="123"/>
      <c r="AB190" s="123"/>
      <c r="AC190" s="123"/>
      <c r="AD190" s="125"/>
      <c r="AE190" s="123"/>
      <c r="AF190" s="123"/>
      <c r="AG190" s="123"/>
      <c r="AH190" s="123"/>
      <c r="AI190" s="123"/>
      <c r="AJ190" s="123"/>
      <c r="AK190" s="123"/>
    </row>
    <row r="191" spans="1:37" ht="14.25" customHeight="1" x14ac:dyDescent="0.2">
      <c r="A191" s="123"/>
      <c r="C191" s="123"/>
      <c r="AB191" s="123"/>
      <c r="AC191" s="123"/>
      <c r="AD191" s="125"/>
      <c r="AE191" s="123"/>
      <c r="AF191" s="123"/>
      <c r="AG191" s="123"/>
      <c r="AH191" s="123"/>
      <c r="AI191" s="123"/>
      <c r="AJ191" s="123"/>
      <c r="AK191" s="123"/>
    </row>
    <row r="192" spans="1:37" ht="14.25" customHeight="1" x14ac:dyDescent="0.2">
      <c r="A192" s="123"/>
      <c r="C192" s="123"/>
      <c r="AB192" s="123"/>
      <c r="AC192" s="123"/>
      <c r="AD192" s="125"/>
      <c r="AE192" s="123"/>
      <c r="AF192" s="123"/>
      <c r="AG192" s="123"/>
      <c r="AH192" s="123"/>
      <c r="AI192" s="123"/>
      <c r="AJ192" s="123"/>
      <c r="AK192" s="123"/>
    </row>
    <row r="193" spans="1:37" ht="14.25" customHeight="1" x14ac:dyDescent="0.2">
      <c r="A193" s="123"/>
      <c r="C193" s="123"/>
      <c r="AB193" s="123"/>
      <c r="AC193" s="123"/>
      <c r="AD193" s="125"/>
      <c r="AE193" s="123"/>
      <c r="AF193" s="123"/>
      <c r="AG193" s="123"/>
      <c r="AH193" s="123"/>
      <c r="AI193" s="123"/>
      <c r="AJ193" s="123"/>
      <c r="AK193" s="123"/>
    </row>
    <row r="194" spans="1:37" ht="14.25" customHeight="1" x14ac:dyDescent="0.2">
      <c r="A194" s="123"/>
      <c r="C194" s="123"/>
      <c r="AB194" s="123"/>
      <c r="AC194" s="123"/>
      <c r="AD194" s="125"/>
      <c r="AE194" s="123"/>
      <c r="AF194" s="123"/>
      <c r="AG194" s="123"/>
      <c r="AH194" s="123"/>
      <c r="AI194" s="123"/>
      <c r="AJ194" s="123"/>
      <c r="AK194" s="123"/>
    </row>
    <row r="195" spans="1:37" ht="14.25" customHeight="1" x14ac:dyDescent="0.2">
      <c r="A195" s="123"/>
      <c r="C195" s="123"/>
      <c r="AB195" s="123"/>
      <c r="AC195" s="123"/>
      <c r="AD195" s="125"/>
      <c r="AE195" s="123"/>
      <c r="AF195" s="123"/>
      <c r="AG195" s="123"/>
      <c r="AH195" s="123"/>
      <c r="AI195" s="123"/>
      <c r="AJ195" s="123"/>
      <c r="AK195" s="123"/>
    </row>
    <row r="196" spans="1:37" ht="14.25" customHeight="1" x14ac:dyDescent="0.2">
      <c r="A196" s="123"/>
      <c r="C196" s="123"/>
      <c r="AB196" s="123"/>
      <c r="AC196" s="123"/>
      <c r="AD196" s="125"/>
      <c r="AE196" s="123"/>
      <c r="AF196" s="123"/>
      <c r="AG196" s="123"/>
      <c r="AH196" s="123"/>
      <c r="AI196" s="123"/>
      <c r="AJ196" s="123"/>
      <c r="AK196" s="123"/>
    </row>
    <row r="197" spans="1:37" ht="14.25" customHeight="1" x14ac:dyDescent="0.2">
      <c r="A197" s="123"/>
      <c r="C197" s="123"/>
      <c r="AB197" s="123"/>
      <c r="AC197" s="123"/>
      <c r="AD197" s="125"/>
      <c r="AE197" s="123"/>
      <c r="AF197" s="123"/>
      <c r="AG197" s="123"/>
      <c r="AH197" s="123"/>
      <c r="AI197" s="123"/>
      <c r="AJ197" s="123"/>
      <c r="AK197" s="123"/>
    </row>
    <row r="198" spans="1:37" ht="14.25" customHeight="1" x14ac:dyDescent="0.2">
      <c r="A198" s="123"/>
      <c r="C198" s="123"/>
      <c r="AB198" s="123"/>
      <c r="AC198" s="123"/>
      <c r="AD198" s="125"/>
      <c r="AE198" s="123"/>
      <c r="AF198" s="123"/>
      <c r="AG198" s="123"/>
      <c r="AH198" s="123"/>
      <c r="AI198" s="123"/>
      <c r="AJ198" s="123"/>
      <c r="AK198" s="123"/>
    </row>
    <row r="199" spans="1:37" ht="14.25" customHeight="1" x14ac:dyDescent="0.2">
      <c r="A199" s="123"/>
      <c r="C199" s="123"/>
      <c r="AB199" s="123"/>
      <c r="AC199" s="123"/>
      <c r="AD199" s="125"/>
      <c r="AE199" s="123"/>
      <c r="AF199" s="123"/>
      <c r="AG199" s="123"/>
      <c r="AH199" s="123"/>
      <c r="AI199" s="123"/>
      <c r="AJ199" s="123"/>
      <c r="AK199" s="123"/>
    </row>
    <row r="200" spans="1:37" ht="14.25" customHeight="1" x14ac:dyDescent="0.2">
      <c r="A200" s="123"/>
      <c r="C200" s="123"/>
      <c r="AB200" s="123"/>
      <c r="AC200" s="123"/>
      <c r="AD200" s="125"/>
      <c r="AE200" s="123"/>
      <c r="AF200" s="123"/>
      <c r="AG200" s="123"/>
      <c r="AH200" s="123"/>
      <c r="AI200" s="123"/>
      <c r="AJ200" s="123"/>
      <c r="AK200" s="123"/>
    </row>
    <row r="201" spans="1:37" ht="14.25" customHeight="1" x14ac:dyDescent="0.2">
      <c r="A201" s="123"/>
      <c r="C201" s="123"/>
      <c r="AB201" s="123"/>
      <c r="AC201" s="123"/>
      <c r="AD201" s="125"/>
      <c r="AE201" s="123"/>
      <c r="AF201" s="123"/>
      <c r="AG201" s="123"/>
      <c r="AH201" s="123"/>
      <c r="AI201" s="123"/>
      <c r="AJ201" s="123"/>
      <c r="AK201" s="123"/>
    </row>
    <row r="202" spans="1:37" ht="14.25" customHeight="1" x14ac:dyDescent="0.2">
      <c r="A202" s="123"/>
      <c r="C202" s="123"/>
      <c r="AB202" s="123"/>
      <c r="AC202" s="123"/>
      <c r="AD202" s="125"/>
      <c r="AE202" s="123"/>
      <c r="AF202" s="123"/>
      <c r="AG202" s="123"/>
      <c r="AH202" s="123"/>
      <c r="AI202" s="123"/>
      <c r="AJ202" s="123"/>
      <c r="AK202" s="123"/>
    </row>
    <row r="203" spans="1:37" ht="14.25" customHeight="1" x14ac:dyDescent="0.2">
      <c r="A203" s="123"/>
      <c r="C203" s="123"/>
      <c r="AB203" s="123"/>
      <c r="AC203" s="123"/>
      <c r="AD203" s="125"/>
      <c r="AE203" s="123"/>
      <c r="AF203" s="123"/>
      <c r="AG203" s="123"/>
      <c r="AH203" s="123"/>
      <c r="AI203" s="123"/>
      <c r="AJ203" s="123"/>
      <c r="AK203" s="123"/>
    </row>
    <row r="204" spans="1:37" ht="14.25" customHeight="1" x14ac:dyDescent="0.2">
      <c r="A204" s="123"/>
      <c r="C204" s="123"/>
      <c r="AB204" s="123"/>
      <c r="AC204" s="123"/>
      <c r="AD204" s="125"/>
      <c r="AE204" s="123"/>
      <c r="AF204" s="123"/>
      <c r="AG204" s="123"/>
      <c r="AH204" s="123"/>
      <c r="AI204" s="123"/>
      <c r="AJ204" s="123"/>
      <c r="AK204" s="123"/>
    </row>
    <row r="205" spans="1:37" ht="14.25" customHeight="1" x14ac:dyDescent="0.2">
      <c r="A205" s="123"/>
      <c r="C205" s="123"/>
      <c r="AB205" s="123"/>
      <c r="AC205" s="123"/>
      <c r="AD205" s="125"/>
      <c r="AE205" s="123"/>
      <c r="AF205" s="123"/>
      <c r="AG205" s="123"/>
      <c r="AH205" s="123"/>
      <c r="AI205" s="123"/>
      <c r="AJ205" s="123"/>
      <c r="AK205" s="123"/>
    </row>
    <row r="206" spans="1:37" ht="14.25" customHeight="1" x14ac:dyDescent="0.2">
      <c r="A206" s="123"/>
      <c r="C206" s="123"/>
      <c r="AB206" s="123"/>
      <c r="AC206" s="123"/>
      <c r="AD206" s="125"/>
      <c r="AE206" s="123"/>
      <c r="AF206" s="123"/>
      <c r="AG206" s="123"/>
      <c r="AH206" s="123"/>
      <c r="AI206" s="123"/>
      <c r="AJ206" s="123"/>
      <c r="AK206" s="123"/>
    </row>
    <row r="207" spans="1:37" ht="14.25" customHeight="1" x14ac:dyDescent="0.2">
      <c r="A207" s="123"/>
      <c r="C207" s="123"/>
      <c r="AB207" s="123"/>
      <c r="AC207" s="123"/>
      <c r="AD207" s="125"/>
      <c r="AE207" s="123"/>
      <c r="AF207" s="123"/>
      <c r="AG207" s="123"/>
      <c r="AH207" s="123"/>
      <c r="AI207" s="123"/>
      <c r="AJ207" s="123"/>
      <c r="AK207" s="123"/>
    </row>
    <row r="208" spans="1:37" ht="14.25" customHeight="1" x14ac:dyDescent="0.2">
      <c r="A208" s="123"/>
      <c r="C208" s="123"/>
      <c r="AB208" s="123"/>
      <c r="AC208" s="123"/>
      <c r="AD208" s="125"/>
      <c r="AE208" s="123"/>
      <c r="AF208" s="123"/>
      <c r="AG208" s="123"/>
      <c r="AH208" s="123"/>
      <c r="AI208" s="123"/>
      <c r="AJ208" s="123"/>
      <c r="AK208" s="123"/>
    </row>
    <row r="209" spans="1:37" ht="14.25" customHeight="1" x14ac:dyDescent="0.2">
      <c r="A209" s="123"/>
      <c r="C209" s="123"/>
      <c r="AB209" s="123"/>
      <c r="AC209" s="123"/>
      <c r="AD209" s="125"/>
      <c r="AE209" s="123"/>
      <c r="AF209" s="123"/>
      <c r="AG209" s="123"/>
      <c r="AH209" s="123"/>
      <c r="AI209" s="123"/>
      <c r="AJ209" s="123"/>
      <c r="AK209" s="123"/>
    </row>
    <row r="210" spans="1:37" ht="14.25" customHeight="1" x14ac:dyDescent="0.2">
      <c r="A210" s="123"/>
      <c r="C210" s="123"/>
      <c r="AB210" s="123"/>
      <c r="AC210" s="123"/>
      <c r="AD210" s="125"/>
      <c r="AE210" s="123"/>
      <c r="AF210" s="123"/>
      <c r="AG210" s="123"/>
      <c r="AH210" s="123"/>
      <c r="AI210" s="123"/>
      <c r="AJ210" s="123"/>
      <c r="AK210" s="123"/>
    </row>
    <row r="211" spans="1:37" ht="14.25" customHeight="1" x14ac:dyDescent="0.2">
      <c r="A211" s="123"/>
      <c r="C211" s="123"/>
      <c r="AB211" s="123"/>
      <c r="AC211" s="123"/>
      <c r="AD211" s="125"/>
      <c r="AE211" s="123"/>
      <c r="AF211" s="123"/>
      <c r="AG211" s="123"/>
      <c r="AH211" s="123"/>
      <c r="AI211" s="123"/>
      <c r="AJ211" s="123"/>
      <c r="AK211" s="123"/>
    </row>
    <row r="212" spans="1:37" ht="14.25" customHeight="1" x14ac:dyDescent="0.2">
      <c r="A212" s="123"/>
      <c r="C212" s="123"/>
      <c r="AB212" s="123"/>
      <c r="AC212" s="123"/>
      <c r="AD212" s="125"/>
      <c r="AE212" s="123"/>
      <c r="AF212" s="123"/>
      <c r="AG212" s="123"/>
      <c r="AH212" s="123"/>
      <c r="AI212" s="123"/>
      <c r="AJ212" s="123"/>
      <c r="AK212" s="123"/>
    </row>
    <row r="213" spans="1:37" ht="14.25" customHeight="1" x14ac:dyDescent="0.2">
      <c r="A213" s="123"/>
      <c r="C213" s="123"/>
      <c r="AB213" s="123"/>
      <c r="AC213" s="123"/>
      <c r="AD213" s="125"/>
      <c r="AE213" s="123"/>
      <c r="AF213" s="123"/>
      <c r="AG213" s="123"/>
      <c r="AH213" s="123"/>
      <c r="AI213" s="123"/>
      <c r="AJ213" s="123"/>
      <c r="AK213" s="123"/>
    </row>
    <row r="214" spans="1:37" ht="14.25" customHeight="1" x14ac:dyDescent="0.2">
      <c r="A214" s="123"/>
      <c r="C214" s="123"/>
      <c r="AB214" s="123"/>
      <c r="AC214" s="123"/>
      <c r="AD214" s="125"/>
      <c r="AE214" s="123"/>
      <c r="AF214" s="123"/>
      <c r="AG214" s="123"/>
      <c r="AH214" s="123"/>
      <c r="AI214" s="123"/>
      <c r="AJ214" s="123"/>
      <c r="AK214" s="123"/>
    </row>
    <row r="215" spans="1:37" ht="14.25" customHeight="1" x14ac:dyDescent="0.2">
      <c r="A215" s="123"/>
      <c r="C215" s="123"/>
      <c r="AB215" s="123"/>
      <c r="AC215" s="123"/>
      <c r="AD215" s="125"/>
      <c r="AE215" s="123"/>
      <c r="AF215" s="123"/>
      <c r="AG215" s="123"/>
      <c r="AH215" s="123"/>
      <c r="AI215" s="123"/>
      <c r="AJ215" s="123"/>
      <c r="AK215" s="123"/>
    </row>
    <row r="216" spans="1:37" ht="14.25" customHeight="1" x14ac:dyDescent="0.2">
      <c r="A216" s="123"/>
      <c r="C216" s="123"/>
      <c r="AB216" s="123"/>
      <c r="AC216" s="123"/>
      <c r="AD216" s="125"/>
      <c r="AE216" s="123"/>
      <c r="AF216" s="123"/>
      <c r="AG216" s="123"/>
      <c r="AH216" s="123"/>
      <c r="AI216" s="123"/>
      <c r="AJ216" s="123"/>
      <c r="AK216" s="123"/>
    </row>
    <row r="217" spans="1:37" ht="14.25" customHeight="1" x14ac:dyDescent="0.2">
      <c r="A217" s="123"/>
      <c r="C217" s="123"/>
      <c r="AB217" s="123"/>
      <c r="AC217" s="123"/>
      <c r="AD217" s="125"/>
      <c r="AE217" s="123"/>
      <c r="AF217" s="123"/>
      <c r="AG217" s="123"/>
      <c r="AH217" s="123"/>
      <c r="AI217" s="123"/>
      <c r="AJ217" s="123"/>
      <c r="AK217" s="123"/>
    </row>
    <row r="218" spans="1:37" ht="14.25" customHeight="1" x14ac:dyDescent="0.2">
      <c r="A218" s="123"/>
      <c r="C218" s="123"/>
      <c r="AB218" s="123"/>
      <c r="AC218" s="123"/>
      <c r="AD218" s="125"/>
      <c r="AE218" s="123"/>
      <c r="AF218" s="123"/>
      <c r="AG218" s="123"/>
      <c r="AH218" s="123"/>
      <c r="AI218" s="123"/>
      <c r="AJ218" s="123"/>
      <c r="AK218" s="123"/>
    </row>
    <row r="219" spans="1:37" ht="14.25" customHeight="1" x14ac:dyDescent="0.2">
      <c r="A219" s="123"/>
      <c r="C219" s="123"/>
      <c r="AB219" s="123"/>
      <c r="AC219" s="123"/>
      <c r="AD219" s="125"/>
      <c r="AE219" s="123"/>
      <c r="AF219" s="123"/>
      <c r="AG219" s="123"/>
      <c r="AH219" s="123"/>
      <c r="AI219" s="123"/>
      <c r="AJ219" s="123"/>
      <c r="AK219" s="123"/>
    </row>
    <row r="220" spans="1:37" ht="14.25" customHeight="1" x14ac:dyDescent="0.2">
      <c r="A220" s="123"/>
      <c r="C220" s="123"/>
      <c r="AB220" s="123"/>
      <c r="AC220" s="123"/>
      <c r="AD220" s="125"/>
      <c r="AE220" s="123"/>
      <c r="AF220" s="123"/>
      <c r="AG220" s="123"/>
      <c r="AH220" s="123"/>
      <c r="AI220" s="123"/>
      <c r="AJ220" s="123"/>
      <c r="AK220" s="123"/>
    </row>
    <row r="221" spans="1:37" ht="14.25" customHeight="1" x14ac:dyDescent="0.2">
      <c r="A221" s="123"/>
      <c r="C221" s="123"/>
      <c r="AB221" s="123"/>
      <c r="AC221" s="123"/>
      <c r="AD221" s="125"/>
      <c r="AE221" s="123"/>
      <c r="AF221" s="123"/>
      <c r="AG221" s="123"/>
      <c r="AH221" s="123"/>
      <c r="AI221" s="123"/>
      <c r="AJ221" s="123"/>
      <c r="AK221" s="123"/>
    </row>
    <row r="222" spans="1:37" ht="14.25" customHeight="1" x14ac:dyDescent="0.2">
      <c r="A222" s="123"/>
      <c r="C222" s="123"/>
      <c r="AB222" s="123"/>
      <c r="AC222" s="123"/>
      <c r="AD222" s="125"/>
      <c r="AE222" s="123"/>
      <c r="AF222" s="123"/>
      <c r="AG222" s="123"/>
      <c r="AH222" s="123"/>
      <c r="AI222" s="123"/>
      <c r="AJ222" s="123"/>
      <c r="AK222" s="123"/>
    </row>
    <row r="223" spans="1:37" ht="14.25" customHeight="1" x14ac:dyDescent="0.2">
      <c r="A223" s="123"/>
      <c r="C223" s="123"/>
      <c r="AB223" s="123"/>
      <c r="AC223" s="123"/>
      <c r="AD223" s="125"/>
      <c r="AE223" s="123"/>
      <c r="AF223" s="123"/>
      <c r="AG223" s="123"/>
      <c r="AH223" s="123"/>
      <c r="AI223" s="123"/>
      <c r="AJ223" s="123"/>
      <c r="AK223" s="123"/>
    </row>
    <row r="224" spans="1:37" ht="14.25" customHeight="1" x14ac:dyDescent="0.2">
      <c r="A224" s="123"/>
      <c r="C224" s="123"/>
      <c r="AB224" s="123"/>
      <c r="AC224" s="123"/>
      <c r="AD224" s="125"/>
      <c r="AE224" s="123"/>
      <c r="AF224" s="123"/>
      <c r="AG224" s="123"/>
      <c r="AH224" s="123"/>
      <c r="AI224" s="123"/>
      <c r="AJ224" s="123"/>
      <c r="AK224" s="123"/>
    </row>
    <row r="225" spans="1:37" ht="14.25" customHeight="1" x14ac:dyDescent="0.2">
      <c r="A225" s="123"/>
      <c r="C225" s="123"/>
      <c r="AB225" s="123"/>
      <c r="AC225" s="123"/>
      <c r="AD225" s="125"/>
      <c r="AE225" s="123"/>
      <c r="AF225" s="123"/>
      <c r="AG225" s="123"/>
      <c r="AH225" s="123"/>
      <c r="AI225" s="123"/>
      <c r="AJ225" s="123"/>
      <c r="AK225" s="123"/>
    </row>
    <row r="226" spans="1:37" ht="14.25" customHeight="1" x14ac:dyDescent="0.2">
      <c r="A226" s="123"/>
      <c r="C226" s="123"/>
      <c r="AB226" s="123"/>
      <c r="AC226" s="123"/>
      <c r="AD226" s="125"/>
      <c r="AE226" s="123"/>
      <c r="AF226" s="123"/>
      <c r="AG226" s="123"/>
      <c r="AH226" s="123"/>
      <c r="AI226" s="123"/>
      <c r="AJ226" s="123"/>
      <c r="AK226" s="123"/>
    </row>
    <row r="227" spans="1:37" ht="14.25" customHeight="1" x14ac:dyDescent="0.2">
      <c r="A227" s="123"/>
      <c r="C227" s="123"/>
      <c r="AB227" s="123"/>
      <c r="AC227" s="123"/>
      <c r="AD227" s="125"/>
      <c r="AE227" s="123"/>
      <c r="AF227" s="123"/>
      <c r="AG227" s="123"/>
      <c r="AH227" s="123"/>
      <c r="AI227" s="123"/>
      <c r="AJ227" s="123"/>
      <c r="AK227" s="123"/>
    </row>
    <row r="228" spans="1:37" ht="14.25" customHeight="1" x14ac:dyDescent="0.2">
      <c r="A228" s="123"/>
      <c r="C228" s="123"/>
      <c r="AB228" s="123"/>
      <c r="AC228" s="123"/>
      <c r="AD228" s="125"/>
      <c r="AE228" s="123"/>
      <c r="AF228" s="123"/>
      <c r="AG228" s="123"/>
      <c r="AH228" s="123"/>
      <c r="AI228" s="123"/>
      <c r="AJ228" s="123"/>
      <c r="AK228" s="123"/>
    </row>
    <row r="229" spans="1:37" ht="14.25" customHeight="1" x14ac:dyDescent="0.2">
      <c r="A229" s="123"/>
      <c r="C229" s="123"/>
      <c r="AB229" s="123"/>
      <c r="AC229" s="123"/>
      <c r="AD229" s="125"/>
      <c r="AE229" s="123"/>
      <c r="AF229" s="123"/>
      <c r="AG229" s="123"/>
      <c r="AH229" s="123"/>
      <c r="AI229" s="123"/>
      <c r="AJ229" s="123"/>
      <c r="AK229" s="123"/>
    </row>
    <row r="230" spans="1:37" ht="14.25" customHeight="1" x14ac:dyDescent="0.2">
      <c r="A230" s="123"/>
      <c r="C230" s="123"/>
      <c r="AB230" s="123"/>
      <c r="AC230" s="123"/>
      <c r="AD230" s="125"/>
      <c r="AE230" s="123"/>
      <c r="AF230" s="123"/>
      <c r="AG230" s="123"/>
      <c r="AH230" s="123"/>
      <c r="AI230" s="123"/>
      <c r="AJ230" s="123"/>
      <c r="AK230" s="123"/>
    </row>
    <row r="231" spans="1:37" ht="14.25" customHeight="1" x14ac:dyDescent="0.2">
      <c r="A231" s="123"/>
      <c r="C231" s="123"/>
      <c r="AB231" s="123"/>
      <c r="AC231" s="123"/>
      <c r="AD231" s="125"/>
      <c r="AE231" s="123"/>
      <c r="AF231" s="123"/>
      <c r="AG231" s="123"/>
      <c r="AH231" s="123"/>
      <c r="AI231" s="123"/>
      <c r="AJ231" s="123"/>
      <c r="AK231" s="123"/>
    </row>
    <row r="232" spans="1:37" ht="14.25" customHeight="1" x14ac:dyDescent="0.2">
      <c r="A232" s="123"/>
      <c r="C232" s="123"/>
      <c r="AB232" s="123"/>
      <c r="AC232" s="123"/>
      <c r="AD232" s="125"/>
      <c r="AE232" s="123"/>
      <c r="AF232" s="123"/>
      <c r="AG232" s="123"/>
      <c r="AH232" s="123"/>
      <c r="AI232" s="123"/>
      <c r="AJ232" s="123"/>
      <c r="AK232" s="123"/>
    </row>
    <row r="233" spans="1:37" ht="14.25" customHeight="1" x14ac:dyDescent="0.2">
      <c r="A233" s="123"/>
      <c r="C233" s="123"/>
      <c r="AB233" s="123"/>
      <c r="AC233" s="123"/>
      <c r="AD233" s="125"/>
      <c r="AE233" s="123"/>
      <c r="AF233" s="123"/>
      <c r="AG233" s="123"/>
      <c r="AH233" s="123"/>
      <c r="AI233" s="123"/>
      <c r="AJ233" s="123"/>
      <c r="AK233" s="123"/>
    </row>
    <row r="234" spans="1:37" ht="14.25" customHeight="1" x14ac:dyDescent="0.2">
      <c r="A234" s="123"/>
      <c r="C234" s="123"/>
      <c r="AB234" s="123"/>
      <c r="AC234" s="123"/>
      <c r="AD234" s="125"/>
      <c r="AE234" s="123"/>
      <c r="AF234" s="123"/>
      <c r="AG234" s="123"/>
      <c r="AH234" s="123"/>
      <c r="AI234" s="123"/>
      <c r="AJ234" s="123"/>
      <c r="AK234" s="123"/>
    </row>
    <row r="235" spans="1:37" ht="14.25" customHeight="1" x14ac:dyDescent="0.2">
      <c r="A235" s="123"/>
      <c r="C235" s="123"/>
      <c r="AB235" s="123"/>
      <c r="AC235" s="123"/>
      <c r="AD235" s="125"/>
      <c r="AE235" s="123"/>
      <c r="AF235" s="123"/>
      <c r="AG235" s="123"/>
      <c r="AH235" s="123"/>
      <c r="AI235" s="123"/>
      <c r="AJ235" s="123"/>
      <c r="AK235" s="123"/>
    </row>
    <row r="236" spans="1:37" ht="14.25" customHeight="1" x14ac:dyDescent="0.2">
      <c r="A236" s="123"/>
      <c r="C236" s="123"/>
      <c r="AB236" s="123"/>
      <c r="AC236" s="123"/>
      <c r="AD236" s="125"/>
      <c r="AE236" s="123"/>
      <c r="AF236" s="123"/>
      <c r="AG236" s="123"/>
      <c r="AH236" s="123"/>
      <c r="AI236" s="123"/>
      <c r="AJ236" s="123"/>
      <c r="AK236" s="123"/>
    </row>
    <row r="237" spans="1:37" ht="14.25" customHeight="1" x14ac:dyDescent="0.2">
      <c r="A237" s="123"/>
      <c r="C237" s="123"/>
      <c r="AB237" s="123"/>
      <c r="AC237" s="123"/>
      <c r="AD237" s="125"/>
      <c r="AE237" s="123"/>
      <c r="AF237" s="123"/>
      <c r="AG237" s="123"/>
      <c r="AH237" s="123"/>
      <c r="AI237" s="123"/>
      <c r="AJ237" s="123"/>
      <c r="AK237" s="123"/>
    </row>
    <row r="238" spans="1:37" ht="14.25" customHeight="1" x14ac:dyDescent="0.2">
      <c r="A238" s="123"/>
      <c r="C238" s="123"/>
      <c r="AB238" s="123"/>
      <c r="AC238" s="123"/>
      <c r="AD238" s="125"/>
      <c r="AE238" s="123"/>
      <c r="AF238" s="123"/>
      <c r="AG238" s="123"/>
      <c r="AH238" s="123"/>
      <c r="AI238" s="123"/>
      <c r="AJ238" s="123"/>
      <c r="AK238" s="123"/>
    </row>
    <row r="239" spans="1:37" ht="14.25" customHeight="1" x14ac:dyDescent="0.2">
      <c r="A239" s="123"/>
      <c r="C239" s="123"/>
      <c r="AB239" s="123"/>
      <c r="AC239" s="123"/>
      <c r="AD239" s="125"/>
      <c r="AE239" s="123"/>
      <c r="AF239" s="123"/>
      <c r="AG239" s="123"/>
      <c r="AH239" s="123"/>
      <c r="AI239" s="123"/>
      <c r="AJ239" s="123"/>
      <c r="AK239" s="123"/>
    </row>
    <row r="240" spans="1:37" ht="14.25" customHeight="1" x14ac:dyDescent="0.2">
      <c r="A240" s="123"/>
      <c r="C240" s="123"/>
      <c r="AB240" s="123"/>
      <c r="AC240" s="123"/>
      <c r="AD240" s="125"/>
      <c r="AE240" s="123"/>
      <c r="AF240" s="123"/>
      <c r="AG240" s="123"/>
      <c r="AH240" s="123"/>
      <c r="AI240" s="123"/>
      <c r="AJ240" s="123"/>
      <c r="AK240" s="123"/>
    </row>
    <row r="241" spans="1:37" ht="14.25" customHeight="1" x14ac:dyDescent="0.2">
      <c r="A241" s="123"/>
      <c r="C241" s="123"/>
      <c r="AB241" s="123"/>
      <c r="AC241" s="123"/>
      <c r="AD241" s="125"/>
      <c r="AE241" s="123"/>
      <c r="AF241" s="123"/>
      <c r="AG241" s="123"/>
      <c r="AH241" s="123"/>
      <c r="AI241" s="123"/>
      <c r="AJ241" s="123"/>
      <c r="AK241" s="123"/>
    </row>
    <row r="242" spans="1:37" ht="14.25" customHeight="1" x14ac:dyDescent="0.2">
      <c r="A242" s="123"/>
      <c r="C242" s="123"/>
      <c r="AB242" s="123"/>
      <c r="AC242" s="123"/>
      <c r="AD242" s="125"/>
      <c r="AE242" s="123"/>
      <c r="AF242" s="123"/>
      <c r="AG242" s="123"/>
      <c r="AH242" s="123"/>
      <c r="AI242" s="123"/>
      <c r="AJ242" s="123"/>
      <c r="AK242" s="123"/>
    </row>
    <row r="243" spans="1:37" ht="14.25" customHeight="1" x14ac:dyDescent="0.2">
      <c r="A243" s="123"/>
      <c r="C243" s="123"/>
      <c r="AB243" s="123"/>
      <c r="AC243" s="123"/>
      <c r="AD243" s="125"/>
      <c r="AE243" s="123"/>
      <c r="AF243" s="123"/>
      <c r="AG243" s="123"/>
      <c r="AH243" s="123"/>
      <c r="AI243" s="123"/>
      <c r="AJ243" s="123"/>
      <c r="AK243" s="123"/>
    </row>
    <row r="244" spans="1:37" ht="14.25" customHeight="1" x14ac:dyDescent="0.2">
      <c r="A244" s="123"/>
      <c r="C244" s="123"/>
      <c r="AB244" s="123"/>
      <c r="AC244" s="123"/>
      <c r="AD244" s="125"/>
      <c r="AE244" s="123"/>
      <c r="AF244" s="123"/>
      <c r="AG244" s="123"/>
      <c r="AH244" s="123"/>
      <c r="AI244" s="123"/>
      <c r="AJ244" s="123"/>
      <c r="AK244" s="123"/>
    </row>
    <row r="245" spans="1:37" ht="14.25" customHeight="1" x14ac:dyDescent="0.2">
      <c r="A245" s="123"/>
      <c r="C245" s="123"/>
      <c r="AB245" s="123"/>
      <c r="AC245" s="123"/>
      <c r="AD245" s="125"/>
      <c r="AE245" s="123"/>
      <c r="AF245" s="123"/>
      <c r="AG245" s="123"/>
      <c r="AH245" s="123"/>
      <c r="AI245" s="123"/>
      <c r="AJ245" s="123"/>
      <c r="AK245" s="123"/>
    </row>
    <row r="246" spans="1:37" ht="14.25" customHeight="1" x14ac:dyDescent="0.2">
      <c r="A246" s="123"/>
      <c r="C246" s="123"/>
      <c r="AB246" s="123"/>
      <c r="AC246" s="123"/>
      <c r="AD246" s="125"/>
      <c r="AE246" s="123"/>
      <c r="AF246" s="123"/>
      <c r="AG246" s="123"/>
      <c r="AH246" s="123"/>
      <c r="AI246" s="123"/>
      <c r="AJ246" s="123"/>
      <c r="AK246" s="123"/>
    </row>
    <row r="247" spans="1:37" ht="14.25" customHeight="1" x14ac:dyDescent="0.2">
      <c r="A247" s="123"/>
      <c r="C247" s="123"/>
      <c r="AB247" s="123"/>
      <c r="AC247" s="123"/>
      <c r="AD247" s="125"/>
      <c r="AE247" s="123"/>
      <c r="AF247" s="123"/>
      <c r="AG247" s="123"/>
      <c r="AH247" s="123"/>
      <c r="AI247" s="123"/>
      <c r="AJ247" s="123"/>
      <c r="AK247" s="123"/>
    </row>
    <row r="248" spans="1:37" ht="14.25" customHeight="1" x14ac:dyDescent="0.2">
      <c r="A248" s="123"/>
      <c r="C248" s="123"/>
      <c r="AB248" s="123"/>
      <c r="AC248" s="123"/>
      <c r="AD248" s="125"/>
      <c r="AE248" s="123"/>
      <c r="AF248" s="123"/>
      <c r="AG248" s="123"/>
      <c r="AH248" s="123"/>
      <c r="AI248" s="123"/>
      <c r="AJ248" s="123"/>
      <c r="AK248" s="123"/>
    </row>
    <row r="249" spans="1:37" ht="14.25" customHeight="1" x14ac:dyDescent="0.2">
      <c r="A249" s="123"/>
      <c r="C249" s="123"/>
      <c r="AB249" s="123"/>
      <c r="AC249" s="123"/>
      <c r="AD249" s="125"/>
      <c r="AE249" s="123"/>
      <c r="AF249" s="123"/>
      <c r="AG249" s="123"/>
      <c r="AH249" s="123"/>
      <c r="AI249" s="123"/>
      <c r="AJ249" s="123"/>
      <c r="AK249" s="123"/>
    </row>
    <row r="250" spans="1:37" ht="14.25" customHeight="1" x14ac:dyDescent="0.2">
      <c r="A250" s="123"/>
      <c r="C250" s="123"/>
      <c r="AB250" s="123"/>
      <c r="AC250" s="123"/>
      <c r="AD250" s="125"/>
      <c r="AE250" s="123"/>
      <c r="AF250" s="123"/>
      <c r="AG250" s="123"/>
      <c r="AH250" s="123"/>
      <c r="AI250" s="123"/>
      <c r="AJ250" s="123"/>
      <c r="AK250" s="123"/>
    </row>
    <row r="251" spans="1:37" ht="14.25" customHeight="1" x14ac:dyDescent="0.2">
      <c r="A251" s="123"/>
      <c r="C251" s="123"/>
      <c r="AB251" s="123"/>
      <c r="AC251" s="123"/>
      <c r="AD251" s="125"/>
      <c r="AE251" s="123"/>
      <c r="AF251" s="123"/>
      <c r="AG251" s="123"/>
      <c r="AH251" s="123"/>
      <c r="AI251" s="123"/>
      <c r="AJ251" s="123"/>
      <c r="AK251" s="123"/>
    </row>
    <row r="252" spans="1:37" ht="14.25" customHeight="1" x14ac:dyDescent="0.2">
      <c r="A252" s="123"/>
      <c r="C252" s="123"/>
      <c r="AB252" s="123"/>
      <c r="AC252" s="123"/>
      <c r="AD252" s="125"/>
      <c r="AE252" s="123"/>
      <c r="AF252" s="123"/>
      <c r="AG252" s="123"/>
      <c r="AH252" s="123"/>
      <c r="AI252" s="123"/>
      <c r="AJ252" s="123"/>
      <c r="AK252" s="123"/>
    </row>
    <row r="253" spans="1:37" ht="14.25" customHeight="1" x14ac:dyDescent="0.2">
      <c r="A253" s="123"/>
      <c r="C253" s="123"/>
      <c r="AB253" s="123"/>
      <c r="AC253" s="123"/>
      <c r="AD253" s="125"/>
      <c r="AE253" s="123"/>
      <c r="AF253" s="123"/>
      <c r="AG253" s="123"/>
      <c r="AH253" s="123"/>
      <c r="AI253" s="123"/>
      <c r="AJ253" s="123"/>
      <c r="AK253" s="123"/>
    </row>
    <row r="254" spans="1:37" ht="14.25" customHeight="1" x14ac:dyDescent="0.2">
      <c r="A254" s="123"/>
      <c r="C254" s="123"/>
      <c r="AB254" s="123"/>
      <c r="AC254" s="123"/>
      <c r="AD254" s="125"/>
      <c r="AE254" s="123"/>
      <c r="AF254" s="123"/>
      <c r="AG254" s="123"/>
      <c r="AH254" s="123"/>
      <c r="AI254" s="123"/>
      <c r="AJ254" s="123"/>
      <c r="AK254" s="123"/>
    </row>
    <row r="255" spans="1:37" ht="14.25" customHeight="1" x14ac:dyDescent="0.2">
      <c r="A255" s="123"/>
      <c r="C255" s="123"/>
      <c r="AB255" s="123"/>
      <c r="AC255" s="123"/>
      <c r="AD255" s="125"/>
      <c r="AE255" s="123"/>
      <c r="AF255" s="123"/>
      <c r="AG255" s="123"/>
      <c r="AH255" s="123"/>
      <c r="AI255" s="123"/>
      <c r="AJ255" s="123"/>
      <c r="AK255" s="123"/>
    </row>
    <row r="256" spans="1:37" ht="14.25" customHeight="1" x14ac:dyDescent="0.2">
      <c r="A256" s="123"/>
      <c r="C256" s="123"/>
      <c r="AB256" s="123"/>
      <c r="AC256" s="123"/>
      <c r="AD256" s="125"/>
      <c r="AE256" s="123"/>
      <c r="AF256" s="123"/>
      <c r="AG256" s="123"/>
      <c r="AH256" s="123"/>
      <c r="AI256" s="123"/>
      <c r="AJ256" s="123"/>
      <c r="AK256" s="123"/>
    </row>
    <row r="257" spans="1:37" ht="14.25" customHeight="1" x14ac:dyDescent="0.2">
      <c r="A257" s="123"/>
      <c r="C257" s="123"/>
      <c r="AB257" s="123"/>
      <c r="AC257" s="123"/>
      <c r="AD257" s="125"/>
      <c r="AE257" s="123"/>
      <c r="AF257" s="123"/>
      <c r="AG257" s="123"/>
      <c r="AH257" s="123"/>
      <c r="AI257" s="123"/>
      <c r="AJ257" s="123"/>
      <c r="AK257" s="123"/>
    </row>
    <row r="258" spans="1:37" ht="14.25" customHeight="1" x14ac:dyDescent="0.2">
      <c r="A258" s="123"/>
      <c r="C258" s="123"/>
      <c r="AB258" s="123"/>
      <c r="AC258" s="123"/>
      <c r="AD258" s="125"/>
      <c r="AE258" s="123"/>
      <c r="AF258" s="123"/>
      <c r="AG258" s="123"/>
      <c r="AH258" s="123"/>
      <c r="AI258" s="123"/>
      <c r="AJ258" s="123"/>
      <c r="AK258" s="123"/>
    </row>
    <row r="259" spans="1:37" ht="14.25" customHeight="1" x14ac:dyDescent="0.2">
      <c r="A259" s="123"/>
      <c r="C259" s="123"/>
      <c r="AB259" s="123"/>
      <c r="AC259" s="123"/>
      <c r="AD259" s="125"/>
      <c r="AE259" s="123"/>
      <c r="AF259" s="123"/>
      <c r="AG259" s="123"/>
      <c r="AH259" s="123"/>
      <c r="AI259" s="123"/>
      <c r="AJ259" s="123"/>
      <c r="AK259" s="123"/>
    </row>
    <row r="260" spans="1:37" ht="14.25" customHeight="1" x14ac:dyDescent="0.2">
      <c r="A260" s="123"/>
      <c r="C260" s="123"/>
      <c r="AB260" s="123"/>
      <c r="AC260" s="123"/>
      <c r="AD260" s="125"/>
      <c r="AE260" s="123"/>
      <c r="AF260" s="123"/>
      <c r="AG260" s="123"/>
      <c r="AH260" s="123"/>
      <c r="AI260" s="123"/>
      <c r="AJ260" s="123"/>
      <c r="AK260" s="123"/>
    </row>
    <row r="261" spans="1:37" ht="14.25" customHeight="1" x14ac:dyDescent="0.2">
      <c r="A261" s="123"/>
      <c r="C261" s="123"/>
      <c r="AB261" s="123"/>
      <c r="AC261" s="123"/>
      <c r="AD261" s="125"/>
      <c r="AE261" s="123"/>
      <c r="AF261" s="123"/>
      <c r="AG261" s="123"/>
      <c r="AH261" s="123"/>
      <c r="AI261" s="123"/>
      <c r="AJ261" s="123"/>
      <c r="AK261" s="123"/>
    </row>
    <row r="262" spans="1:37" ht="14.25" customHeight="1" x14ac:dyDescent="0.2">
      <c r="A262" s="123"/>
      <c r="C262" s="123"/>
      <c r="AB262" s="123"/>
      <c r="AC262" s="123"/>
      <c r="AD262" s="125"/>
      <c r="AE262" s="123"/>
      <c r="AF262" s="123"/>
      <c r="AG262" s="123"/>
      <c r="AH262" s="123"/>
      <c r="AI262" s="123"/>
      <c r="AJ262" s="123"/>
      <c r="AK262" s="123"/>
    </row>
    <row r="263" spans="1:37" ht="14.25" customHeight="1" x14ac:dyDescent="0.2">
      <c r="A263" s="123"/>
      <c r="C263" s="123"/>
      <c r="AB263" s="123"/>
      <c r="AC263" s="123"/>
      <c r="AD263" s="125"/>
      <c r="AE263" s="123"/>
      <c r="AF263" s="123"/>
      <c r="AG263" s="123"/>
      <c r="AH263" s="123"/>
      <c r="AI263" s="123"/>
      <c r="AJ263" s="123"/>
      <c r="AK263" s="123"/>
    </row>
    <row r="264" spans="1:37" ht="14.25" customHeight="1" x14ac:dyDescent="0.2">
      <c r="A264" s="123"/>
      <c r="C264" s="123"/>
      <c r="AB264" s="123"/>
      <c r="AC264" s="123"/>
      <c r="AD264" s="125"/>
      <c r="AE264" s="123"/>
      <c r="AF264" s="123"/>
      <c r="AG264" s="123"/>
      <c r="AH264" s="123"/>
      <c r="AI264" s="123"/>
      <c r="AJ264" s="123"/>
      <c r="AK264" s="123"/>
    </row>
    <row r="265" spans="1:37" ht="14.25" customHeight="1" x14ac:dyDescent="0.2">
      <c r="A265" s="123"/>
      <c r="C265" s="123"/>
      <c r="AB265" s="123"/>
      <c r="AC265" s="123"/>
      <c r="AD265" s="125"/>
      <c r="AE265" s="123"/>
      <c r="AF265" s="123"/>
      <c r="AG265" s="123"/>
      <c r="AH265" s="123"/>
      <c r="AI265" s="123"/>
      <c r="AJ265" s="123"/>
      <c r="AK265" s="123"/>
    </row>
    <row r="266" spans="1:37" ht="14.25" customHeight="1" x14ac:dyDescent="0.2">
      <c r="A266" s="123"/>
      <c r="C266" s="123"/>
      <c r="AB266" s="123"/>
      <c r="AC266" s="123"/>
      <c r="AD266" s="125"/>
      <c r="AE266" s="123"/>
      <c r="AF266" s="123"/>
      <c r="AG266" s="123"/>
      <c r="AH266" s="123"/>
      <c r="AI266" s="123"/>
      <c r="AJ266" s="123"/>
      <c r="AK266" s="123"/>
    </row>
    <row r="267" spans="1:37" ht="14.25" customHeight="1" x14ac:dyDescent="0.2">
      <c r="A267" s="123"/>
      <c r="C267" s="123"/>
      <c r="AB267" s="123"/>
      <c r="AC267" s="123"/>
      <c r="AD267" s="125"/>
      <c r="AE267" s="123"/>
      <c r="AF267" s="123"/>
      <c r="AG267" s="123"/>
      <c r="AH267" s="123"/>
      <c r="AI267" s="123"/>
      <c r="AJ267" s="123"/>
      <c r="AK267" s="123"/>
    </row>
    <row r="268" spans="1:37" ht="14.25" customHeight="1" x14ac:dyDescent="0.2">
      <c r="A268" s="123"/>
      <c r="C268" s="123"/>
      <c r="AB268" s="123"/>
      <c r="AC268" s="123"/>
      <c r="AD268" s="125"/>
      <c r="AE268" s="123"/>
      <c r="AF268" s="123"/>
      <c r="AG268" s="123"/>
      <c r="AH268" s="123"/>
      <c r="AI268" s="123"/>
      <c r="AJ268" s="123"/>
      <c r="AK268" s="123"/>
    </row>
    <row r="269" spans="1:37" ht="14.25" customHeight="1" x14ac:dyDescent="0.2">
      <c r="A269" s="123"/>
      <c r="C269" s="123"/>
      <c r="AB269" s="123"/>
      <c r="AC269" s="123"/>
      <c r="AD269" s="125"/>
      <c r="AE269" s="123"/>
      <c r="AF269" s="123"/>
      <c r="AG269" s="123"/>
      <c r="AH269" s="123"/>
      <c r="AI269" s="123"/>
      <c r="AJ269" s="123"/>
      <c r="AK269" s="123"/>
    </row>
    <row r="270" spans="1:37" ht="14.25" customHeight="1" x14ac:dyDescent="0.2">
      <c r="A270" s="123"/>
      <c r="C270" s="123"/>
      <c r="AB270" s="123"/>
      <c r="AC270" s="123"/>
      <c r="AD270" s="125"/>
      <c r="AE270" s="123"/>
      <c r="AF270" s="123"/>
      <c r="AG270" s="123"/>
      <c r="AH270" s="123"/>
      <c r="AI270" s="123"/>
      <c r="AJ270" s="123"/>
      <c r="AK270" s="123"/>
    </row>
    <row r="271" spans="1:37" ht="14.25" customHeight="1" x14ac:dyDescent="0.2">
      <c r="A271" s="123"/>
      <c r="C271" s="123"/>
      <c r="AB271" s="123"/>
      <c r="AC271" s="123"/>
      <c r="AD271" s="125"/>
      <c r="AE271" s="123"/>
      <c r="AF271" s="123"/>
      <c r="AG271" s="123"/>
      <c r="AH271" s="123"/>
      <c r="AI271" s="123"/>
      <c r="AJ271" s="123"/>
      <c r="AK271" s="123"/>
    </row>
    <row r="272" spans="1:37" ht="14.25" customHeight="1" x14ac:dyDescent="0.2">
      <c r="A272" s="123"/>
      <c r="C272" s="123"/>
      <c r="AB272" s="123"/>
      <c r="AC272" s="123"/>
      <c r="AD272" s="125"/>
      <c r="AE272" s="123"/>
      <c r="AF272" s="123"/>
      <c r="AG272" s="123"/>
      <c r="AH272" s="123"/>
      <c r="AI272" s="123"/>
      <c r="AJ272" s="123"/>
      <c r="AK272" s="123"/>
    </row>
    <row r="273" spans="1:37" ht="14.25" customHeight="1" x14ac:dyDescent="0.2">
      <c r="A273" s="123"/>
      <c r="C273" s="123"/>
      <c r="AB273" s="123"/>
      <c r="AC273" s="123"/>
      <c r="AD273" s="125"/>
      <c r="AE273" s="123"/>
      <c r="AF273" s="123"/>
      <c r="AG273" s="123"/>
      <c r="AH273" s="123"/>
      <c r="AI273" s="123"/>
      <c r="AJ273" s="123"/>
      <c r="AK273" s="123"/>
    </row>
    <row r="274" spans="1:37" ht="14.25" customHeight="1" x14ac:dyDescent="0.2">
      <c r="A274" s="123"/>
      <c r="C274" s="123"/>
      <c r="AB274" s="123"/>
      <c r="AC274" s="123"/>
      <c r="AD274" s="125"/>
      <c r="AE274" s="123"/>
      <c r="AF274" s="123"/>
      <c r="AG274" s="123"/>
      <c r="AH274" s="123"/>
      <c r="AI274" s="123"/>
      <c r="AJ274" s="123"/>
      <c r="AK274" s="123"/>
    </row>
    <row r="275" spans="1:37" ht="14.25" customHeight="1" x14ac:dyDescent="0.2">
      <c r="A275" s="123"/>
      <c r="C275" s="123"/>
      <c r="AB275" s="123"/>
      <c r="AC275" s="123"/>
      <c r="AD275" s="125"/>
      <c r="AE275" s="123"/>
      <c r="AF275" s="123"/>
      <c r="AG275" s="123"/>
      <c r="AH275" s="123"/>
      <c r="AI275" s="123"/>
      <c r="AJ275" s="123"/>
      <c r="AK275" s="123"/>
    </row>
    <row r="276" spans="1:37" ht="14.25" customHeight="1" x14ac:dyDescent="0.2">
      <c r="A276" s="123"/>
      <c r="C276" s="123"/>
      <c r="AB276" s="123"/>
      <c r="AC276" s="123"/>
      <c r="AD276" s="125"/>
      <c r="AE276" s="123"/>
      <c r="AF276" s="123"/>
      <c r="AG276" s="123"/>
      <c r="AH276" s="123"/>
      <c r="AI276" s="123"/>
      <c r="AJ276" s="123"/>
      <c r="AK276" s="123"/>
    </row>
    <row r="277" spans="1:37" ht="14.25" customHeight="1" x14ac:dyDescent="0.2">
      <c r="A277" s="123"/>
      <c r="C277" s="123"/>
      <c r="AB277" s="123"/>
      <c r="AC277" s="123"/>
      <c r="AD277" s="125"/>
      <c r="AE277" s="123"/>
      <c r="AF277" s="123"/>
      <c r="AG277" s="123"/>
      <c r="AH277" s="123"/>
      <c r="AI277" s="123"/>
      <c r="AJ277" s="123"/>
      <c r="AK277" s="123"/>
    </row>
    <row r="278" spans="1:37" ht="14.25" customHeight="1" x14ac:dyDescent="0.2">
      <c r="A278" s="123"/>
      <c r="C278" s="123"/>
      <c r="AB278" s="123"/>
      <c r="AC278" s="123"/>
      <c r="AD278" s="125"/>
      <c r="AE278" s="123"/>
      <c r="AF278" s="123"/>
      <c r="AG278" s="123"/>
      <c r="AH278" s="123"/>
      <c r="AI278" s="123"/>
      <c r="AJ278" s="123"/>
      <c r="AK278" s="123"/>
    </row>
    <row r="279" spans="1:37" ht="14.25" customHeight="1" x14ac:dyDescent="0.2">
      <c r="A279" s="123"/>
      <c r="C279" s="123"/>
      <c r="AB279" s="123"/>
      <c r="AC279" s="123"/>
      <c r="AD279" s="125"/>
      <c r="AE279" s="123"/>
      <c r="AF279" s="123"/>
      <c r="AG279" s="123"/>
      <c r="AH279" s="123"/>
      <c r="AI279" s="123"/>
      <c r="AJ279" s="123"/>
      <c r="AK279" s="123"/>
    </row>
    <row r="280" spans="1:37" ht="14.25" customHeight="1" x14ac:dyDescent="0.2">
      <c r="A280" s="123"/>
      <c r="C280" s="123"/>
      <c r="AB280" s="123"/>
      <c r="AC280" s="123"/>
      <c r="AD280" s="125"/>
      <c r="AE280" s="123"/>
      <c r="AF280" s="123"/>
      <c r="AG280" s="123"/>
      <c r="AH280" s="123"/>
      <c r="AI280" s="123"/>
      <c r="AJ280" s="123"/>
      <c r="AK280" s="123"/>
    </row>
    <row r="281" spans="1:37" ht="14.25" customHeight="1" x14ac:dyDescent="0.2">
      <c r="A281" s="123"/>
      <c r="C281" s="123"/>
      <c r="AB281" s="123"/>
      <c r="AC281" s="123"/>
      <c r="AD281" s="125"/>
      <c r="AE281" s="123"/>
      <c r="AF281" s="123"/>
      <c r="AG281" s="123"/>
      <c r="AH281" s="123"/>
      <c r="AI281" s="123"/>
      <c r="AJ281" s="123"/>
      <c r="AK281" s="123"/>
    </row>
    <row r="282" spans="1:37" ht="14.25" customHeight="1" x14ac:dyDescent="0.2">
      <c r="A282" s="123"/>
      <c r="C282" s="123"/>
      <c r="AB282" s="123"/>
      <c r="AC282" s="123"/>
      <c r="AD282" s="125"/>
      <c r="AE282" s="123"/>
      <c r="AF282" s="123"/>
      <c r="AG282" s="123"/>
      <c r="AH282" s="123"/>
      <c r="AI282" s="123"/>
      <c r="AJ282" s="123"/>
      <c r="AK282" s="123"/>
    </row>
    <row r="283" spans="1:37" ht="14.25" customHeight="1" x14ac:dyDescent="0.2">
      <c r="A283" s="123"/>
      <c r="C283" s="123"/>
      <c r="AB283" s="123"/>
      <c r="AC283" s="123"/>
      <c r="AD283" s="125"/>
      <c r="AE283" s="123"/>
      <c r="AF283" s="123"/>
      <c r="AG283" s="123"/>
      <c r="AH283" s="123"/>
      <c r="AI283" s="123"/>
      <c r="AJ283" s="123"/>
      <c r="AK283" s="123"/>
    </row>
    <row r="284" spans="1:37" ht="14.25" customHeight="1" x14ac:dyDescent="0.2">
      <c r="A284" s="123"/>
      <c r="C284" s="123"/>
      <c r="AB284" s="123"/>
      <c r="AC284" s="123"/>
      <c r="AD284" s="125"/>
      <c r="AE284" s="123"/>
      <c r="AF284" s="123"/>
      <c r="AG284" s="123"/>
      <c r="AH284" s="123"/>
      <c r="AI284" s="123"/>
      <c r="AJ284" s="123"/>
      <c r="AK284" s="123"/>
    </row>
    <row r="285" spans="1:37" ht="14.25" customHeight="1" x14ac:dyDescent="0.2">
      <c r="A285" s="123"/>
      <c r="C285" s="123"/>
      <c r="AB285" s="123"/>
      <c r="AC285" s="123"/>
      <c r="AD285" s="125"/>
      <c r="AE285" s="123"/>
      <c r="AF285" s="123"/>
      <c r="AG285" s="123"/>
      <c r="AH285" s="123"/>
      <c r="AI285" s="123"/>
      <c r="AJ285" s="123"/>
      <c r="AK285" s="123"/>
    </row>
    <row r="286" spans="1:37" ht="14.25" customHeight="1" x14ac:dyDescent="0.2">
      <c r="A286" s="123"/>
      <c r="C286" s="123"/>
      <c r="AB286" s="123"/>
      <c r="AC286" s="123"/>
      <c r="AD286" s="125"/>
      <c r="AE286" s="123"/>
      <c r="AF286" s="123"/>
      <c r="AG286" s="123"/>
      <c r="AH286" s="123"/>
      <c r="AI286" s="123"/>
      <c r="AJ286" s="123"/>
      <c r="AK286" s="123"/>
    </row>
    <row r="287" spans="1:37" ht="14.25" customHeight="1" x14ac:dyDescent="0.2">
      <c r="A287" s="123"/>
      <c r="C287" s="123"/>
      <c r="AB287" s="123"/>
      <c r="AC287" s="123"/>
      <c r="AD287" s="125"/>
      <c r="AE287" s="123"/>
      <c r="AF287" s="123"/>
      <c r="AG287" s="123"/>
      <c r="AH287" s="123"/>
      <c r="AI287" s="123"/>
      <c r="AJ287" s="123"/>
      <c r="AK287" s="123"/>
    </row>
    <row r="288" spans="1:37" ht="14.25" customHeight="1" x14ac:dyDescent="0.2">
      <c r="A288" s="123"/>
      <c r="C288" s="123"/>
      <c r="AB288" s="123"/>
      <c r="AC288" s="123"/>
      <c r="AD288" s="125"/>
      <c r="AE288" s="123"/>
      <c r="AF288" s="123"/>
      <c r="AG288" s="123"/>
      <c r="AH288" s="123"/>
      <c r="AI288" s="123"/>
      <c r="AJ288" s="123"/>
      <c r="AK288" s="123"/>
    </row>
    <row r="289" spans="1:37" ht="14.25" customHeight="1" x14ac:dyDescent="0.2">
      <c r="A289" s="123"/>
      <c r="C289" s="123"/>
      <c r="AB289" s="123"/>
      <c r="AC289" s="123"/>
      <c r="AD289" s="125"/>
      <c r="AE289" s="123"/>
      <c r="AF289" s="123"/>
      <c r="AG289" s="123"/>
      <c r="AH289" s="123"/>
      <c r="AI289" s="123"/>
      <c r="AJ289" s="123"/>
      <c r="AK289" s="123"/>
    </row>
    <row r="290" spans="1:37" ht="14.25" customHeight="1" x14ac:dyDescent="0.2">
      <c r="A290" s="123"/>
      <c r="C290" s="123"/>
      <c r="AB290" s="123"/>
      <c r="AC290" s="123"/>
      <c r="AD290" s="125"/>
      <c r="AE290" s="123"/>
      <c r="AF290" s="123"/>
      <c r="AG290" s="123"/>
      <c r="AH290" s="123"/>
      <c r="AI290" s="123"/>
      <c r="AJ290" s="123"/>
      <c r="AK290" s="123"/>
    </row>
    <row r="291" spans="1:37" ht="14.25" customHeight="1" x14ac:dyDescent="0.2">
      <c r="A291" s="123"/>
      <c r="C291" s="123"/>
      <c r="AB291" s="123"/>
      <c r="AC291" s="123"/>
      <c r="AD291" s="125"/>
      <c r="AE291" s="123"/>
      <c r="AF291" s="123"/>
      <c r="AG291" s="123"/>
      <c r="AH291" s="123"/>
      <c r="AI291" s="123"/>
      <c r="AJ291" s="123"/>
      <c r="AK291" s="123"/>
    </row>
    <row r="292" spans="1:37" ht="14.25" customHeight="1" x14ac:dyDescent="0.2">
      <c r="A292" s="123"/>
      <c r="C292" s="123"/>
      <c r="AB292" s="123"/>
      <c r="AC292" s="123"/>
      <c r="AD292" s="125"/>
      <c r="AE292" s="123"/>
      <c r="AF292" s="123"/>
      <c r="AG292" s="123"/>
      <c r="AH292" s="123"/>
      <c r="AI292" s="123"/>
      <c r="AJ292" s="123"/>
      <c r="AK292" s="123"/>
    </row>
    <row r="293" spans="1:37" ht="14.25" customHeight="1" x14ac:dyDescent="0.2">
      <c r="A293" s="123"/>
      <c r="C293" s="123"/>
      <c r="AB293" s="123"/>
      <c r="AC293" s="123"/>
      <c r="AD293" s="125"/>
      <c r="AE293" s="123"/>
      <c r="AF293" s="123"/>
      <c r="AG293" s="123"/>
      <c r="AH293" s="123"/>
      <c r="AI293" s="123"/>
      <c r="AJ293" s="123"/>
      <c r="AK293" s="123"/>
    </row>
    <row r="294" spans="1:37" ht="14.25" customHeight="1" x14ac:dyDescent="0.2">
      <c r="A294" s="123"/>
      <c r="C294" s="123"/>
      <c r="AB294" s="123"/>
      <c r="AC294" s="123"/>
      <c r="AD294" s="125"/>
      <c r="AE294" s="123"/>
      <c r="AF294" s="123"/>
      <c r="AG294" s="123"/>
      <c r="AH294" s="123"/>
      <c r="AI294" s="123"/>
      <c r="AJ294" s="123"/>
      <c r="AK294" s="123"/>
    </row>
    <row r="295" spans="1:37" ht="14.25" customHeight="1" x14ac:dyDescent="0.2">
      <c r="A295" s="123"/>
      <c r="C295" s="123"/>
      <c r="AB295" s="123"/>
      <c r="AC295" s="123"/>
      <c r="AD295" s="125"/>
      <c r="AE295" s="123"/>
      <c r="AF295" s="123"/>
      <c r="AG295" s="123"/>
      <c r="AH295" s="123"/>
      <c r="AI295" s="123"/>
      <c r="AJ295" s="123"/>
      <c r="AK295" s="123"/>
    </row>
    <row r="296" spans="1:37" ht="14.25" customHeight="1" x14ac:dyDescent="0.2">
      <c r="A296" s="123"/>
      <c r="C296" s="123"/>
      <c r="AB296" s="123"/>
      <c r="AC296" s="123"/>
      <c r="AD296" s="125"/>
      <c r="AE296" s="123"/>
      <c r="AF296" s="123"/>
      <c r="AG296" s="123"/>
      <c r="AH296" s="123"/>
      <c r="AI296" s="123"/>
      <c r="AJ296" s="123"/>
      <c r="AK296" s="123"/>
    </row>
    <row r="297" spans="1:37" ht="14.25" customHeight="1" x14ac:dyDescent="0.2">
      <c r="A297" s="123"/>
      <c r="C297" s="123"/>
      <c r="AB297" s="123"/>
      <c r="AC297" s="123"/>
      <c r="AD297" s="125"/>
      <c r="AE297" s="123"/>
      <c r="AF297" s="123"/>
      <c r="AG297" s="123"/>
      <c r="AH297" s="123"/>
      <c r="AI297" s="123"/>
      <c r="AJ297" s="123"/>
      <c r="AK297" s="123"/>
    </row>
    <row r="298" spans="1:37" ht="14.25" customHeight="1" x14ac:dyDescent="0.2">
      <c r="A298" s="123"/>
      <c r="C298" s="123"/>
      <c r="AB298" s="123"/>
      <c r="AC298" s="123"/>
      <c r="AD298" s="125"/>
      <c r="AE298" s="123"/>
      <c r="AF298" s="123"/>
      <c r="AG298" s="123"/>
      <c r="AH298" s="123"/>
      <c r="AI298" s="123"/>
      <c r="AJ298" s="123"/>
      <c r="AK298" s="123"/>
    </row>
    <row r="299" spans="1:37" ht="14.25" customHeight="1" x14ac:dyDescent="0.2">
      <c r="A299" s="123"/>
      <c r="C299" s="123"/>
      <c r="AB299" s="123"/>
      <c r="AC299" s="123"/>
      <c r="AD299" s="125"/>
      <c r="AE299" s="123"/>
      <c r="AF299" s="123"/>
      <c r="AG299" s="123"/>
      <c r="AH299" s="123"/>
      <c r="AI299" s="123"/>
      <c r="AJ299" s="123"/>
      <c r="AK299" s="123"/>
    </row>
    <row r="300" spans="1:37" ht="14.25" customHeight="1" x14ac:dyDescent="0.2">
      <c r="A300" s="123"/>
      <c r="C300" s="123"/>
      <c r="AB300" s="123"/>
      <c r="AC300" s="123"/>
      <c r="AD300" s="125"/>
      <c r="AE300" s="123"/>
      <c r="AF300" s="123"/>
      <c r="AG300" s="123"/>
      <c r="AH300" s="123"/>
      <c r="AI300" s="123"/>
      <c r="AJ300" s="123"/>
      <c r="AK300" s="123"/>
    </row>
    <row r="301" spans="1:37" ht="14.25" customHeight="1" x14ac:dyDescent="0.2">
      <c r="A301" s="123"/>
      <c r="C301" s="123"/>
      <c r="AB301" s="123"/>
      <c r="AC301" s="123"/>
      <c r="AD301" s="125"/>
      <c r="AE301" s="123"/>
      <c r="AF301" s="123"/>
      <c r="AG301" s="123"/>
      <c r="AH301" s="123"/>
      <c r="AI301" s="123"/>
      <c r="AJ301" s="123"/>
      <c r="AK301" s="123"/>
    </row>
    <row r="302" spans="1:37" ht="14.25" customHeight="1" x14ac:dyDescent="0.2">
      <c r="A302" s="123"/>
      <c r="C302" s="123"/>
      <c r="AB302" s="123"/>
      <c r="AC302" s="123"/>
      <c r="AD302" s="125"/>
      <c r="AE302" s="123"/>
      <c r="AF302" s="123"/>
      <c r="AG302" s="123"/>
      <c r="AH302" s="123"/>
      <c r="AI302" s="123"/>
      <c r="AJ302" s="123"/>
      <c r="AK302" s="123"/>
    </row>
    <row r="303" spans="1:37" ht="14.25" customHeight="1" x14ac:dyDescent="0.2">
      <c r="A303" s="123"/>
      <c r="C303" s="123"/>
      <c r="AB303" s="123"/>
      <c r="AC303" s="123"/>
      <c r="AD303" s="125"/>
      <c r="AE303" s="123"/>
      <c r="AF303" s="123"/>
      <c r="AG303" s="123"/>
      <c r="AH303" s="123"/>
      <c r="AI303" s="123"/>
      <c r="AJ303" s="123"/>
      <c r="AK303" s="123"/>
    </row>
    <row r="304" spans="1:37" ht="14.25" customHeight="1" x14ac:dyDescent="0.2">
      <c r="A304" s="123"/>
      <c r="C304" s="123"/>
      <c r="AB304" s="123"/>
      <c r="AC304" s="123"/>
      <c r="AD304" s="125"/>
      <c r="AE304" s="123"/>
      <c r="AF304" s="123"/>
      <c r="AG304" s="123"/>
      <c r="AH304" s="123"/>
      <c r="AI304" s="123"/>
      <c r="AJ304" s="123"/>
      <c r="AK304" s="123"/>
    </row>
    <row r="305" spans="1:37" ht="14.25" customHeight="1" x14ac:dyDescent="0.2">
      <c r="A305" s="123"/>
      <c r="C305" s="123"/>
      <c r="AB305" s="123"/>
      <c r="AC305" s="123"/>
      <c r="AD305" s="125"/>
      <c r="AE305" s="123"/>
      <c r="AF305" s="123"/>
      <c r="AG305" s="123"/>
      <c r="AH305" s="123"/>
      <c r="AI305" s="123"/>
      <c r="AJ305" s="123"/>
      <c r="AK305" s="123"/>
    </row>
    <row r="306" spans="1:37" ht="14.25" customHeight="1" x14ac:dyDescent="0.2">
      <c r="A306" s="123"/>
      <c r="C306" s="123"/>
      <c r="AB306" s="123"/>
      <c r="AC306" s="123"/>
      <c r="AD306" s="125"/>
      <c r="AE306" s="123"/>
      <c r="AF306" s="123"/>
      <c r="AG306" s="123"/>
      <c r="AH306" s="123"/>
      <c r="AI306" s="123"/>
      <c r="AJ306" s="123"/>
      <c r="AK306" s="123"/>
    </row>
    <row r="307" spans="1:37" ht="14.25" customHeight="1" x14ac:dyDescent="0.2">
      <c r="A307" s="123"/>
      <c r="C307" s="123"/>
      <c r="AB307" s="123"/>
      <c r="AC307" s="123"/>
      <c r="AD307" s="125"/>
      <c r="AE307" s="123"/>
      <c r="AF307" s="123"/>
      <c r="AG307" s="123"/>
      <c r="AH307" s="123"/>
      <c r="AI307" s="123"/>
      <c r="AJ307" s="123"/>
      <c r="AK307" s="123"/>
    </row>
    <row r="308" spans="1:37" ht="14.25" customHeight="1" x14ac:dyDescent="0.2">
      <c r="A308" s="123"/>
      <c r="C308" s="123"/>
      <c r="AB308" s="123"/>
      <c r="AC308" s="123"/>
      <c r="AD308" s="125"/>
      <c r="AE308" s="123"/>
      <c r="AF308" s="123"/>
      <c r="AG308" s="123"/>
      <c r="AH308" s="123"/>
      <c r="AI308" s="123"/>
      <c r="AJ308" s="123"/>
      <c r="AK308" s="123"/>
    </row>
    <row r="309" spans="1:37" ht="14.25" customHeight="1" x14ac:dyDescent="0.2">
      <c r="A309" s="123"/>
      <c r="C309" s="123"/>
      <c r="AB309" s="123"/>
      <c r="AC309" s="123"/>
      <c r="AD309" s="125"/>
      <c r="AE309" s="123"/>
      <c r="AF309" s="123"/>
      <c r="AG309" s="123"/>
      <c r="AH309" s="123"/>
      <c r="AI309" s="123"/>
      <c r="AJ309" s="123"/>
      <c r="AK309" s="123"/>
    </row>
    <row r="310" spans="1:37" ht="14.25" customHeight="1" x14ac:dyDescent="0.2">
      <c r="A310" s="123"/>
      <c r="C310" s="123"/>
      <c r="AB310" s="123"/>
      <c r="AC310" s="123"/>
      <c r="AD310" s="125"/>
      <c r="AE310" s="123"/>
      <c r="AF310" s="123"/>
      <c r="AG310" s="123"/>
      <c r="AH310" s="123"/>
      <c r="AI310" s="123"/>
      <c r="AJ310" s="123"/>
      <c r="AK310" s="123"/>
    </row>
    <row r="311" spans="1:37" ht="14.25" customHeight="1" x14ac:dyDescent="0.2">
      <c r="A311" s="123"/>
      <c r="C311" s="123"/>
      <c r="AB311" s="123"/>
      <c r="AC311" s="123"/>
      <c r="AD311" s="125"/>
      <c r="AE311" s="123"/>
      <c r="AF311" s="123"/>
      <c r="AG311" s="123"/>
      <c r="AH311" s="123"/>
      <c r="AI311" s="123"/>
      <c r="AJ311" s="123"/>
      <c r="AK311" s="123"/>
    </row>
    <row r="312" spans="1:37" ht="14.25" customHeight="1" x14ac:dyDescent="0.2">
      <c r="A312" s="123"/>
      <c r="C312" s="123"/>
      <c r="AB312" s="123"/>
      <c r="AC312" s="123"/>
      <c r="AD312" s="125"/>
      <c r="AE312" s="123"/>
      <c r="AF312" s="123"/>
      <c r="AG312" s="123"/>
      <c r="AH312" s="123"/>
      <c r="AI312" s="123"/>
      <c r="AJ312" s="123"/>
      <c r="AK312" s="123"/>
    </row>
    <row r="313" spans="1:37" ht="14.25" customHeight="1" x14ac:dyDescent="0.2">
      <c r="A313" s="123"/>
      <c r="C313" s="123"/>
      <c r="AB313" s="123"/>
      <c r="AC313" s="123"/>
      <c r="AD313" s="125"/>
      <c r="AE313" s="123"/>
      <c r="AF313" s="123"/>
      <c r="AG313" s="123"/>
      <c r="AH313" s="123"/>
      <c r="AI313" s="123"/>
      <c r="AJ313" s="123"/>
      <c r="AK313" s="123"/>
    </row>
    <row r="314" spans="1:37" ht="14.25" customHeight="1" x14ac:dyDescent="0.2">
      <c r="A314" s="123"/>
      <c r="C314" s="123"/>
      <c r="AB314" s="123"/>
      <c r="AC314" s="123"/>
      <c r="AD314" s="125"/>
      <c r="AE314" s="123"/>
      <c r="AF314" s="123"/>
      <c r="AG314" s="123"/>
      <c r="AH314" s="123"/>
      <c r="AI314" s="123"/>
      <c r="AJ314" s="123"/>
      <c r="AK314" s="123"/>
    </row>
    <row r="315" spans="1:37" ht="14.25" customHeight="1" x14ac:dyDescent="0.2">
      <c r="A315" s="123"/>
      <c r="C315" s="123"/>
      <c r="AB315" s="123"/>
      <c r="AC315" s="123"/>
      <c r="AD315" s="125"/>
      <c r="AE315" s="123"/>
      <c r="AF315" s="123"/>
      <c r="AG315" s="123"/>
      <c r="AH315" s="123"/>
      <c r="AI315" s="123"/>
      <c r="AJ315" s="123"/>
      <c r="AK315" s="123"/>
    </row>
    <row r="316" spans="1:37" ht="14.25" customHeight="1" x14ac:dyDescent="0.2">
      <c r="A316" s="123"/>
      <c r="C316" s="123"/>
      <c r="AB316" s="123"/>
      <c r="AC316" s="123"/>
      <c r="AD316" s="125"/>
      <c r="AE316" s="123"/>
      <c r="AF316" s="123"/>
      <c r="AG316" s="123"/>
      <c r="AH316" s="123"/>
      <c r="AI316" s="123"/>
      <c r="AJ316" s="123"/>
      <c r="AK316" s="123"/>
    </row>
    <row r="317" spans="1:37" ht="14.25" customHeight="1" x14ac:dyDescent="0.2">
      <c r="A317" s="123"/>
      <c r="C317" s="123"/>
      <c r="AB317" s="123"/>
      <c r="AC317" s="123"/>
      <c r="AD317" s="125"/>
      <c r="AE317" s="123"/>
      <c r="AF317" s="123"/>
      <c r="AG317" s="123"/>
      <c r="AH317" s="123"/>
      <c r="AI317" s="123"/>
      <c r="AJ317" s="123"/>
      <c r="AK317" s="123"/>
    </row>
    <row r="318" spans="1:37" ht="14.25" customHeight="1" x14ac:dyDescent="0.2">
      <c r="A318" s="123"/>
      <c r="C318" s="123"/>
      <c r="AB318" s="123"/>
      <c r="AC318" s="123"/>
      <c r="AD318" s="125"/>
      <c r="AE318" s="123"/>
      <c r="AF318" s="123"/>
      <c r="AG318" s="123"/>
      <c r="AH318" s="123"/>
      <c r="AI318" s="123"/>
      <c r="AJ318" s="123"/>
      <c r="AK318" s="123"/>
    </row>
    <row r="319" spans="1:37" ht="14.25" customHeight="1" x14ac:dyDescent="0.2">
      <c r="A319" s="123"/>
      <c r="C319" s="123"/>
      <c r="AB319" s="123"/>
      <c r="AC319" s="123"/>
      <c r="AD319" s="125"/>
      <c r="AE319" s="123"/>
      <c r="AF319" s="123"/>
      <c r="AG319" s="123"/>
      <c r="AH319" s="123"/>
      <c r="AI319" s="123"/>
      <c r="AJ319" s="123"/>
      <c r="AK319" s="123"/>
    </row>
    <row r="320" spans="1:37" ht="14.25" customHeight="1" x14ac:dyDescent="0.2">
      <c r="A320" s="123"/>
      <c r="C320" s="123"/>
      <c r="AB320" s="123"/>
      <c r="AC320" s="123"/>
      <c r="AD320" s="125"/>
      <c r="AE320" s="123"/>
      <c r="AF320" s="123"/>
      <c r="AG320" s="123"/>
      <c r="AH320" s="123"/>
      <c r="AI320" s="123"/>
      <c r="AJ320" s="123"/>
      <c r="AK320" s="123"/>
    </row>
    <row r="321" spans="1:37" ht="14.25" customHeight="1" x14ac:dyDescent="0.2">
      <c r="A321" s="123"/>
      <c r="C321" s="123"/>
      <c r="AB321" s="123"/>
      <c r="AC321" s="123"/>
      <c r="AD321" s="125"/>
      <c r="AE321" s="123"/>
      <c r="AF321" s="123"/>
      <c r="AG321" s="123"/>
      <c r="AH321" s="123"/>
      <c r="AI321" s="123"/>
      <c r="AJ321" s="123"/>
      <c r="AK321" s="123"/>
    </row>
    <row r="322" spans="1:37" ht="14.25" customHeight="1" x14ac:dyDescent="0.2">
      <c r="A322" s="123"/>
      <c r="C322" s="123"/>
      <c r="AB322" s="123"/>
      <c r="AC322" s="123"/>
      <c r="AD322" s="125"/>
      <c r="AE322" s="123"/>
      <c r="AF322" s="123"/>
      <c r="AG322" s="123"/>
      <c r="AH322" s="123"/>
      <c r="AI322" s="123"/>
      <c r="AJ322" s="123"/>
      <c r="AK322" s="123"/>
    </row>
    <row r="323" spans="1:37" ht="14.25" customHeight="1" x14ac:dyDescent="0.2">
      <c r="A323" s="123"/>
      <c r="C323" s="123"/>
      <c r="AB323" s="123"/>
      <c r="AC323" s="123"/>
      <c r="AD323" s="125"/>
      <c r="AE323" s="123"/>
      <c r="AF323" s="123"/>
      <c r="AG323" s="123"/>
      <c r="AH323" s="123"/>
      <c r="AI323" s="123"/>
      <c r="AJ323" s="123"/>
      <c r="AK323" s="123"/>
    </row>
    <row r="324" spans="1:37" ht="14.25" customHeight="1" x14ac:dyDescent="0.2">
      <c r="A324" s="123"/>
      <c r="C324" s="123"/>
      <c r="AB324" s="123"/>
      <c r="AC324" s="123"/>
      <c r="AD324" s="125"/>
      <c r="AE324" s="123"/>
      <c r="AF324" s="123"/>
      <c r="AG324" s="123"/>
      <c r="AH324" s="123"/>
      <c r="AI324" s="123"/>
      <c r="AJ324" s="123"/>
      <c r="AK324" s="123"/>
    </row>
    <row r="325" spans="1:37" ht="14.25" customHeight="1" x14ac:dyDescent="0.2">
      <c r="A325" s="123"/>
      <c r="C325" s="123"/>
      <c r="AB325" s="123"/>
      <c r="AC325" s="123"/>
      <c r="AD325" s="125"/>
      <c r="AE325" s="123"/>
      <c r="AF325" s="123"/>
      <c r="AG325" s="123"/>
      <c r="AH325" s="123"/>
      <c r="AI325" s="123"/>
      <c r="AJ325" s="123"/>
      <c r="AK325" s="123"/>
    </row>
    <row r="326" spans="1:37" ht="14.25" customHeight="1" x14ac:dyDescent="0.2">
      <c r="A326" s="123"/>
      <c r="C326" s="123"/>
      <c r="AB326" s="123"/>
      <c r="AC326" s="123"/>
      <c r="AD326" s="125"/>
      <c r="AE326" s="123"/>
      <c r="AF326" s="123"/>
      <c r="AG326" s="123"/>
      <c r="AH326" s="123"/>
      <c r="AI326" s="123"/>
      <c r="AJ326" s="123"/>
      <c r="AK326" s="123"/>
    </row>
    <row r="327" spans="1:37" ht="14.25" customHeight="1" x14ac:dyDescent="0.2">
      <c r="A327" s="123"/>
      <c r="C327" s="123"/>
      <c r="AB327" s="123"/>
      <c r="AC327" s="123"/>
      <c r="AD327" s="125"/>
      <c r="AE327" s="123"/>
      <c r="AF327" s="123"/>
      <c r="AG327" s="123"/>
      <c r="AH327" s="123"/>
      <c r="AI327" s="123"/>
      <c r="AJ327" s="123"/>
      <c r="AK327" s="123"/>
    </row>
    <row r="328" spans="1:37" ht="14.25" customHeight="1" x14ac:dyDescent="0.2">
      <c r="A328" s="123"/>
      <c r="C328" s="123"/>
      <c r="AB328" s="123"/>
      <c r="AC328" s="123"/>
      <c r="AD328" s="125"/>
      <c r="AE328" s="123"/>
      <c r="AF328" s="123"/>
      <c r="AG328" s="123"/>
      <c r="AH328" s="123"/>
      <c r="AI328" s="123"/>
      <c r="AJ328" s="123"/>
      <c r="AK328" s="123"/>
    </row>
    <row r="329" spans="1:37" ht="14.25" customHeight="1" x14ac:dyDescent="0.2">
      <c r="A329" s="123"/>
      <c r="C329" s="123"/>
      <c r="AB329" s="123"/>
      <c r="AC329" s="123"/>
      <c r="AD329" s="125"/>
      <c r="AE329" s="123"/>
      <c r="AF329" s="123"/>
      <c r="AG329" s="123"/>
      <c r="AH329" s="123"/>
      <c r="AI329" s="123"/>
      <c r="AJ329" s="123"/>
      <c r="AK329" s="123"/>
    </row>
    <row r="330" spans="1:37" ht="14.25" customHeight="1" x14ac:dyDescent="0.2">
      <c r="A330" s="123"/>
      <c r="C330" s="123"/>
      <c r="AB330" s="123"/>
      <c r="AC330" s="123"/>
      <c r="AD330" s="125"/>
      <c r="AE330" s="123"/>
      <c r="AF330" s="123"/>
      <c r="AG330" s="123"/>
      <c r="AH330" s="123"/>
      <c r="AI330" s="123"/>
      <c r="AJ330" s="123"/>
      <c r="AK330" s="123"/>
    </row>
    <row r="331" spans="1:37" ht="14.25" customHeight="1" x14ac:dyDescent="0.2">
      <c r="A331" s="123"/>
      <c r="C331" s="123"/>
      <c r="AB331" s="123"/>
      <c r="AC331" s="123"/>
      <c r="AD331" s="125"/>
      <c r="AE331" s="123"/>
      <c r="AF331" s="123"/>
      <c r="AG331" s="123"/>
      <c r="AH331" s="123"/>
      <c r="AI331" s="123"/>
      <c r="AJ331" s="123"/>
      <c r="AK331" s="123"/>
    </row>
    <row r="332" spans="1:37" ht="14.25" customHeight="1" x14ac:dyDescent="0.2">
      <c r="A332" s="123"/>
      <c r="C332" s="123"/>
      <c r="AB332" s="123"/>
      <c r="AC332" s="123"/>
      <c r="AD332" s="125"/>
      <c r="AE332" s="123"/>
      <c r="AF332" s="123"/>
      <c r="AG332" s="123"/>
      <c r="AH332" s="123"/>
      <c r="AI332" s="123"/>
      <c r="AJ332" s="123"/>
      <c r="AK332" s="123"/>
    </row>
    <row r="333" spans="1:37" ht="14.25" customHeight="1" x14ac:dyDescent="0.2">
      <c r="A333" s="123"/>
      <c r="C333" s="123"/>
      <c r="AB333" s="123"/>
      <c r="AC333" s="123"/>
      <c r="AD333" s="125"/>
      <c r="AE333" s="123"/>
      <c r="AF333" s="123"/>
      <c r="AG333" s="123"/>
      <c r="AH333" s="123"/>
      <c r="AI333" s="123"/>
      <c r="AJ333" s="123"/>
      <c r="AK333" s="123"/>
    </row>
    <row r="334" spans="1:37" ht="14.25" customHeight="1" x14ac:dyDescent="0.2">
      <c r="A334" s="123"/>
      <c r="C334" s="123"/>
      <c r="AB334" s="123"/>
      <c r="AC334" s="123"/>
      <c r="AD334" s="125"/>
      <c r="AE334" s="123"/>
      <c r="AF334" s="123"/>
      <c r="AG334" s="123"/>
      <c r="AH334" s="123"/>
      <c r="AI334" s="123"/>
      <c r="AJ334" s="123"/>
      <c r="AK334" s="123"/>
    </row>
    <row r="335" spans="1:37" ht="14.25" customHeight="1" x14ac:dyDescent="0.2">
      <c r="A335" s="123"/>
      <c r="C335" s="123"/>
      <c r="AB335" s="123"/>
      <c r="AC335" s="123"/>
      <c r="AD335" s="125"/>
      <c r="AE335" s="123"/>
      <c r="AF335" s="123"/>
      <c r="AG335" s="123"/>
      <c r="AH335" s="123"/>
      <c r="AI335" s="123"/>
      <c r="AJ335" s="123"/>
      <c r="AK335" s="123"/>
    </row>
    <row r="336" spans="1:37" ht="14.25" customHeight="1" x14ac:dyDescent="0.2">
      <c r="A336" s="123"/>
      <c r="C336" s="123"/>
      <c r="AB336" s="123"/>
      <c r="AC336" s="123"/>
      <c r="AD336" s="125"/>
      <c r="AE336" s="123"/>
      <c r="AF336" s="123"/>
      <c r="AG336" s="123"/>
      <c r="AH336" s="123"/>
      <c r="AI336" s="123"/>
      <c r="AJ336" s="123"/>
      <c r="AK336" s="123"/>
    </row>
    <row r="337" spans="1:37" ht="14.25" customHeight="1" x14ac:dyDescent="0.2">
      <c r="A337" s="123"/>
      <c r="C337" s="123"/>
      <c r="AB337" s="123"/>
      <c r="AC337" s="123"/>
      <c r="AD337" s="125"/>
      <c r="AE337" s="123"/>
      <c r="AF337" s="123"/>
      <c r="AG337" s="123"/>
      <c r="AH337" s="123"/>
      <c r="AI337" s="123"/>
      <c r="AJ337" s="123"/>
      <c r="AK337" s="123"/>
    </row>
    <row r="338" spans="1:37" ht="14.25" customHeight="1" x14ac:dyDescent="0.2">
      <c r="A338" s="123"/>
      <c r="C338" s="123"/>
      <c r="AB338" s="123"/>
      <c r="AC338" s="123"/>
      <c r="AD338" s="125"/>
      <c r="AE338" s="123"/>
      <c r="AF338" s="123"/>
      <c r="AG338" s="123"/>
      <c r="AH338" s="123"/>
      <c r="AI338" s="123"/>
      <c r="AJ338" s="123"/>
      <c r="AK338" s="123"/>
    </row>
    <row r="339" spans="1:37" ht="14.25" customHeight="1" x14ac:dyDescent="0.2">
      <c r="A339" s="123"/>
      <c r="C339" s="123"/>
      <c r="AB339" s="123"/>
      <c r="AC339" s="123"/>
      <c r="AD339" s="125"/>
      <c r="AE339" s="123"/>
      <c r="AF339" s="123"/>
      <c r="AG339" s="123"/>
      <c r="AH339" s="123"/>
      <c r="AI339" s="123"/>
      <c r="AJ339" s="123"/>
      <c r="AK339" s="123"/>
    </row>
    <row r="340" spans="1:37" ht="14.25" customHeight="1" x14ac:dyDescent="0.2">
      <c r="A340" s="123"/>
      <c r="C340" s="123"/>
      <c r="AB340" s="123"/>
      <c r="AC340" s="123"/>
      <c r="AD340" s="125"/>
      <c r="AE340" s="123"/>
      <c r="AF340" s="123"/>
      <c r="AG340" s="123"/>
      <c r="AH340" s="123"/>
      <c r="AI340" s="123"/>
      <c r="AJ340" s="123"/>
      <c r="AK340" s="123"/>
    </row>
    <row r="341" spans="1:37" ht="14.25" customHeight="1" x14ac:dyDescent="0.2">
      <c r="A341" s="123"/>
      <c r="C341" s="123"/>
      <c r="AB341" s="123"/>
      <c r="AC341" s="123"/>
      <c r="AD341" s="125"/>
      <c r="AE341" s="123"/>
      <c r="AF341" s="123"/>
      <c r="AG341" s="123"/>
      <c r="AH341" s="123"/>
      <c r="AI341" s="123"/>
      <c r="AJ341" s="123"/>
      <c r="AK341" s="123"/>
    </row>
    <row r="342" spans="1:37" ht="14.25" customHeight="1" x14ac:dyDescent="0.2">
      <c r="A342" s="123"/>
      <c r="C342" s="123"/>
      <c r="AB342" s="123"/>
      <c r="AC342" s="123"/>
      <c r="AD342" s="125"/>
      <c r="AE342" s="123"/>
      <c r="AF342" s="123"/>
      <c r="AG342" s="123"/>
      <c r="AH342" s="123"/>
      <c r="AI342" s="123"/>
      <c r="AJ342" s="123"/>
      <c r="AK342" s="123"/>
    </row>
    <row r="343" spans="1:37" ht="14.25" customHeight="1" x14ac:dyDescent="0.2">
      <c r="A343" s="123"/>
      <c r="C343" s="123"/>
      <c r="AB343" s="123"/>
      <c r="AC343" s="123"/>
      <c r="AD343" s="125"/>
      <c r="AE343" s="123"/>
      <c r="AF343" s="123"/>
      <c r="AG343" s="123"/>
      <c r="AH343" s="123"/>
      <c r="AI343" s="123"/>
      <c r="AJ343" s="123"/>
      <c r="AK343" s="123"/>
    </row>
    <row r="344" spans="1:37" ht="14.25" customHeight="1" x14ac:dyDescent="0.2">
      <c r="A344" s="123"/>
      <c r="C344" s="123"/>
      <c r="AB344" s="123"/>
      <c r="AC344" s="123"/>
      <c r="AD344" s="125"/>
      <c r="AE344" s="123"/>
      <c r="AF344" s="123"/>
      <c r="AG344" s="123"/>
      <c r="AH344" s="123"/>
      <c r="AI344" s="123"/>
      <c r="AJ344" s="123"/>
      <c r="AK344" s="123"/>
    </row>
    <row r="345" spans="1:37" ht="14.25" customHeight="1" x14ac:dyDescent="0.2">
      <c r="A345" s="123"/>
      <c r="C345" s="123"/>
      <c r="AB345" s="123"/>
      <c r="AC345" s="123"/>
      <c r="AD345" s="125"/>
      <c r="AE345" s="123"/>
      <c r="AF345" s="123"/>
      <c r="AG345" s="123"/>
      <c r="AH345" s="123"/>
      <c r="AI345" s="123"/>
      <c r="AJ345" s="123"/>
      <c r="AK345" s="123"/>
    </row>
    <row r="346" spans="1:37" ht="14.25" customHeight="1" x14ac:dyDescent="0.2">
      <c r="A346" s="123"/>
      <c r="C346" s="123"/>
      <c r="AB346" s="123"/>
      <c r="AC346" s="123"/>
      <c r="AD346" s="125"/>
      <c r="AE346" s="123"/>
      <c r="AF346" s="123"/>
      <c r="AG346" s="123"/>
      <c r="AH346" s="123"/>
      <c r="AI346" s="123"/>
      <c r="AJ346" s="123"/>
      <c r="AK346" s="123"/>
    </row>
    <row r="347" spans="1:37" ht="14.25" customHeight="1" x14ac:dyDescent="0.2">
      <c r="A347" s="123"/>
      <c r="C347" s="123"/>
      <c r="AB347" s="123"/>
      <c r="AC347" s="123"/>
      <c r="AD347" s="125"/>
      <c r="AE347" s="123"/>
      <c r="AF347" s="123"/>
      <c r="AG347" s="123"/>
      <c r="AH347" s="123"/>
      <c r="AI347" s="123"/>
      <c r="AJ347" s="123"/>
      <c r="AK347" s="123"/>
    </row>
    <row r="348" spans="1:37" ht="14.25" customHeight="1" x14ac:dyDescent="0.2">
      <c r="A348" s="123"/>
      <c r="C348" s="123"/>
      <c r="AB348" s="123"/>
      <c r="AC348" s="123"/>
      <c r="AD348" s="125"/>
      <c r="AE348" s="123"/>
      <c r="AF348" s="123"/>
      <c r="AG348" s="123"/>
      <c r="AH348" s="123"/>
      <c r="AI348" s="123"/>
      <c r="AJ348" s="123"/>
      <c r="AK348" s="123"/>
    </row>
    <row r="349" spans="1:37" ht="14.25" customHeight="1" x14ac:dyDescent="0.2">
      <c r="A349" s="123"/>
      <c r="C349" s="123"/>
      <c r="AB349" s="123"/>
      <c r="AC349" s="123"/>
      <c r="AD349" s="125"/>
      <c r="AE349" s="123"/>
      <c r="AF349" s="123"/>
      <c r="AG349" s="123"/>
      <c r="AH349" s="123"/>
      <c r="AI349" s="123"/>
      <c r="AJ349" s="123"/>
      <c r="AK349" s="123"/>
    </row>
    <row r="350" spans="1:37" ht="14.25" customHeight="1" x14ac:dyDescent="0.2">
      <c r="A350" s="123"/>
      <c r="C350" s="123"/>
      <c r="AB350" s="123"/>
      <c r="AC350" s="123"/>
      <c r="AD350" s="125"/>
      <c r="AE350" s="123"/>
      <c r="AF350" s="123"/>
      <c r="AG350" s="123"/>
      <c r="AH350" s="123"/>
      <c r="AI350" s="123"/>
      <c r="AJ350" s="123"/>
      <c r="AK350" s="123"/>
    </row>
    <row r="351" spans="1:37" ht="14.25" customHeight="1" x14ac:dyDescent="0.2">
      <c r="A351" s="123"/>
      <c r="C351" s="123"/>
      <c r="AB351" s="123"/>
      <c r="AC351" s="123"/>
      <c r="AD351" s="125"/>
      <c r="AE351" s="123"/>
      <c r="AF351" s="123"/>
      <c r="AG351" s="123"/>
      <c r="AH351" s="123"/>
      <c r="AI351" s="123"/>
      <c r="AJ351" s="123"/>
      <c r="AK351" s="123"/>
    </row>
    <row r="352" spans="1:37" ht="14.25" customHeight="1" x14ac:dyDescent="0.2">
      <c r="A352" s="123"/>
      <c r="C352" s="123"/>
      <c r="AB352" s="123"/>
      <c r="AC352" s="123"/>
      <c r="AD352" s="125"/>
      <c r="AE352" s="123"/>
      <c r="AF352" s="123"/>
      <c r="AG352" s="123"/>
      <c r="AH352" s="123"/>
      <c r="AI352" s="123"/>
      <c r="AJ352" s="123"/>
      <c r="AK352" s="123"/>
    </row>
    <row r="353" spans="1:37" ht="14.25" customHeight="1" x14ac:dyDescent="0.2">
      <c r="A353" s="123"/>
      <c r="C353" s="123"/>
      <c r="AB353" s="123"/>
      <c r="AC353" s="123"/>
      <c r="AD353" s="125"/>
      <c r="AE353" s="123"/>
      <c r="AF353" s="123"/>
      <c r="AG353" s="123"/>
      <c r="AH353" s="123"/>
      <c r="AI353" s="123"/>
      <c r="AJ353" s="123"/>
      <c r="AK353" s="123"/>
    </row>
    <row r="354" spans="1:37" ht="14.25" customHeight="1" x14ac:dyDescent="0.2">
      <c r="A354" s="123"/>
      <c r="C354" s="123"/>
      <c r="AB354" s="123"/>
      <c r="AC354" s="123"/>
      <c r="AD354" s="125"/>
      <c r="AE354" s="123"/>
      <c r="AF354" s="123"/>
      <c r="AG354" s="123"/>
      <c r="AH354" s="123"/>
      <c r="AI354" s="123"/>
      <c r="AJ354" s="123"/>
      <c r="AK354" s="123"/>
    </row>
    <row r="355" spans="1:37" ht="14.25" customHeight="1" x14ac:dyDescent="0.2">
      <c r="A355" s="123"/>
      <c r="C355" s="123"/>
      <c r="AB355" s="123"/>
      <c r="AC355" s="123"/>
      <c r="AD355" s="125"/>
      <c r="AE355" s="123"/>
      <c r="AF355" s="123"/>
      <c r="AG355" s="123"/>
      <c r="AH355" s="123"/>
      <c r="AI355" s="123"/>
      <c r="AJ355" s="123"/>
      <c r="AK355" s="123"/>
    </row>
    <row r="356" spans="1:37" ht="14.25" customHeight="1" x14ac:dyDescent="0.2">
      <c r="A356" s="123"/>
      <c r="C356" s="123"/>
      <c r="AB356" s="123"/>
      <c r="AC356" s="123"/>
      <c r="AD356" s="125"/>
      <c r="AE356" s="123"/>
      <c r="AF356" s="123"/>
      <c r="AG356" s="123"/>
      <c r="AH356" s="123"/>
      <c r="AI356" s="123"/>
      <c r="AJ356" s="123"/>
      <c r="AK356" s="123"/>
    </row>
    <row r="357" spans="1:37" ht="14.25" customHeight="1" x14ac:dyDescent="0.2">
      <c r="A357" s="123"/>
      <c r="C357" s="123"/>
      <c r="AB357" s="123"/>
      <c r="AC357" s="123"/>
      <c r="AD357" s="125"/>
      <c r="AE357" s="123"/>
      <c r="AF357" s="123"/>
      <c r="AG357" s="123"/>
      <c r="AH357" s="123"/>
      <c r="AI357" s="123"/>
      <c r="AJ357" s="123"/>
      <c r="AK357" s="123"/>
    </row>
    <row r="358" spans="1:37" ht="14.25" customHeight="1" x14ac:dyDescent="0.2">
      <c r="A358" s="123"/>
      <c r="C358" s="123"/>
      <c r="AB358" s="123"/>
      <c r="AC358" s="123"/>
      <c r="AD358" s="125"/>
      <c r="AE358" s="123"/>
      <c r="AF358" s="123"/>
      <c r="AG358" s="123"/>
      <c r="AH358" s="123"/>
      <c r="AI358" s="123"/>
      <c r="AJ358" s="123"/>
      <c r="AK358" s="123"/>
    </row>
    <row r="359" spans="1:37" ht="14.25" customHeight="1" x14ac:dyDescent="0.2">
      <c r="A359" s="123"/>
      <c r="C359" s="123"/>
      <c r="AB359" s="123"/>
      <c r="AC359" s="123"/>
      <c r="AD359" s="125"/>
      <c r="AE359" s="123"/>
      <c r="AF359" s="123"/>
      <c r="AG359" s="123"/>
      <c r="AH359" s="123"/>
      <c r="AI359" s="123"/>
      <c r="AJ359" s="123"/>
      <c r="AK359" s="123"/>
    </row>
    <row r="360" spans="1:37" ht="14.25" customHeight="1" x14ac:dyDescent="0.2">
      <c r="A360" s="123"/>
      <c r="C360" s="123"/>
      <c r="AB360" s="123"/>
      <c r="AC360" s="123"/>
      <c r="AD360" s="125"/>
      <c r="AE360" s="123"/>
      <c r="AF360" s="123"/>
      <c r="AG360" s="123"/>
      <c r="AH360" s="123"/>
      <c r="AI360" s="123"/>
      <c r="AJ360" s="123"/>
      <c r="AK360" s="123"/>
    </row>
    <row r="361" spans="1:37" ht="14.25" customHeight="1" x14ac:dyDescent="0.2">
      <c r="A361" s="123"/>
      <c r="C361" s="123"/>
      <c r="AB361" s="123"/>
      <c r="AC361" s="123"/>
      <c r="AD361" s="125"/>
      <c r="AE361" s="123"/>
      <c r="AF361" s="123"/>
      <c r="AG361" s="123"/>
      <c r="AH361" s="123"/>
      <c r="AI361" s="123"/>
      <c r="AJ361" s="123"/>
      <c r="AK361" s="123"/>
    </row>
    <row r="362" spans="1:37" ht="14.25" customHeight="1" x14ac:dyDescent="0.2">
      <c r="A362" s="123"/>
      <c r="C362" s="123"/>
      <c r="AB362" s="123"/>
      <c r="AC362" s="123"/>
      <c r="AD362" s="125"/>
      <c r="AE362" s="123"/>
      <c r="AF362" s="123"/>
      <c r="AG362" s="123"/>
      <c r="AH362" s="123"/>
      <c r="AI362" s="123"/>
      <c r="AJ362" s="123"/>
      <c r="AK362" s="123"/>
    </row>
    <row r="363" spans="1:37" ht="14.25" customHeight="1" x14ac:dyDescent="0.2">
      <c r="A363" s="123"/>
      <c r="C363" s="123"/>
      <c r="AB363" s="123"/>
      <c r="AC363" s="123"/>
      <c r="AD363" s="125"/>
      <c r="AE363" s="123"/>
      <c r="AF363" s="123"/>
      <c r="AG363" s="123"/>
      <c r="AH363" s="123"/>
      <c r="AI363" s="123"/>
      <c r="AJ363" s="123"/>
      <c r="AK363" s="123"/>
    </row>
    <row r="364" spans="1:37" ht="14.25" customHeight="1" x14ac:dyDescent="0.2">
      <c r="A364" s="123"/>
      <c r="C364" s="123"/>
      <c r="AB364" s="123"/>
      <c r="AC364" s="123"/>
      <c r="AD364" s="125"/>
      <c r="AE364" s="123"/>
      <c r="AF364" s="123"/>
      <c r="AG364" s="123"/>
      <c r="AH364" s="123"/>
      <c r="AI364" s="123"/>
      <c r="AJ364" s="123"/>
      <c r="AK364" s="123"/>
    </row>
    <row r="365" spans="1:37" ht="14.25" customHeight="1" x14ac:dyDescent="0.2">
      <c r="A365" s="123"/>
      <c r="C365" s="123"/>
      <c r="AB365" s="123"/>
      <c r="AC365" s="123"/>
      <c r="AD365" s="125"/>
      <c r="AE365" s="123"/>
      <c r="AF365" s="123"/>
      <c r="AG365" s="123"/>
      <c r="AH365" s="123"/>
      <c r="AI365" s="123"/>
      <c r="AJ365" s="123"/>
      <c r="AK365" s="123"/>
    </row>
    <row r="366" spans="1:37" ht="14.25" customHeight="1" x14ac:dyDescent="0.2">
      <c r="A366" s="123"/>
      <c r="C366" s="123"/>
      <c r="AB366" s="123"/>
      <c r="AC366" s="123"/>
      <c r="AD366" s="125"/>
      <c r="AE366" s="123"/>
      <c r="AF366" s="123"/>
      <c r="AG366" s="123"/>
      <c r="AH366" s="123"/>
      <c r="AI366" s="123"/>
      <c r="AJ366" s="123"/>
      <c r="AK366" s="123"/>
    </row>
    <row r="367" spans="1:37" ht="14.25" customHeight="1" x14ac:dyDescent="0.2">
      <c r="A367" s="123"/>
      <c r="C367" s="123"/>
      <c r="AB367" s="123"/>
      <c r="AC367" s="123"/>
      <c r="AD367" s="125"/>
      <c r="AE367" s="123"/>
      <c r="AF367" s="123"/>
      <c r="AG367" s="123"/>
      <c r="AH367" s="123"/>
      <c r="AI367" s="123"/>
      <c r="AJ367" s="123"/>
      <c r="AK367" s="123"/>
    </row>
    <row r="368" spans="1:37" ht="14.25" customHeight="1" x14ac:dyDescent="0.2">
      <c r="A368" s="123"/>
      <c r="C368" s="123"/>
      <c r="AB368" s="123"/>
      <c r="AC368" s="123"/>
      <c r="AD368" s="125"/>
      <c r="AE368" s="123"/>
      <c r="AF368" s="123"/>
      <c r="AG368" s="123"/>
      <c r="AH368" s="123"/>
      <c r="AI368" s="123"/>
      <c r="AJ368" s="123"/>
      <c r="AK368" s="123"/>
    </row>
    <row r="369" spans="1:37" ht="14.25" customHeight="1" x14ac:dyDescent="0.2">
      <c r="A369" s="123"/>
      <c r="C369" s="123"/>
      <c r="AB369" s="123"/>
      <c r="AC369" s="123"/>
      <c r="AD369" s="125"/>
      <c r="AE369" s="123"/>
      <c r="AF369" s="123"/>
      <c r="AG369" s="123"/>
      <c r="AH369" s="123"/>
      <c r="AI369" s="123"/>
      <c r="AJ369" s="123"/>
      <c r="AK369" s="123"/>
    </row>
    <row r="370" spans="1:37" ht="14.25" customHeight="1" x14ac:dyDescent="0.2">
      <c r="A370" s="123"/>
      <c r="C370" s="123"/>
      <c r="AB370" s="123"/>
      <c r="AC370" s="123"/>
      <c r="AD370" s="125"/>
      <c r="AE370" s="123"/>
      <c r="AF370" s="123"/>
      <c r="AG370" s="123"/>
      <c r="AH370" s="123"/>
      <c r="AI370" s="123"/>
      <c r="AJ370" s="123"/>
      <c r="AK370" s="123"/>
    </row>
    <row r="371" spans="1:37" ht="14.25" customHeight="1" x14ac:dyDescent="0.2">
      <c r="A371" s="123"/>
      <c r="C371" s="123"/>
      <c r="AB371" s="123"/>
      <c r="AC371" s="123"/>
      <c r="AD371" s="125"/>
      <c r="AE371" s="123"/>
      <c r="AF371" s="123"/>
      <c r="AG371" s="123"/>
      <c r="AH371" s="123"/>
      <c r="AI371" s="123"/>
      <c r="AJ371" s="123"/>
      <c r="AK371" s="123"/>
    </row>
    <row r="372" spans="1:37" ht="14.25" customHeight="1" x14ac:dyDescent="0.2">
      <c r="A372" s="123"/>
      <c r="C372" s="123"/>
      <c r="AB372" s="123"/>
      <c r="AC372" s="123"/>
      <c r="AD372" s="125"/>
      <c r="AE372" s="123"/>
      <c r="AF372" s="123"/>
      <c r="AG372" s="123"/>
      <c r="AH372" s="123"/>
      <c r="AI372" s="123"/>
      <c r="AJ372" s="123"/>
      <c r="AK372" s="123"/>
    </row>
    <row r="373" spans="1:37" ht="14.25" customHeight="1" x14ac:dyDescent="0.2">
      <c r="A373" s="123"/>
      <c r="C373" s="123"/>
      <c r="AB373" s="123"/>
      <c r="AC373" s="123"/>
      <c r="AD373" s="125"/>
      <c r="AE373" s="123"/>
      <c r="AF373" s="123"/>
      <c r="AG373" s="123"/>
      <c r="AH373" s="123"/>
      <c r="AI373" s="123"/>
      <c r="AJ373" s="123"/>
      <c r="AK373" s="123"/>
    </row>
    <row r="374" spans="1:37" ht="14.25" customHeight="1" x14ac:dyDescent="0.2">
      <c r="A374" s="123"/>
      <c r="C374" s="123"/>
      <c r="AB374" s="123"/>
      <c r="AC374" s="123"/>
      <c r="AD374" s="125"/>
      <c r="AE374" s="123"/>
      <c r="AF374" s="123"/>
      <c r="AG374" s="123"/>
      <c r="AH374" s="123"/>
      <c r="AI374" s="123"/>
      <c r="AJ374" s="123"/>
      <c r="AK374" s="123"/>
    </row>
    <row r="375" spans="1:37" ht="14.25" customHeight="1" x14ac:dyDescent="0.2">
      <c r="A375" s="123"/>
      <c r="C375" s="123"/>
      <c r="AB375" s="123"/>
      <c r="AC375" s="123"/>
      <c r="AD375" s="125"/>
      <c r="AE375" s="123"/>
      <c r="AF375" s="123"/>
      <c r="AG375" s="123"/>
      <c r="AH375" s="123"/>
      <c r="AI375" s="123"/>
      <c r="AJ375" s="123"/>
      <c r="AK375" s="123"/>
    </row>
    <row r="376" spans="1:37" ht="14.25" customHeight="1" x14ac:dyDescent="0.2">
      <c r="A376" s="123"/>
      <c r="C376" s="123"/>
      <c r="AB376" s="123"/>
      <c r="AC376" s="123"/>
      <c r="AD376" s="125"/>
      <c r="AE376" s="123"/>
      <c r="AF376" s="123"/>
      <c r="AG376" s="123"/>
      <c r="AH376" s="123"/>
      <c r="AI376" s="123"/>
      <c r="AJ376" s="123"/>
      <c r="AK376" s="123"/>
    </row>
    <row r="377" spans="1:37" ht="14.25" customHeight="1" x14ac:dyDescent="0.2">
      <c r="A377" s="123"/>
      <c r="C377" s="123"/>
      <c r="AB377" s="123"/>
      <c r="AC377" s="123"/>
      <c r="AD377" s="125"/>
      <c r="AE377" s="123"/>
      <c r="AF377" s="123"/>
      <c r="AG377" s="123"/>
      <c r="AH377" s="123"/>
      <c r="AI377" s="123"/>
      <c r="AJ377" s="123"/>
      <c r="AK377" s="123"/>
    </row>
    <row r="378" spans="1:37" ht="14.25" customHeight="1" x14ac:dyDescent="0.2">
      <c r="A378" s="123"/>
      <c r="C378" s="123"/>
      <c r="AB378" s="123"/>
      <c r="AC378" s="123"/>
      <c r="AD378" s="125"/>
      <c r="AE378" s="123"/>
      <c r="AF378" s="123"/>
      <c r="AG378" s="123"/>
      <c r="AH378" s="123"/>
      <c r="AI378" s="123"/>
      <c r="AJ378" s="123"/>
      <c r="AK378" s="123"/>
    </row>
    <row r="379" spans="1:37" ht="14.25" customHeight="1" x14ac:dyDescent="0.2">
      <c r="A379" s="123"/>
      <c r="C379" s="123"/>
      <c r="AB379" s="123"/>
      <c r="AC379" s="123"/>
      <c r="AD379" s="125"/>
      <c r="AE379" s="123"/>
      <c r="AF379" s="123"/>
      <c r="AG379" s="123"/>
      <c r="AH379" s="123"/>
      <c r="AI379" s="123"/>
      <c r="AJ379" s="123"/>
      <c r="AK379" s="123"/>
    </row>
    <row r="380" spans="1:37" ht="14.25" customHeight="1" x14ac:dyDescent="0.2">
      <c r="A380" s="123"/>
      <c r="C380" s="123"/>
      <c r="AB380" s="123"/>
      <c r="AC380" s="123"/>
      <c r="AD380" s="125"/>
      <c r="AE380" s="123"/>
      <c r="AF380" s="123"/>
      <c r="AG380" s="123"/>
      <c r="AH380" s="123"/>
      <c r="AI380" s="123"/>
      <c r="AJ380" s="123"/>
      <c r="AK380" s="123"/>
    </row>
    <row r="381" spans="1:37" ht="14.25" customHeight="1" x14ac:dyDescent="0.2">
      <c r="A381" s="123"/>
      <c r="C381" s="123"/>
      <c r="AB381" s="123"/>
      <c r="AC381" s="123"/>
      <c r="AD381" s="125"/>
      <c r="AE381" s="123"/>
      <c r="AF381" s="123"/>
      <c r="AG381" s="123"/>
      <c r="AH381" s="123"/>
      <c r="AI381" s="123"/>
      <c r="AJ381" s="123"/>
      <c r="AK381" s="123"/>
    </row>
    <row r="382" spans="1:37" ht="14.25" customHeight="1" x14ac:dyDescent="0.2">
      <c r="A382" s="123"/>
      <c r="C382" s="123"/>
      <c r="AB382" s="123"/>
      <c r="AC382" s="123"/>
      <c r="AD382" s="125"/>
      <c r="AE382" s="123"/>
      <c r="AF382" s="123"/>
      <c r="AG382" s="123"/>
      <c r="AH382" s="123"/>
      <c r="AI382" s="123"/>
      <c r="AJ382" s="123"/>
      <c r="AK382" s="123"/>
    </row>
    <row r="383" spans="1:37" ht="14.25" customHeight="1" x14ac:dyDescent="0.2">
      <c r="A383" s="123"/>
      <c r="C383" s="123"/>
      <c r="AB383" s="123"/>
      <c r="AC383" s="123"/>
      <c r="AD383" s="125"/>
      <c r="AE383" s="123"/>
      <c r="AF383" s="123"/>
      <c r="AG383" s="123"/>
      <c r="AH383" s="123"/>
      <c r="AI383" s="123"/>
      <c r="AJ383" s="123"/>
      <c r="AK383" s="123"/>
    </row>
    <row r="384" spans="1:37" ht="14.25" customHeight="1" x14ac:dyDescent="0.2">
      <c r="A384" s="123"/>
      <c r="C384" s="123"/>
      <c r="AB384" s="123"/>
      <c r="AC384" s="123"/>
      <c r="AD384" s="125"/>
      <c r="AE384" s="123"/>
      <c r="AF384" s="123"/>
      <c r="AG384" s="123"/>
      <c r="AH384" s="123"/>
      <c r="AI384" s="123"/>
      <c r="AJ384" s="123"/>
      <c r="AK384" s="123"/>
    </row>
    <row r="385" spans="1:37" ht="14.25" customHeight="1" x14ac:dyDescent="0.2">
      <c r="A385" s="123"/>
      <c r="C385" s="123"/>
      <c r="AB385" s="123"/>
      <c r="AC385" s="123"/>
      <c r="AD385" s="125"/>
      <c r="AE385" s="123"/>
      <c r="AF385" s="123"/>
      <c r="AG385" s="123"/>
      <c r="AH385" s="123"/>
      <c r="AI385" s="123"/>
      <c r="AJ385" s="123"/>
      <c r="AK385" s="123"/>
    </row>
    <row r="386" spans="1:37" ht="14.25" customHeight="1" x14ac:dyDescent="0.2">
      <c r="A386" s="123"/>
      <c r="C386" s="123"/>
      <c r="AB386" s="123"/>
      <c r="AC386" s="123"/>
      <c r="AD386" s="125"/>
      <c r="AE386" s="123"/>
      <c r="AF386" s="123"/>
      <c r="AG386" s="123"/>
      <c r="AH386" s="123"/>
      <c r="AI386" s="123"/>
      <c r="AJ386" s="123"/>
      <c r="AK386" s="123"/>
    </row>
    <row r="387" spans="1:37" ht="14.25" customHeight="1" x14ac:dyDescent="0.2">
      <c r="A387" s="123"/>
      <c r="C387" s="123"/>
      <c r="AB387" s="123"/>
      <c r="AC387" s="123"/>
      <c r="AD387" s="125"/>
      <c r="AE387" s="123"/>
      <c r="AF387" s="123"/>
      <c r="AG387" s="123"/>
      <c r="AH387" s="123"/>
      <c r="AI387" s="123"/>
      <c r="AJ387" s="123"/>
      <c r="AK387" s="123"/>
    </row>
    <row r="388" spans="1:37" ht="14.25" customHeight="1" x14ac:dyDescent="0.2">
      <c r="A388" s="123"/>
      <c r="C388" s="123"/>
      <c r="AB388" s="123"/>
      <c r="AC388" s="123"/>
      <c r="AD388" s="125"/>
      <c r="AE388" s="123"/>
      <c r="AF388" s="123"/>
      <c r="AG388" s="123"/>
      <c r="AH388" s="123"/>
      <c r="AI388" s="123"/>
      <c r="AJ388" s="123"/>
      <c r="AK388" s="123"/>
    </row>
    <row r="389" spans="1:37" ht="14.25" customHeight="1" x14ac:dyDescent="0.2">
      <c r="A389" s="123"/>
      <c r="C389" s="123"/>
      <c r="AB389" s="123"/>
      <c r="AC389" s="123"/>
      <c r="AD389" s="125"/>
      <c r="AE389" s="123"/>
      <c r="AF389" s="123"/>
      <c r="AG389" s="123"/>
      <c r="AH389" s="123"/>
      <c r="AI389" s="123"/>
      <c r="AJ389" s="123"/>
      <c r="AK389" s="123"/>
    </row>
    <row r="390" spans="1:37" ht="14.25" customHeight="1" x14ac:dyDescent="0.2">
      <c r="A390" s="123"/>
      <c r="C390" s="123"/>
      <c r="AB390" s="123"/>
      <c r="AC390" s="123"/>
      <c r="AD390" s="125"/>
      <c r="AE390" s="123"/>
      <c r="AF390" s="123"/>
      <c r="AG390" s="123"/>
      <c r="AH390" s="123"/>
      <c r="AI390" s="123"/>
      <c r="AJ390" s="123"/>
      <c r="AK390" s="123"/>
    </row>
    <row r="391" spans="1:37" ht="14.25" customHeight="1" x14ac:dyDescent="0.2">
      <c r="A391" s="123"/>
      <c r="C391" s="123"/>
      <c r="AB391" s="123"/>
      <c r="AC391" s="123"/>
      <c r="AD391" s="125"/>
      <c r="AE391" s="123"/>
      <c r="AF391" s="123"/>
      <c r="AG391" s="123"/>
      <c r="AH391" s="123"/>
      <c r="AI391" s="123"/>
      <c r="AJ391" s="123"/>
      <c r="AK391" s="123"/>
    </row>
    <row r="392" spans="1:37" ht="14.25" customHeight="1" x14ac:dyDescent="0.2">
      <c r="A392" s="123"/>
      <c r="C392" s="123"/>
      <c r="AB392" s="123"/>
      <c r="AC392" s="123"/>
      <c r="AD392" s="125"/>
      <c r="AE392" s="123"/>
      <c r="AF392" s="123"/>
      <c r="AG392" s="123"/>
      <c r="AH392" s="123"/>
      <c r="AI392" s="123"/>
      <c r="AJ392" s="123"/>
      <c r="AK392" s="123"/>
    </row>
    <row r="393" spans="1:37" ht="14.25" customHeight="1" x14ac:dyDescent="0.2">
      <c r="A393" s="123"/>
      <c r="C393" s="123"/>
      <c r="AB393" s="123"/>
      <c r="AC393" s="123"/>
      <c r="AD393" s="125"/>
      <c r="AE393" s="123"/>
      <c r="AF393" s="123"/>
      <c r="AG393" s="123"/>
      <c r="AH393" s="123"/>
      <c r="AI393" s="123"/>
      <c r="AJ393" s="123"/>
      <c r="AK393" s="123"/>
    </row>
    <row r="394" spans="1:37" ht="14.25" customHeight="1" x14ac:dyDescent="0.2">
      <c r="A394" s="123"/>
      <c r="C394" s="123"/>
      <c r="AB394" s="123"/>
      <c r="AC394" s="123"/>
      <c r="AD394" s="125"/>
      <c r="AE394" s="123"/>
      <c r="AF394" s="123"/>
      <c r="AG394" s="123"/>
      <c r="AH394" s="123"/>
      <c r="AI394" s="123"/>
      <c r="AJ394" s="123"/>
      <c r="AK394" s="123"/>
    </row>
    <row r="395" spans="1:37" ht="14.25" customHeight="1" x14ac:dyDescent="0.2">
      <c r="A395" s="123"/>
      <c r="C395" s="123"/>
      <c r="AB395" s="123"/>
      <c r="AC395" s="123"/>
      <c r="AD395" s="125"/>
      <c r="AE395" s="123"/>
      <c r="AF395" s="123"/>
      <c r="AG395" s="123"/>
      <c r="AH395" s="123"/>
      <c r="AI395" s="123"/>
      <c r="AJ395" s="123"/>
      <c r="AK395" s="123"/>
    </row>
    <row r="396" spans="1:37" ht="14.25" customHeight="1" x14ac:dyDescent="0.2">
      <c r="A396" s="123"/>
      <c r="C396" s="123"/>
      <c r="AB396" s="123"/>
      <c r="AC396" s="123"/>
      <c r="AD396" s="125"/>
      <c r="AE396" s="123"/>
      <c r="AF396" s="123"/>
      <c r="AG396" s="123"/>
      <c r="AH396" s="123"/>
      <c r="AI396" s="123"/>
      <c r="AJ396" s="123"/>
      <c r="AK396" s="123"/>
    </row>
    <row r="397" spans="1:37" ht="14.25" customHeight="1" x14ac:dyDescent="0.2">
      <c r="A397" s="123"/>
      <c r="C397" s="123"/>
      <c r="AB397" s="123"/>
      <c r="AC397" s="123"/>
      <c r="AD397" s="125"/>
      <c r="AE397" s="123"/>
      <c r="AF397" s="123"/>
      <c r="AG397" s="123"/>
      <c r="AH397" s="123"/>
      <c r="AI397" s="123"/>
      <c r="AJ397" s="123"/>
      <c r="AK397" s="123"/>
    </row>
    <row r="398" spans="1:37" ht="14.25" customHeight="1" x14ac:dyDescent="0.2">
      <c r="A398" s="123"/>
      <c r="C398" s="123"/>
      <c r="AB398" s="123"/>
      <c r="AC398" s="123"/>
      <c r="AD398" s="125"/>
      <c r="AE398" s="123"/>
      <c r="AF398" s="123"/>
      <c r="AG398" s="123"/>
      <c r="AH398" s="123"/>
      <c r="AI398" s="123"/>
      <c r="AJ398" s="123"/>
      <c r="AK398" s="123"/>
    </row>
    <row r="399" spans="1:37" ht="14.25" customHeight="1" x14ac:dyDescent="0.2">
      <c r="A399" s="123"/>
      <c r="C399" s="123"/>
      <c r="AB399" s="123"/>
      <c r="AC399" s="123"/>
      <c r="AD399" s="125"/>
      <c r="AE399" s="123"/>
      <c r="AF399" s="123"/>
      <c r="AG399" s="123"/>
      <c r="AH399" s="123"/>
      <c r="AI399" s="123"/>
      <c r="AJ399" s="123"/>
      <c r="AK399" s="123"/>
    </row>
    <row r="400" spans="1:37" ht="14.25" customHeight="1" x14ac:dyDescent="0.2">
      <c r="A400" s="123"/>
      <c r="C400" s="123"/>
      <c r="AB400" s="123"/>
      <c r="AC400" s="123"/>
      <c r="AD400" s="125"/>
      <c r="AE400" s="123"/>
      <c r="AF400" s="123"/>
      <c r="AG400" s="123"/>
      <c r="AH400" s="123"/>
      <c r="AI400" s="123"/>
      <c r="AJ400" s="123"/>
      <c r="AK400" s="123"/>
    </row>
    <row r="401" spans="1:37" ht="14.25" customHeight="1" x14ac:dyDescent="0.2">
      <c r="A401" s="123"/>
      <c r="C401" s="123"/>
      <c r="AB401" s="123"/>
      <c r="AC401" s="123"/>
      <c r="AD401" s="125"/>
      <c r="AE401" s="123"/>
      <c r="AF401" s="123"/>
      <c r="AG401" s="123"/>
      <c r="AH401" s="123"/>
      <c r="AI401" s="123"/>
      <c r="AJ401" s="123"/>
      <c r="AK401" s="123"/>
    </row>
    <row r="402" spans="1:37" ht="14.25" customHeight="1" x14ac:dyDescent="0.2">
      <c r="A402" s="123"/>
      <c r="C402" s="123"/>
      <c r="AB402" s="123"/>
      <c r="AC402" s="123"/>
      <c r="AD402" s="125"/>
      <c r="AE402" s="123"/>
      <c r="AF402" s="123"/>
      <c r="AG402" s="123"/>
      <c r="AH402" s="123"/>
      <c r="AI402" s="123"/>
      <c r="AJ402" s="123"/>
      <c r="AK402" s="123"/>
    </row>
    <row r="403" spans="1:37" ht="14.25" customHeight="1" x14ac:dyDescent="0.2">
      <c r="A403" s="123"/>
      <c r="C403" s="123"/>
      <c r="AB403" s="123"/>
      <c r="AC403" s="123"/>
      <c r="AD403" s="125"/>
      <c r="AE403" s="123"/>
      <c r="AF403" s="123"/>
      <c r="AG403" s="123"/>
      <c r="AH403" s="123"/>
      <c r="AI403" s="123"/>
      <c r="AJ403" s="123"/>
      <c r="AK403" s="123"/>
    </row>
    <row r="404" spans="1:37" ht="14.25" customHeight="1" x14ac:dyDescent="0.2">
      <c r="A404" s="123"/>
      <c r="C404" s="123"/>
      <c r="AB404" s="123"/>
      <c r="AC404" s="123"/>
      <c r="AD404" s="125"/>
      <c r="AE404" s="123"/>
      <c r="AF404" s="123"/>
      <c r="AG404" s="123"/>
      <c r="AH404" s="123"/>
      <c r="AI404" s="123"/>
      <c r="AJ404" s="123"/>
      <c r="AK404" s="123"/>
    </row>
    <row r="405" spans="1:37" ht="14.25" customHeight="1" x14ac:dyDescent="0.2">
      <c r="A405" s="123"/>
      <c r="C405" s="123"/>
      <c r="AB405" s="123"/>
      <c r="AC405" s="123"/>
      <c r="AD405" s="125"/>
      <c r="AE405" s="123"/>
      <c r="AF405" s="123"/>
      <c r="AG405" s="123"/>
      <c r="AH405" s="123"/>
      <c r="AI405" s="123"/>
      <c r="AJ405" s="123"/>
      <c r="AK405" s="123"/>
    </row>
    <row r="406" spans="1:37" ht="14.25" customHeight="1" x14ac:dyDescent="0.2">
      <c r="A406" s="123"/>
      <c r="C406" s="123"/>
      <c r="AB406" s="123"/>
      <c r="AC406" s="123"/>
      <c r="AD406" s="125"/>
      <c r="AE406" s="123"/>
      <c r="AF406" s="123"/>
      <c r="AG406" s="123"/>
      <c r="AH406" s="123"/>
      <c r="AI406" s="123"/>
      <c r="AJ406" s="123"/>
      <c r="AK406" s="123"/>
    </row>
    <row r="407" spans="1:37" ht="14.25" customHeight="1" x14ac:dyDescent="0.2">
      <c r="A407" s="123"/>
      <c r="C407" s="123"/>
      <c r="AB407" s="123"/>
      <c r="AC407" s="123"/>
      <c r="AD407" s="125"/>
      <c r="AE407" s="123"/>
      <c r="AF407" s="123"/>
      <c r="AG407" s="123"/>
      <c r="AH407" s="123"/>
      <c r="AI407" s="123"/>
      <c r="AJ407" s="123"/>
      <c r="AK407" s="123"/>
    </row>
    <row r="408" spans="1:37" ht="14.25" customHeight="1" x14ac:dyDescent="0.2">
      <c r="A408" s="123"/>
      <c r="C408" s="123"/>
      <c r="AB408" s="123"/>
      <c r="AC408" s="123"/>
      <c r="AD408" s="125"/>
      <c r="AE408" s="123"/>
      <c r="AF408" s="123"/>
      <c r="AG408" s="123"/>
      <c r="AH408" s="123"/>
      <c r="AI408" s="123"/>
      <c r="AJ408" s="123"/>
      <c r="AK408" s="123"/>
    </row>
    <row r="409" spans="1:37" ht="14.25" customHeight="1" x14ac:dyDescent="0.2">
      <c r="A409" s="123"/>
      <c r="C409" s="123"/>
      <c r="AB409" s="123"/>
      <c r="AC409" s="123"/>
      <c r="AD409" s="125"/>
      <c r="AE409" s="123"/>
      <c r="AF409" s="123"/>
      <c r="AG409" s="123"/>
      <c r="AH409" s="123"/>
      <c r="AI409" s="123"/>
      <c r="AJ409" s="123"/>
      <c r="AK409" s="123"/>
    </row>
    <row r="410" spans="1:37" ht="14.25" customHeight="1" x14ac:dyDescent="0.2">
      <c r="A410" s="123"/>
      <c r="C410" s="123"/>
      <c r="AB410" s="123"/>
      <c r="AC410" s="123"/>
      <c r="AD410" s="125"/>
      <c r="AE410" s="123"/>
      <c r="AF410" s="123"/>
      <c r="AG410" s="123"/>
      <c r="AH410" s="123"/>
      <c r="AI410" s="123"/>
      <c r="AJ410" s="123"/>
      <c r="AK410" s="123"/>
    </row>
    <row r="411" spans="1:37" ht="14.25" customHeight="1" x14ac:dyDescent="0.2">
      <c r="A411" s="123"/>
      <c r="C411" s="123"/>
      <c r="AB411" s="123"/>
      <c r="AC411" s="123"/>
      <c r="AD411" s="125"/>
      <c r="AE411" s="123"/>
      <c r="AF411" s="123"/>
      <c r="AG411" s="123"/>
      <c r="AH411" s="123"/>
      <c r="AI411" s="123"/>
      <c r="AJ411" s="123"/>
      <c r="AK411" s="123"/>
    </row>
    <row r="412" spans="1:37" ht="14.25" customHeight="1" x14ac:dyDescent="0.2">
      <c r="A412" s="123"/>
      <c r="C412" s="123"/>
      <c r="AB412" s="123"/>
      <c r="AC412" s="123"/>
      <c r="AD412" s="125"/>
      <c r="AE412" s="123"/>
      <c r="AF412" s="123"/>
      <c r="AG412" s="123"/>
      <c r="AH412" s="123"/>
      <c r="AI412" s="123"/>
      <c r="AJ412" s="123"/>
      <c r="AK412" s="123"/>
    </row>
    <row r="413" spans="1:37" ht="14.25" customHeight="1" x14ac:dyDescent="0.2">
      <c r="A413" s="123"/>
      <c r="C413" s="123"/>
      <c r="AB413" s="123"/>
      <c r="AC413" s="123"/>
      <c r="AD413" s="125"/>
      <c r="AE413" s="123"/>
      <c r="AF413" s="123"/>
      <c r="AG413" s="123"/>
      <c r="AH413" s="123"/>
      <c r="AI413" s="123"/>
      <c r="AJ413" s="123"/>
      <c r="AK413" s="123"/>
    </row>
    <row r="414" spans="1:37" ht="14.25" customHeight="1" x14ac:dyDescent="0.2">
      <c r="A414" s="123"/>
      <c r="C414" s="123"/>
      <c r="AB414" s="123"/>
      <c r="AC414" s="123"/>
      <c r="AD414" s="125"/>
      <c r="AE414" s="123"/>
      <c r="AF414" s="123"/>
      <c r="AG414" s="123"/>
      <c r="AH414" s="123"/>
      <c r="AI414" s="123"/>
      <c r="AJ414" s="123"/>
      <c r="AK414" s="123"/>
    </row>
    <row r="415" spans="1:37" ht="14.25" customHeight="1" x14ac:dyDescent="0.2">
      <c r="A415" s="123"/>
      <c r="C415" s="123"/>
      <c r="AB415" s="123"/>
      <c r="AC415" s="123"/>
      <c r="AD415" s="125"/>
      <c r="AE415" s="123"/>
      <c r="AF415" s="123"/>
      <c r="AG415" s="123"/>
      <c r="AH415" s="123"/>
      <c r="AI415" s="123"/>
      <c r="AJ415" s="123"/>
      <c r="AK415" s="123"/>
    </row>
    <row r="416" spans="1:37" ht="14.25" customHeight="1" x14ac:dyDescent="0.2">
      <c r="A416" s="123"/>
      <c r="C416" s="123"/>
      <c r="AB416" s="123"/>
      <c r="AC416" s="123"/>
      <c r="AD416" s="125"/>
      <c r="AE416" s="123"/>
      <c r="AF416" s="123"/>
      <c r="AG416" s="123"/>
      <c r="AH416" s="123"/>
      <c r="AI416" s="123"/>
      <c r="AJ416" s="123"/>
      <c r="AK416" s="123"/>
    </row>
    <row r="417" spans="1:37" ht="14.25" customHeight="1" x14ac:dyDescent="0.2">
      <c r="A417" s="123"/>
      <c r="C417" s="123"/>
      <c r="AB417" s="123"/>
      <c r="AC417" s="123"/>
      <c r="AD417" s="125"/>
      <c r="AE417" s="123"/>
      <c r="AF417" s="123"/>
      <c r="AG417" s="123"/>
      <c r="AH417" s="123"/>
      <c r="AI417" s="123"/>
      <c r="AJ417" s="123"/>
      <c r="AK417" s="123"/>
    </row>
    <row r="418" spans="1:37" ht="14.25" customHeight="1" x14ac:dyDescent="0.2">
      <c r="A418" s="123"/>
      <c r="C418" s="123"/>
      <c r="AB418" s="123"/>
      <c r="AC418" s="123"/>
      <c r="AD418" s="125"/>
      <c r="AE418" s="123"/>
      <c r="AF418" s="123"/>
      <c r="AG418" s="123"/>
      <c r="AH418" s="123"/>
      <c r="AI418" s="123"/>
      <c r="AJ418" s="123"/>
      <c r="AK418" s="123"/>
    </row>
    <row r="419" spans="1:37" ht="14.25" customHeight="1" x14ac:dyDescent="0.2">
      <c r="A419" s="123"/>
      <c r="C419" s="123"/>
      <c r="AB419" s="123"/>
      <c r="AC419" s="123"/>
      <c r="AD419" s="125"/>
      <c r="AE419" s="123"/>
      <c r="AF419" s="123"/>
      <c r="AG419" s="123"/>
      <c r="AH419" s="123"/>
      <c r="AI419" s="123"/>
      <c r="AJ419" s="123"/>
      <c r="AK419" s="123"/>
    </row>
    <row r="420" spans="1:37" ht="14.25" customHeight="1" x14ac:dyDescent="0.2">
      <c r="A420" s="123"/>
      <c r="C420" s="123"/>
      <c r="AB420" s="123"/>
      <c r="AC420" s="123"/>
      <c r="AD420" s="125"/>
      <c r="AE420" s="123"/>
      <c r="AF420" s="123"/>
      <c r="AG420" s="123"/>
      <c r="AH420" s="123"/>
      <c r="AI420" s="123"/>
      <c r="AJ420" s="123"/>
      <c r="AK420" s="123"/>
    </row>
    <row r="421" spans="1:37" ht="14.25" customHeight="1" x14ac:dyDescent="0.2">
      <c r="A421" s="123"/>
      <c r="C421" s="123"/>
      <c r="AB421" s="123"/>
      <c r="AC421" s="123"/>
      <c r="AD421" s="125"/>
      <c r="AE421" s="123"/>
      <c r="AF421" s="123"/>
      <c r="AG421" s="123"/>
      <c r="AH421" s="123"/>
      <c r="AI421" s="123"/>
      <c r="AJ421" s="123"/>
      <c r="AK421" s="123"/>
    </row>
    <row r="422" spans="1:37" ht="14.25" customHeight="1" x14ac:dyDescent="0.2">
      <c r="A422" s="123"/>
      <c r="C422" s="123"/>
      <c r="AB422" s="123"/>
      <c r="AC422" s="123"/>
      <c r="AD422" s="125"/>
      <c r="AE422" s="123"/>
      <c r="AF422" s="123"/>
      <c r="AG422" s="123"/>
      <c r="AH422" s="123"/>
      <c r="AI422" s="123"/>
      <c r="AJ422" s="123"/>
      <c r="AK422" s="123"/>
    </row>
    <row r="423" spans="1:37" ht="14.25" customHeight="1" x14ac:dyDescent="0.2">
      <c r="A423" s="123"/>
      <c r="C423" s="123"/>
      <c r="AB423" s="123"/>
      <c r="AC423" s="123"/>
      <c r="AD423" s="125"/>
      <c r="AE423" s="123"/>
      <c r="AF423" s="123"/>
      <c r="AG423" s="123"/>
      <c r="AH423" s="123"/>
      <c r="AI423" s="123"/>
      <c r="AJ423" s="123"/>
      <c r="AK423" s="123"/>
    </row>
    <row r="424" spans="1:37" ht="14.25" customHeight="1" x14ac:dyDescent="0.2">
      <c r="A424" s="123"/>
      <c r="C424" s="123"/>
      <c r="AB424" s="123"/>
      <c r="AC424" s="123"/>
      <c r="AD424" s="125"/>
      <c r="AE424" s="123"/>
      <c r="AF424" s="123"/>
      <c r="AG424" s="123"/>
      <c r="AH424" s="123"/>
      <c r="AI424" s="123"/>
      <c r="AJ424" s="123"/>
      <c r="AK424" s="123"/>
    </row>
    <row r="425" spans="1:37" ht="14.25" customHeight="1" x14ac:dyDescent="0.2">
      <c r="A425" s="123"/>
      <c r="C425" s="123"/>
      <c r="AB425" s="123"/>
      <c r="AC425" s="123"/>
      <c r="AD425" s="125"/>
      <c r="AE425" s="123"/>
      <c r="AF425" s="123"/>
      <c r="AG425" s="123"/>
      <c r="AH425" s="123"/>
      <c r="AI425" s="123"/>
      <c r="AJ425" s="123"/>
      <c r="AK425" s="123"/>
    </row>
    <row r="426" spans="1:37" ht="14.25" customHeight="1" x14ac:dyDescent="0.2">
      <c r="A426" s="123"/>
      <c r="C426" s="123"/>
      <c r="AB426" s="123"/>
      <c r="AC426" s="123"/>
      <c r="AD426" s="125"/>
      <c r="AE426" s="123"/>
      <c r="AF426" s="123"/>
      <c r="AG426" s="123"/>
      <c r="AH426" s="123"/>
      <c r="AI426" s="123"/>
      <c r="AJ426" s="123"/>
      <c r="AK426" s="123"/>
    </row>
    <row r="427" spans="1:37" ht="14.25" customHeight="1" x14ac:dyDescent="0.2">
      <c r="A427" s="123"/>
      <c r="C427" s="123"/>
      <c r="AB427" s="123"/>
      <c r="AC427" s="123"/>
      <c r="AD427" s="125"/>
      <c r="AE427" s="123"/>
      <c r="AF427" s="123"/>
      <c r="AG427" s="123"/>
      <c r="AH427" s="123"/>
      <c r="AI427" s="123"/>
      <c r="AJ427" s="123"/>
      <c r="AK427" s="123"/>
    </row>
    <row r="428" spans="1:37" ht="14.25" customHeight="1" x14ac:dyDescent="0.2">
      <c r="A428" s="123"/>
      <c r="C428" s="123"/>
      <c r="AB428" s="123"/>
      <c r="AC428" s="123"/>
      <c r="AD428" s="125"/>
      <c r="AE428" s="123"/>
      <c r="AF428" s="123"/>
      <c r="AG428" s="123"/>
      <c r="AH428" s="123"/>
      <c r="AI428" s="123"/>
      <c r="AJ428" s="123"/>
      <c r="AK428" s="123"/>
    </row>
    <row r="429" spans="1:37" ht="14.25" customHeight="1" x14ac:dyDescent="0.2">
      <c r="A429" s="123"/>
      <c r="C429" s="123"/>
      <c r="AB429" s="123"/>
      <c r="AC429" s="123"/>
      <c r="AD429" s="125"/>
      <c r="AE429" s="123"/>
      <c r="AF429" s="123"/>
      <c r="AG429" s="123"/>
      <c r="AH429" s="123"/>
      <c r="AI429" s="123"/>
      <c r="AJ429" s="123"/>
      <c r="AK429" s="123"/>
    </row>
    <row r="430" spans="1:37" ht="14.25" customHeight="1" x14ac:dyDescent="0.2">
      <c r="A430" s="123"/>
      <c r="C430" s="123"/>
      <c r="AB430" s="123"/>
      <c r="AC430" s="123"/>
      <c r="AD430" s="125"/>
      <c r="AE430" s="123"/>
      <c r="AF430" s="123"/>
      <c r="AG430" s="123"/>
      <c r="AH430" s="123"/>
      <c r="AI430" s="123"/>
      <c r="AJ430" s="123"/>
      <c r="AK430" s="123"/>
    </row>
    <row r="431" spans="1:37" ht="14.25" customHeight="1" x14ac:dyDescent="0.2">
      <c r="A431" s="123"/>
      <c r="C431" s="123"/>
      <c r="AB431" s="123"/>
      <c r="AC431" s="123"/>
      <c r="AD431" s="125"/>
      <c r="AE431" s="123"/>
      <c r="AF431" s="123"/>
      <c r="AG431" s="123"/>
      <c r="AH431" s="123"/>
      <c r="AI431" s="123"/>
      <c r="AJ431" s="123"/>
      <c r="AK431" s="123"/>
    </row>
    <row r="432" spans="1:37" ht="14.25" customHeight="1" x14ac:dyDescent="0.2">
      <c r="A432" s="123"/>
      <c r="C432" s="123"/>
      <c r="AB432" s="123"/>
      <c r="AC432" s="123"/>
      <c r="AD432" s="125"/>
      <c r="AE432" s="123"/>
      <c r="AF432" s="123"/>
      <c r="AG432" s="123"/>
      <c r="AH432" s="123"/>
      <c r="AI432" s="123"/>
      <c r="AJ432" s="123"/>
      <c r="AK432" s="123"/>
    </row>
    <row r="433" spans="1:37" ht="14.25" customHeight="1" x14ac:dyDescent="0.2">
      <c r="A433" s="123"/>
      <c r="C433" s="123"/>
      <c r="AB433" s="123"/>
      <c r="AC433" s="123"/>
      <c r="AD433" s="125"/>
      <c r="AE433" s="123"/>
      <c r="AF433" s="123"/>
      <c r="AG433" s="123"/>
      <c r="AH433" s="123"/>
      <c r="AI433" s="123"/>
      <c r="AJ433" s="123"/>
      <c r="AK433" s="123"/>
    </row>
    <row r="434" spans="1:37" ht="14.25" customHeight="1" x14ac:dyDescent="0.2">
      <c r="A434" s="123"/>
      <c r="C434" s="123"/>
      <c r="AB434" s="123"/>
      <c r="AC434" s="123"/>
      <c r="AD434" s="125"/>
      <c r="AE434" s="123"/>
      <c r="AF434" s="123"/>
      <c r="AG434" s="123"/>
      <c r="AH434" s="123"/>
      <c r="AI434" s="123"/>
      <c r="AJ434" s="123"/>
      <c r="AK434" s="123"/>
    </row>
    <row r="435" spans="1:37" ht="14.25" customHeight="1" x14ac:dyDescent="0.2">
      <c r="A435" s="123"/>
      <c r="C435" s="123"/>
      <c r="AB435" s="123"/>
      <c r="AC435" s="123"/>
      <c r="AD435" s="125"/>
      <c r="AE435" s="123"/>
      <c r="AF435" s="123"/>
      <c r="AG435" s="123"/>
      <c r="AH435" s="123"/>
      <c r="AI435" s="123"/>
      <c r="AJ435" s="123"/>
      <c r="AK435" s="123"/>
    </row>
    <row r="436" spans="1:37" ht="14.25" customHeight="1" x14ac:dyDescent="0.2">
      <c r="A436" s="123"/>
      <c r="C436" s="123"/>
      <c r="AB436" s="123"/>
      <c r="AC436" s="123"/>
      <c r="AD436" s="125"/>
      <c r="AE436" s="123"/>
      <c r="AF436" s="123"/>
      <c r="AG436" s="123"/>
      <c r="AH436" s="123"/>
      <c r="AI436" s="123"/>
      <c r="AJ436" s="123"/>
      <c r="AK436" s="123"/>
    </row>
    <row r="437" spans="1:37" ht="14.25" customHeight="1" x14ac:dyDescent="0.2">
      <c r="A437" s="123"/>
      <c r="C437" s="123"/>
      <c r="AB437" s="123"/>
      <c r="AC437" s="123"/>
      <c r="AD437" s="125"/>
      <c r="AE437" s="123"/>
      <c r="AF437" s="123"/>
      <c r="AG437" s="123"/>
      <c r="AH437" s="123"/>
      <c r="AI437" s="123"/>
      <c r="AJ437" s="123"/>
      <c r="AK437" s="123"/>
    </row>
    <row r="438" spans="1:37" ht="14.25" customHeight="1" x14ac:dyDescent="0.2">
      <c r="A438" s="123"/>
      <c r="C438" s="123"/>
      <c r="AB438" s="123"/>
      <c r="AC438" s="123"/>
      <c r="AD438" s="125"/>
      <c r="AE438" s="123"/>
      <c r="AF438" s="123"/>
      <c r="AG438" s="123"/>
      <c r="AH438" s="123"/>
      <c r="AI438" s="123"/>
      <c r="AJ438" s="123"/>
      <c r="AK438" s="123"/>
    </row>
    <row r="439" spans="1:37" ht="14.25" customHeight="1" x14ac:dyDescent="0.2">
      <c r="A439" s="123"/>
      <c r="C439" s="123"/>
      <c r="AB439" s="123"/>
      <c r="AC439" s="123"/>
      <c r="AD439" s="125"/>
      <c r="AE439" s="123"/>
      <c r="AF439" s="123"/>
      <c r="AG439" s="123"/>
      <c r="AH439" s="123"/>
      <c r="AI439" s="123"/>
      <c r="AJ439" s="123"/>
      <c r="AK439" s="123"/>
    </row>
    <row r="440" spans="1:37" ht="14.25" customHeight="1" x14ac:dyDescent="0.2">
      <c r="A440" s="123"/>
      <c r="C440" s="123"/>
      <c r="AB440" s="123"/>
      <c r="AC440" s="123"/>
      <c r="AD440" s="125"/>
      <c r="AE440" s="123"/>
      <c r="AF440" s="123"/>
      <c r="AG440" s="123"/>
      <c r="AH440" s="123"/>
      <c r="AI440" s="123"/>
      <c r="AJ440" s="123"/>
      <c r="AK440" s="123"/>
    </row>
    <row r="441" spans="1:37" ht="14.25" customHeight="1" x14ac:dyDescent="0.2">
      <c r="A441" s="123"/>
      <c r="C441" s="123"/>
      <c r="AB441" s="123"/>
      <c r="AC441" s="123"/>
      <c r="AD441" s="125"/>
      <c r="AE441" s="123"/>
      <c r="AF441" s="123"/>
      <c r="AG441" s="123"/>
      <c r="AH441" s="123"/>
      <c r="AI441" s="123"/>
      <c r="AJ441" s="123"/>
      <c r="AK441" s="123"/>
    </row>
    <row r="442" spans="1:37" ht="14.25" customHeight="1" x14ac:dyDescent="0.2">
      <c r="A442" s="123"/>
      <c r="C442" s="123"/>
      <c r="AB442" s="123"/>
      <c r="AC442" s="123"/>
      <c r="AD442" s="125"/>
      <c r="AE442" s="123"/>
      <c r="AF442" s="123"/>
      <c r="AG442" s="123"/>
      <c r="AH442" s="123"/>
      <c r="AI442" s="123"/>
      <c r="AJ442" s="123"/>
      <c r="AK442" s="123"/>
    </row>
    <row r="443" spans="1:37" ht="14.25" customHeight="1" x14ac:dyDescent="0.2">
      <c r="A443" s="123"/>
      <c r="C443" s="123"/>
      <c r="AB443" s="123"/>
      <c r="AC443" s="123"/>
      <c r="AD443" s="125"/>
      <c r="AE443" s="123"/>
      <c r="AF443" s="123"/>
      <c r="AG443" s="123"/>
      <c r="AH443" s="123"/>
      <c r="AI443" s="123"/>
      <c r="AJ443" s="123"/>
      <c r="AK443" s="123"/>
    </row>
    <row r="444" spans="1:37" ht="14.25" customHeight="1" x14ac:dyDescent="0.2">
      <c r="A444" s="123"/>
      <c r="C444" s="123"/>
      <c r="AB444" s="123"/>
      <c r="AC444" s="123"/>
      <c r="AD444" s="125"/>
      <c r="AE444" s="123"/>
      <c r="AF444" s="123"/>
      <c r="AG444" s="123"/>
      <c r="AH444" s="123"/>
      <c r="AI444" s="123"/>
      <c r="AJ444" s="123"/>
      <c r="AK444" s="123"/>
    </row>
    <row r="445" spans="1:37" ht="14.25" customHeight="1" x14ac:dyDescent="0.2">
      <c r="A445" s="123"/>
      <c r="C445" s="123"/>
      <c r="AB445" s="123"/>
      <c r="AC445" s="123"/>
      <c r="AD445" s="125"/>
      <c r="AE445" s="123"/>
      <c r="AF445" s="123"/>
      <c r="AG445" s="123"/>
      <c r="AH445" s="123"/>
      <c r="AI445" s="123"/>
      <c r="AJ445" s="123"/>
      <c r="AK445" s="123"/>
    </row>
    <row r="446" spans="1:37" ht="14.25" customHeight="1" x14ac:dyDescent="0.2">
      <c r="A446" s="123"/>
      <c r="C446" s="123"/>
      <c r="AB446" s="123"/>
      <c r="AC446" s="123"/>
      <c r="AD446" s="125"/>
      <c r="AE446" s="123"/>
      <c r="AF446" s="123"/>
      <c r="AG446" s="123"/>
      <c r="AH446" s="123"/>
      <c r="AI446" s="123"/>
      <c r="AJ446" s="123"/>
      <c r="AK446" s="123"/>
    </row>
    <row r="447" spans="1:37" ht="14.25" customHeight="1" x14ac:dyDescent="0.2">
      <c r="A447" s="123"/>
      <c r="C447" s="123"/>
      <c r="AB447" s="123"/>
      <c r="AC447" s="123"/>
      <c r="AD447" s="125"/>
      <c r="AE447" s="123"/>
      <c r="AF447" s="123"/>
      <c r="AG447" s="123"/>
      <c r="AH447" s="123"/>
      <c r="AI447" s="123"/>
      <c r="AJ447" s="123"/>
      <c r="AK447" s="123"/>
    </row>
    <row r="448" spans="1:37" ht="14.25" customHeight="1" x14ac:dyDescent="0.2">
      <c r="A448" s="123"/>
      <c r="C448" s="123"/>
      <c r="AB448" s="123"/>
      <c r="AC448" s="123"/>
      <c r="AD448" s="125"/>
      <c r="AE448" s="123"/>
      <c r="AF448" s="123"/>
      <c r="AG448" s="123"/>
      <c r="AH448" s="123"/>
      <c r="AI448" s="123"/>
      <c r="AJ448" s="123"/>
      <c r="AK448" s="123"/>
    </row>
    <row r="449" spans="1:37" ht="14.25" customHeight="1" x14ac:dyDescent="0.2">
      <c r="A449" s="123"/>
      <c r="C449" s="123"/>
      <c r="AB449" s="123"/>
      <c r="AC449" s="123"/>
      <c r="AD449" s="125"/>
      <c r="AE449" s="123"/>
      <c r="AF449" s="123"/>
      <c r="AG449" s="123"/>
      <c r="AH449" s="123"/>
      <c r="AI449" s="123"/>
      <c r="AJ449" s="123"/>
      <c r="AK449" s="123"/>
    </row>
    <row r="450" spans="1:37" ht="14.25" customHeight="1" x14ac:dyDescent="0.2">
      <c r="A450" s="123"/>
      <c r="C450" s="123"/>
      <c r="AB450" s="123"/>
      <c r="AC450" s="123"/>
      <c r="AD450" s="125"/>
      <c r="AE450" s="123"/>
      <c r="AF450" s="123"/>
      <c r="AG450" s="123"/>
      <c r="AH450" s="123"/>
      <c r="AI450" s="123"/>
      <c r="AJ450" s="123"/>
      <c r="AK450" s="123"/>
    </row>
    <row r="451" spans="1:37" ht="14.25" customHeight="1" x14ac:dyDescent="0.2">
      <c r="A451" s="123"/>
      <c r="C451" s="123"/>
      <c r="AB451" s="123"/>
      <c r="AC451" s="123"/>
      <c r="AD451" s="125"/>
      <c r="AE451" s="123"/>
      <c r="AF451" s="123"/>
      <c r="AG451" s="123"/>
      <c r="AH451" s="123"/>
      <c r="AI451" s="123"/>
      <c r="AJ451" s="123"/>
      <c r="AK451" s="123"/>
    </row>
    <row r="452" spans="1:37" ht="14.25" customHeight="1" x14ac:dyDescent="0.2">
      <c r="A452" s="123"/>
      <c r="C452" s="123"/>
      <c r="AB452" s="123"/>
      <c r="AC452" s="123"/>
      <c r="AD452" s="125"/>
      <c r="AE452" s="123"/>
      <c r="AF452" s="123"/>
      <c r="AG452" s="123"/>
      <c r="AH452" s="123"/>
      <c r="AI452" s="123"/>
      <c r="AJ452" s="123"/>
      <c r="AK452" s="123"/>
    </row>
    <row r="453" spans="1:37" ht="14.25" customHeight="1" x14ac:dyDescent="0.2">
      <c r="A453" s="123"/>
      <c r="C453" s="123"/>
      <c r="AB453" s="123"/>
      <c r="AC453" s="123"/>
      <c r="AD453" s="125"/>
      <c r="AE453" s="123"/>
      <c r="AF453" s="123"/>
      <c r="AG453" s="123"/>
      <c r="AH453" s="123"/>
      <c r="AI453" s="123"/>
      <c r="AJ453" s="123"/>
      <c r="AK453" s="123"/>
    </row>
    <row r="454" spans="1:37" ht="14.25" customHeight="1" x14ac:dyDescent="0.2">
      <c r="A454" s="123"/>
      <c r="C454" s="123"/>
      <c r="AB454" s="123"/>
      <c r="AC454" s="123"/>
      <c r="AD454" s="125"/>
      <c r="AE454" s="123"/>
      <c r="AF454" s="123"/>
      <c r="AG454" s="123"/>
      <c r="AH454" s="123"/>
      <c r="AI454" s="123"/>
      <c r="AJ454" s="123"/>
      <c r="AK454" s="123"/>
    </row>
    <row r="455" spans="1:37" ht="14.25" customHeight="1" x14ac:dyDescent="0.2">
      <c r="A455" s="123"/>
      <c r="C455" s="123"/>
      <c r="AB455" s="123"/>
      <c r="AC455" s="123"/>
      <c r="AD455" s="125"/>
      <c r="AE455" s="123"/>
      <c r="AF455" s="123"/>
      <c r="AG455" s="123"/>
      <c r="AH455" s="123"/>
      <c r="AI455" s="123"/>
      <c r="AJ455" s="123"/>
      <c r="AK455" s="123"/>
    </row>
    <row r="456" spans="1:37" ht="14.25" customHeight="1" x14ac:dyDescent="0.2">
      <c r="A456" s="123"/>
      <c r="C456" s="123"/>
      <c r="AB456" s="123"/>
      <c r="AC456" s="123"/>
      <c r="AD456" s="125"/>
      <c r="AE456" s="123"/>
      <c r="AF456" s="123"/>
      <c r="AG456" s="123"/>
      <c r="AH456" s="123"/>
      <c r="AI456" s="123"/>
      <c r="AJ456" s="123"/>
      <c r="AK456" s="123"/>
    </row>
    <row r="457" spans="1:37" ht="14.25" customHeight="1" x14ac:dyDescent="0.2">
      <c r="A457" s="123"/>
      <c r="C457" s="123"/>
      <c r="AB457" s="123"/>
      <c r="AC457" s="123"/>
      <c r="AD457" s="125"/>
      <c r="AE457" s="123"/>
      <c r="AF457" s="123"/>
      <c r="AG457" s="123"/>
      <c r="AH457" s="123"/>
      <c r="AI457" s="123"/>
      <c r="AJ457" s="123"/>
      <c r="AK457" s="123"/>
    </row>
    <row r="458" spans="1:37" ht="14.25" customHeight="1" x14ac:dyDescent="0.2">
      <c r="A458" s="123"/>
      <c r="C458" s="123"/>
      <c r="AB458" s="123"/>
      <c r="AC458" s="123"/>
      <c r="AD458" s="125"/>
      <c r="AE458" s="123"/>
      <c r="AF458" s="123"/>
      <c r="AG458" s="123"/>
      <c r="AH458" s="123"/>
      <c r="AI458" s="123"/>
      <c r="AJ458" s="123"/>
      <c r="AK458" s="123"/>
    </row>
    <row r="459" spans="1:37" ht="14.25" customHeight="1" x14ac:dyDescent="0.2">
      <c r="A459" s="123"/>
      <c r="C459" s="123"/>
      <c r="AB459" s="123"/>
      <c r="AC459" s="123"/>
      <c r="AD459" s="125"/>
      <c r="AE459" s="123"/>
      <c r="AF459" s="123"/>
      <c r="AG459" s="123"/>
      <c r="AH459" s="123"/>
      <c r="AI459" s="123"/>
      <c r="AJ459" s="123"/>
      <c r="AK459" s="123"/>
    </row>
    <row r="460" spans="1:37" ht="14.25" customHeight="1" x14ac:dyDescent="0.2">
      <c r="A460" s="123"/>
      <c r="C460" s="123"/>
      <c r="AB460" s="123"/>
      <c r="AC460" s="123"/>
      <c r="AD460" s="125"/>
      <c r="AE460" s="123"/>
      <c r="AF460" s="123"/>
      <c r="AG460" s="123"/>
      <c r="AH460" s="123"/>
      <c r="AI460" s="123"/>
      <c r="AJ460" s="123"/>
      <c r="AK460" s="123"/>
    </row>
    <row r="461" spans="1:37" ht="14.25" customHeight="1" x14ac:dyDescent="0.2">
      <c r="A461" s="123"/>
      <c r="C461" s="123"/>
      <c r="AB461" s="123"/>
      <c r="AC461" s="123"/>
      <c r="AD461" s="125"/>
      <c r="AE461" s="123"/>
      <c r="AF461" s="123"/>
      <c r="AG461" s="123"/>
      <c r="AH461" s="123"/>
      <c r="AI461" s="123"/>
      <c r="AJ461" s="123"/>
      <c r="AK461" s="123"/>
    </row>
    <row r="462" spans="1:37" ht="14.25" customHeight="1" x14ac:dyDescent="0.2">
      <c r="A462" s="123"/>
      <c r="C462" s="123"/>
      <c r="AB462" s="123"/>
      <c r="AC462" s="123"/>
      <c r="AD462" s="125"/>
      <c r="AE462" s="123"/>
      <c r="AF462" s="123"/>
      <c r="AG462" s="123"/>
      <c r="AH462" s="123"/>
      <c r="AI462" s="123"/>
      <c r="AJ462" s="123"/>
      <c r="AK462" s="123"/>
    </row>
    <row r="463" spans="1:37" ht="14.25" customHeight="1" x14ac:dyDescent="0.2">
      <c r="A463" s="123"/>
      <c r="C463" s="123"/>
      <c r="AB463" s="123"/>
      <c r="AC463" s="123"/>
      <c r="AD463" s="125"/>
      <c r="AE463" s="123"/>
      <c r="AF463" s="123"/>
      <c r="AG463" s="123"/>
      <c r="AH463" s="123"/>
      <c r="AI463" s="123"/>
      <c r="AJ463" s="123"/>
      <c r="AK463" s="123"/>
    </row>
    <row r="464" spans="1:37" ht="14.25" customHeight="1" x14ac:dyDescent="0.2">
      <c r="A464" s="123"/>
      <c r="C464" s="123"/>
      <c r="AB464" s="123"/>
      <c r="AC464" s="123"/>
      <c r="AD464" s="125"/>
      <c r="AE464" s="123"/>
      <c r="AF464" s="123"/>
      <c r="AG464" s="123"/>
      <c r="AH464" s="123"/>
      <c r="AI464" s="123"/>
      <c r="AJ464" s="123"/>
      <c r="AK464" s="123"/>
    </row>
    <row r="465" spans="1:37" ht="14.25" customHeight="1" x14ac:dyDescent="0.2">
      <c r="A465" s="123"/>
      <c r="C465" s="123"/>
      <c r="AB465" s="123"/>
      <c r="AC465" s="123"/>
      <c r="AD465" s="125"/>
      <c r="AE465" s="123"/>
      <c r="AF465" s="123"/>
      <c r="AG465" s="123"/>
      <c r="AH465" s="123"/>
      <c r="AI465" s="123"/>
      <c r="AJ465" s="123"/>
      <c r="AK465" s="123"/>
    </row>
    <row r="466" spans="1:37" ht="14.25" customHeight="1" x14ac:dyDescent="0.2">
      <c r="A466" s="123"/>
      <c r="C466" s="123"/>
      <c r="AB466" s="123"/>
      <c r="AC466" s="123"/>
      <c r="AD466" s="125"/>
      <c r="AE466" s="123"/>
      <c r="AF466" s="123"/>
      <c r="AG466" s="123"/>
      <c r="AH466" s="123"/>
      <c r="AI466" s="123"/>
      <c r="AJ466" s="123"/>
      <c r="AK466" s="123"/>
    </row>
    <row r="467" spans="1:37" ht="14.25" customHeight="1" x14ac:dyDescent="0.2">
      <c r="A467" s="123"/>
      <c r="C467" s="123"/>
      <c r="AB467" s="123"/>
      <c r="AC467" s="123"/>
      <c r="AD467" s="125"/>
      <c r="AE467" s="123"/>
      <c r="AF467" s="123"/>
      <c r="AG467" s="123"/>
      <c r="AH467" s="123"/>
      <c r="AI467" s="123"/>
      <c r="AJ467" s="123"/>
      <c r="AK467" s="123"/>
    </row>
    <row r="468" spans="1:37" ht="14.25" customHeight="1" x14ac:dyDescent="0.2">
      <c r="A468" s="123"/>
      <c r="C468" s="123"/>
      <c r="AB468" s="123"/>
      <c r="AC468" s="123"/>
      <c r="AD468" s="125"/>
      <c r="AE468" s="123"/>
      <c r="AF468" s="123"/>
      <c r="AG468" s="123"/>
      <c r="AH468" s="123"/>
      <c r="AI468" s="123"/>
      <c r="AJ468" s="123"/>
      <c r="AK468" s="123"/>
    </row>
    <row r="469" spans="1:37" ht="14.25" customHeight="1" x14ac:dyDescent="0.2">
      <c r="A469" s="123"/>
      <c r="C469" s="123"/>
      <c r="AB469" s="123"/>
      <c r="AC469" s="123"/>
      <c r="AD469" s="125"/>
      <c r="AE469" s="123"/>
      <c r="AF469" s="123"/>
      <c r="AG469" s="123"/>
      <c r="AH469" s="123"/>
      <c r="AI469" s="123"/>
      <c r="AJ469" s="123"/>
      <c r="AK469" s="123"/>
    </row>
    <row r="470" spans="1:37" ht="14.25" customHeight="1" x14ac:dyDescent="0.2">
      <c r="A470" s="123"/>
      <c r="C470" s="123"/>
      <c r="AB470" s="123"/>
      <c r="AC470" s="123"/>
      <c r="AD470" s="125"/>
      <c r="AE470" s="123"/>
      <c r="AF470" s="123"/>
      <c r="AG470" s="123"/>
      <c r="AH470" s="123"/>
      <c r="AI470" s="123"/>
      <c r="AJ470" s="123"/>
      <c r="AK470" s="123"/>
    </row>
    <row r="471" spans="1:37" ht="14.25" customHeight="1" x14ac:dyDescent="0.2">
      <c r="A471" s="123"/>
      <c r="C471" s="123"/>
      <c r="AB471" s="123"/>
      <c r="AC471" s="123"/>
      <c r="AD471" s="125"/>
      <c r="AE471" s="123"/>
      <c r="AF471" s="123"/>
      <c r="AG471" s="123"/>
      <c r="AH471" s="123"/>
      <c r="AI471" s="123"/>
      <c r="AJ471" s="123"/>
      <c r="AK471" s="123"/>
    </row>
    <row r="472" spans="1:37" ht="14.25" customHeight="1" x14ac:dyDescent="0.2">
      <c r="A472" s="123"/>
      <c r="C472" s="123"/>
      <c r="AB472" s="123"/>
      <c r="AC472" s="123"/>
      <c r="AD472" s="125"/>
      <c r="AE472" s="123"/>
      <c r="AF472" s="123"/>
      <c r="AG472" s="123"/>
      <c r="AH472" s="123"/>
      <c r="AI472" s="123"/>
      <c r="AJ472" s="123"/>
      <c r="AK472" s="123"/>
    </row>
    <row r="473" spans="1:37" ht="14.25" customHeight="1" x14ac:dyDescent="0.2">
      <c r="A473" s="123"/>
      <c r="C473" s="123"/>
      <c r="AB473" s="123"/>
      <c r="AC473" s="123"/>
      <c r="AD473" s="125"/>
      <c r="AE473" s="123"/>
      <c r="AF473" s="123"/>
      <c r="AG473" s="123"/>
      <c r="AH473" s="123"/>
      <c r="AI473" s="123"/>
      <c r="AJ473" s="123"/>
      <c r="AK473" s="123"/>
    </row>
    <row r="474" spans="1:37" ht="14.25" customHeight="1" x14ac:dyDescent="0.2">
      <c r="A474" s="123"/>
      <c r="C474" s="123"/>
      <c r="AB474" s="123"/>
      <c r="AC474" s="123"/>
      <c r="AD474" s="125"/>
      <c r="AE474" s="123"/>
      <c r="AF474" s="123"/>
      <c r="AG474" s="123"/>
      <c r="AH474" s="123"/>
      <c r="AI474" s="123"/>
      <c r="AJ474" s="123"/>
      <c r="AK474" s="123"/>
    </row>
    <row r="475" spans="1:37" ht="14.25" customHeight="1" x14ac:dyDescent="0.2">
      <c r="A475" s="123"/>
      <c r="C475" s="123"/>
      <c r="AB475" s="123"/>
      <c r="AC475" s="123"/>
      <c r="AD475" s="125"/>
      <c r="AE475" s="123"/>
      <c r="AF475" s="123"/>
      <c r="AG475" s="123"/>
      <c r="AH475" s="123"/>
      <c r="AI475" s="123"/>
      <c r="AJ475" s="123"/>
      <c r="AK475" s="123"/>
    </row>
    <row r="476" spans="1:37" ht="14.25" customHeight="1" x14ac:dyDescent="0.2">
      <c r="A476" s="123"/>
      <c r="C476" s="123"/>
      <c r="AB476" s="123"/>
      <c r="AC476" s="123"/>
      <c r="AD476" s="125"/>
      <c r="AE476" s="123"/>
      <c r="AF476" s="123"/>
      <c r="AG476" s="123"/>
      <c r="AH476" s="123"/>
      <c r="AI476" s="123"/>
      <c r="AJ476" s="123"/>
      <c r="AK476" s="123"/>
    </row>
    <row r="477" spans="1:37" ht="14.25" customHeight="1" x14ac:dyDescent="0.2">
      <c r="A477" s="123"/>
      <c r="C477" s="123"/>
      <c r="AB477" s="123"/>
      <c r="AC477" s="123"/>
      <c r="AD477" s="125"/>
      <c r="AE477" s="123"/>
      <c r="AF477" s="123"/>
      <c r="AG477" s="123"/>
      <c r="AH477" s="123"/>
      <c r="AI477" s="123"/>
      <c r="AJ477" s="123"/>
      <c r="AK477" s="123"/>
    </row>
    <row r="478" spans="1:37" ht="14.25" customHeight="1" x14ac:dyDescent="0.2">
      <c r="A478" s="123"/>
      <c r="C478" s="123"/>
      <c r="AB478" s="123"/>
      <c r="AC478" s="123"/>
      <c r="AD478" s="125"/>
      <c r="AE478" s="123"/>
      <c r="AF478" s="123"/>
      <c r="AG478" s="123"/>
      <c r="AH478" s="123"/>
      <c r="AI478" s="123"/>
      <c r="AJ478" s="123"/>
      <c r="AK478" s="123"/>
    </row>
    <row r="479" spans="1:37" ht="14.25" customHeight="1" x14ac:dyDescent="0.2">
      <c r="A479" s="123"/>
      <c r="C479" s="123"/>
      <c r="AB479" s="123"/>
      <c r="AC479" s="123"/>
      <c r="AD479" s="125"/>
      <c r="AE479" s="123"/>
      <c r="AF479" s="123"/>
      <c r="AG479" s="123"/>
      <c r="AH479" s="123"/>
      <c r="AI479" s="123"/>
      <c r="AJ479" s="123"/>
      <c r="AK479" s="123"/>
    </row>
    <row r="480" spans="1:37" ht="14.25" customHeight="1" x14ac:dyDescent="0.2">
      <c r="A480" s="123"/>
      <c r="C480" s="123"/>
      <c r="AB480" s="123"/>
      <c r="AC480" s="123"/>
      <c r="AD480" s="125"/>
      <c r="AE480" s="123"/>
      <c r="AF480" s="123"/>
      <c r="AG480" s="123"/>
      <c r="AH480" s="123"/>
      <c r="AI480" s="123"/>
      <c r="AJ480" s="123"/>
      <c r="AK480" s="123"/>
    </row>
    <row r="481" spans="1:37" ht="14.25" customHeight="1" x14ac:dyDescent="0.2">
      <c r="A481" s="123"/>
      <c r="C481" s="123"/>
      <c r="AB481" s="123"/>
      <c r="AC481" s="123"/>
      <c r="AD481" s="125"/>
      <c r="AE481" s="123"/>
      <c r="AF481" s="123"/>
      <c r="AG481" s="123"/>
      <c r="AH481" s="123"/>
      <c r="AI481" s="123"/>
      <c r="AJ481" s="123"/>
      <c r="AK481" s="123"/>
    </row>
    <row r="482" spans="1:37" ht="14.25" customHeight="1" x14ac:dyDescent="0.2">
      <c r="A482" s="123"/>
      <c r="C482" s="123"/>
      <c r="AB482" s="123"/>
      <c r="AC482" s="123"/>
      <c r="AD482" s="125"/>
      <c r="AE482" s="123"/>
      <c r="AF482" s="123"/>
      <c r="AG482" s="123"/>
      <c r="AH482" s="123"/>
      <c r="AI482" s="123"/>
      <c r="AJ482" s="123"/>
      <c r="AK482" s="123"/>
    </row>
    <row r="483" spans="1:37" ht="14.25" customHeight="1" x14ac:dyDescent="0.2">
      <c r="A483" s="123"/>
      <c r="C483" s="123"/>
      <c r="AB483" s="123"/>
      <c r="AC483" s="123"/>
      <c r="AD483" s="125"/>
      <c r="AE483" s="123"/>
      <c r="AF483" s="123"/>
      <c r="AG483" s="123"/>
      <c r="AH483" s="123"/>
      <c r="AI483" s="123"/>
      <c r="AJ483" s="123"/>
      <c r="AK483" s="123"/>
    </row>
    <row r="484" spans="1:37" ht="14.25" customHeight="1" x14ac:dyDescent="0.2">
      <c r="A484" s="123"/>
      <c r="C484" s="123"/>
      <c r="AB484" s="123"/>
      <c r="AC484" s="123"/>
      <c r="AD484" s="125"/>
      <c r="AE484" s="123"/>
      <c r="AF484" s="123"/>
      <c r="AG484" s="123"/>
      <c r="AH484" s="123"/>
      <c r="AI484" s="123"/>
      <c r="AJ484" s="123"/>
      <c r="AK484" s="123"/>
    </row>
    <row r="485" spans="1:37" ht="14.25" customHeight="1" x14ac:dyDescent="0.2">
      <c r="A485" s="123"/>
      <c r="C485" s="123"/>
      <c r="AB485" s="123"/>
      <c r="AC485" s="123"/>
      <c r="AD485" s="125"/>
      <c r="AE485" s="123"/>
      <c r="AF485" s="123"/>
      <c r="AG485" s="123"/>
      <c r="AH485" s="123"/>
      <c r="AI485" s="123"/>
      <c r="AJ485" s="123"/>
      <c r="AK485" s="123"/>
    </row>
    <row r="486" spans="1:37" ht="14.25" customHeight="1" x14ac:dyDescent="0.2">
      <c r="A486" s="123"/>
      <c r="C486" s="123"/>
      <c r="AB486" s="123"/>
      <c r="AC486" s="123"/>
      <c r="AD486" s="125"/>
      <c r="AE486" s="123"/>
      <c r="AF486" s="123"/>
      <c r="AG486" s="123"/>
      <c r="AH486" s="123"/>
      <c r="AI486" s="123"/>
      <c r="AJ486" s="123"/>
      <c r="AK486" s="123"/>
    </row>
    <row r="487" spans="1:37" ht="14.25" customHeight="1" x14ac:dyDescent="0.2">
      <c r="A487" s="123"/>
      <c r="C487" s="123"/>
      <c r="AB487" s="123"/>
      <c r="AC487" s="123"/>
      <c r="AD487" s="125"/>
      <c r="AE487" s="123"/>
      <c r="AF487" s="123"/>
      <c r="AG487" s="123"/>
      <c r="AH487" s="123"/>
      <c r="AI487" s="123"/>
      <c r="AJ487" s="123"/>
      <c r="AK487" s="123"/>
    </row>
    <row r="488" spans="1:37" ht="14.25" customHeight="1" x14ac:dyDescent="0.2">
      <c r="A488" s="123"/>
      <c r="C488" s="123"/>
      <c r="AB488" s="123"/>
      <c r="AC488" s="123"/>
      <c r="AD488" s="125"/>
      <c r="AE488" s="123"/>
      <c r="AF488" s="123"/>
      <c r="AG488" s="123"/>
      <c r="AH488" s="123"/>
      <c r="AI488" s="123"/>
      <c r="AJ488" s="123"/>
      <c r="AK488" s="123"/>
    </row>
    <row r="489" spans="1:37" ht="14.25" customHeight="1" x14ac:dyDescent="0.2">
      <c r="A489" s="123"/>
      <c r="C489" s="123"/>
      <c r="AB489" s="123"/>
      <c r="AC489" s="123"/>
      <c r="AD489" s="125"/>
      <c r="AE489" s="123"/>
      <c r="AF489" s="123"/>
      <c r="AG489" s="123"/>
      <c r="AH489" s="123"/>
      <c r="AI489" s="123"/>
      <c r="AJ489" s="123"/>
      <c r="AK489" s="123"/>
    </row>
    <row r="490" spans="1:37" ht="14.25" customHeight="1" x14ac:dyDescent="0.2">
      <c r="A490" s="123"/>
      <c r="C490" s="123"/>
      <c r="AB490" s="123"/>
      <c r="AC490" s="123"/>
      <c r="AD490" s="125"/>
      <c r="AE490" s="123"/>
      <c r="AF490" s="123"/>
      <c r="AG490" s="123"/>
      <c r="AH490" s="123"/>
      <c r="AI490" s="123"/>
      <c r="AJ490" s="123"/>
      <c r="AK490" s="123"/>
    </row>
    <row r="491" spans="1:37" ht="14.25" customHeight="1" x14ac:dyDescent="0.2">
      <c r="A491" s="123"/>
      <c r="C491" s="123"/>
      <c r="AB491" s="123"/>
      <c r="AC491" s="123"/>
      <c r="AD491" s="125"/>
      <c r="AE491" s="123"/>
      <c r="AF491" s="123"/>
      <c r="AG491" s="123"/>
      <c r="AH491" s="123"/>
      <c r="AI491" s="123"/>
      <c r="AJ491" s="123"/>
      <c r="AK491" s="123"/>
    </row>
    <row r="492" spans="1:37" ht="14.25" customHeight="1" x14ac:dyDescent="0.2">
      <c r="A492" s="123"/>
      <c r="C492" s="123"/>
      <c r="AB492" s="123"/>
      <c r="AC492" s="123"/>
      <c r="AD492" s="125"/>
      <c r="AE492" s="123"/>
      <c r="AF492" s="123"/>
      <c r="AG492" s="123"/>
      <c r="AH492" s="123"/>
      <c r="AI492" s="123"/>
      <c r="AJ492" s="123"/>
      <c r="AK492" s="123"/>
    </row>
    <row r="493" spans="1:37" ht="14.25" customHeight="1" x14ac:dyDescent="0.2">
      <c r="A493" s="123"/>
      <c r="C493" s="123"/>
      <c r="AB493" s="123"/>
      <c r="AC493" s="123"/>
      <c r="AD493" s="125"/>
      <c r="AE493" s="123"/>
      <c r="AF493" s="123"/>
      <c r="AG493" s="123"/>
      <c r="AH493" s="123"/>
      <c r="AI493" s="123"/>
      <c r="AJ493" s="123"/>
      <c r="AK493" s="123"/>
    </row>
    <row r="494" spans="1:37" ht="14.25" customHeight="1" x14ac:dyDescent="0.2">
      <c r="A494" s="123"/>
      <c r="C494" s="123"/>
      <c r="AB494" s="123"/>
      <c r="AC494" s="123"/>
      <c r="AD494" s="125"/>
      <c r="AE494" s="123"/>
      <c r="AF494" s="123"/>
      <c r="AG494" s="123"/>
      <c r="AH494" s="123"/>
      <c r="AI494" s="123"/>
      <c r="AJ494" s="123"/>
      <c r="AK494" s="123"/>
    </row>
    <row r="495" spans="1:37" ht="14.25" customHeight="1" x14ac:dyDescent="0.2">
      <c r="A495" s="123"/>
      <c r="C495" s="123"/>
      <c r="AB495" s="123"/>
      <c r="AC495" s="123"/>
      <c r="AD495" s="125"/>
      <c r="AE495" s="123"/>
      <c r="AF495" s="123"/>
      <c r="AG495" s="123"/>
      <c r="AH495" s="123"/>
      <c r="AI495" s="123"/>
      <c r="AJ495" s="123"/>
      <c r="AK495" s="123"/>
    </row>
    <row r="496" spans="1:37" ht="14.25" customHeight="1" x14ac:dyDescent="0.2">
      <c r="A496" s="123"/>
      <c r="C496" s="123"/>
      <c r="AB496" s="123"/>
      <c r="AC496" s="123"/>
      <c r="AD496" s="125"/>
      <c r="AE496" s="123"/>
      <c r="AF496" s="123"/>
      <c r="AG496" s="123"/>
      <c r="AH496" s="123"/>
      <c r="AI496" s="123"/>
      <c r="AJ496" s="123"/>
      <c r="AK496" s="123"/>
    </row>
    <row r="497" spans="1:37" ht="14.25" customHeight="1" x14ac:dyDescent="0.2">
      <c r="A497" s="123"/>
      <c r="C497" s="123"/>
      <c r="AB497" s="123"/>
      <c r="AC497" s="123"/>
      <c r="AD497" s="125"/>
      <c r="AE497" s="123"/>
      <c r="AF497" s="123"/>
      <c r="AG497" s="123"/>
      <c r="AH497" s="123"/>
      <c r="AI497" s="123"/>
      <c r="AJ497" s="123"/>
      <c r="AK497" s="123"/>
    </row>
    <row r="498" spans="1:37" ht="14.25" customHeight="1" x14ac:dyDescent="0.2">
      <c r="A498" s="123"/>
      <c r="C498" s="123"/>
      <c r="AB498" s="123"/>
      <c r="AC498" s="123"/>
      <c r="AD498" s="125"/>
      <c r="AE498" s="123"/>
      <c r="AF498" s="123"/>
      <c r="AG498" s="123"/>
      <c r="AH498" s="123"/>
      <c r="AI498" s="123"/>
      <c r="AJ498" s="123"/>
      <c r="AK498" s="123"/>
    </row>
    <row r="499" spans="1:37" ht="14.25" customHeight="1" x14ac:dyDescent="0.2">
      <c r="A499" s="123"/>
      <c r="C499" s="123"/>
      <c r="AB499" s="123"/>
      <c r="AC499" s="123"/>
      <c r="AD499" s="125"/>
      <c r="AE499" s="123"/>
      <c r="AF499" s="123"/>
      <c r="AG499" s="123"/>
      <c r="AH499" s="123"/>
      <c r="AI499" s="123"/>
      <c r="AJ499" s="123"/>
      <c r="AK499" s="123"/>
    </row>
    <row r="500" spans="1:37" ht="14.25" customHeight="1" x14ac:dyDescent="0.2">
      <c r="A500" s="123"/>
      <c r="C500" s="123"/>
      <c r="AB500" s="123"/>
      <c r="AC500" s="123"/>
      <c r="AD500" s="125"/>
      <c r="AE500" s="123"/>
      <c r="AF500" s="123"/>
      <c r="AG500" s="123"/>
      <c r="AH500" s="123"/>
      <c r="AI500" s="123"/>
      <c r="AJ500" s="123"/>
      <c r="AK500" s="123"/>
    </row>
    <row r="501" spans="1:37" ht="14.25" customHeight="1" x14ac:dyDescent="0.2">
      <c r="A501" s="123"/>
      <c r="C501" s="123"/>
      <c r="AB501" s="123"/>
      <c r="AC501" s="123"/>
      <c r="AD501" s="125"/>
      <c r="AE501" s="123"/>
      <c r="AF501" s="123"/>
      <c r="AG501" s="123"/>
      <c r="AH501" s="123"/>
      <c r="AI501" s="123"/>
      <c r="AJ501" s="123"/>
      <c r="AK501" s="123"/>
    </row>
    <row r="502" spans="1:37" ht="14.25" customHeight="1" x14ac:dyDescent="0.2">
      <c r="A502" s="123"/>
      <c r="C502" s="123"/>
      <c r="AB502" s="123"/>
      <c r="AC502" s="123"/>
      <c r="AD502" s="125"/>
      <c r="AE502" s="123"/>
      <c r="AF502" s="123"/>
      <c r="AG502" s="123"/>
      <c r="AH502" s="123"/>
      <c r="AI502" s="123"/>
      <c r="AJ502" s="123"/>
      <c r="AK502" s="123"/>
    </row>
    <row r="503" spans="1:37" ht="14.25" customHeight="1" x14ac:dyDescent="0.2">
      <c r="A503" s="123"/>
      <c r="C503" s="123"/>
      <c r="AB503" s="123"/>
      <c r="AC503" s="123"/>
      <c r="AD503" s="125"/>
      <c r="AE503" s="123"/>
      <c r="AF503" s="123"/>
      <c r="AG503" s="123"/>
      <c r="AH503" s="123"/>
      <c r="AI503" s="123"/>
      <c r="AJ503" s="123"/>
      <c r="AK503" s="123"/>
    </row>
    <row r="504" spans="1:37" ht="14.25" customHeight="1" x14ac:dyDescent="0.2">
      <c r="A504" s="123"/>
      <c r="C504" s="123"/>
      <c r="AB504" s="123"/>
      <c r="AC504" s="123"/>
      <c r="AD504" s="125"/>
      <c r="AE504" s="123"/>
      <c r="AF504" s="123"/>
      <c r="AG504" s="123"/>
      <c r="AH504" s="123"/>
      <c r="AI504" s="123"/>
      <c r="AJ504" s="123"/>
      <c r="AK504" s="123"/>
    </row>
    <row r="505" spans="1:37" ht="14.25" customHeight="1" x14ac:dyDescent="0.2">
      <c r="A505" s="123"/>
      <c r="C505" s="123"/>
      <c r="AB505" s="123"/>
      <c r="AC505" s="123"/>
      <c r="AD505" s="125"/>
      <c r="AE505" s="123"/>
      <c r="AF505" s="123"/>
      <c r="AG505" s="123"/>
      <c r="AH505" s="123"/>
      <c r="AI505" s="123"/>
      <c r="AJ505" s="123"/>
      <c r="AK505" s="123"/>
    </row>
    <row r="506" spans="1:37" ht="14.25" customHeight="1" x14ac:dyDescent="0.2">
      <c r="A506" s="123"/>
      <c r="C506" s="123"/>
      <c r="AB506" s="123"/>
      <c r="AC506" s="123"/>
      <c r="AD506" s="125"/>
      <c r="AE506" s="123"/>
      <c r="AF506" s="123"/>
      <c r="AG506" s="123"/>
      <c r="AH506" s="123"/>
      <c r="AI506" s="123"/>
      <c r="AJ506" s="123"/>
      <c r="AK506" s="123"/>
    </row>
    <row r="507" spans="1:37" ht="14.25" customHeight="1" x14ac:dyDescent="0.2">
      <c r="A507" s="123"/>
      <c r="C507" s="123"/>
      <c r="AB507" s="123"/>
      <c r="AC507" s="123"/>
      <c r="AD507" s="125"/>
      <c r="AE507" s="123"/>
      <c r="AF507" s="123"/>
      <c r="AG507" s="123"/>
      <c r="AH507" s="123"/>
      <c r="AI507" s="123"/>
      <c r="AJ507" s="123"/>
      <c r="AK507" s="123"/>
    </row>
    <row r="508" spans="1:37" ht="14.25" customHeight="1" x14ac:dyDescent="0.2">
      <c r="A508" s="123"/>
      <c r="C508" s="123"/>
      <c r="AB508" s="123"/>
      <c r="AC508" s="123"/>
      <c r="AD508" s="125"/>
      <c r="AE508" s="123"/>
      <c r="AF508" s="123"/>
      <c r="AG508" s="123"/>
      <c r="AH508" s="123"/>
      <c r="AI508" s="123"/>
      <c r="AJ508" s="123"/>
      <c r="AK508" s="123"/>
    </row>
    <row r="509" spans="1:37" ht="14.25" customHeight="1" x14ac:dyDescent="0.2">
      <c r="A509" s="123"/>
      <c r="C509" s="123"/>
      <c r="AB509" s="123"/>
      <c r="AC509" s="123"/>
      <c r="AD509" s="125"/>
      <c r="AE509" s="123"/>
      <c r="AF509" s="123"/>
      <c r="AG509" s="123"/>
      <c r="AH509" s="123"/>
      <c r="AI509" s="123"/>
      <c r="AJ509" s="123"/>
      <c r="AK509" s="123"/>
    </row>
    <row r="510" spans="1:37" ht="14.25" customHeight="1" x14ac:dyDescent="0.2">
      <c r="A510" s="123"/>
      <c r="C510" s="123"/>
      <c r="AB510" s="123"/>
      <c r="AC510" s="123"/>
      <c r="AD510" s="125"/>
      <c r="AE510" s="123"/>
      <c r="AF510" s="123"/>
      <c r="AG510" s="123"/>
      <c r="AH510" s="123"/>
      <c r="AI510" s="123"/>
      <c r="AJ510" s="123"/>
      <c r="AK510" s="123"/>
    </row>
    <row r="511" spans="1:37" ht="14.25" customHeight="1" x14ac:dyDescent="0.2">
      <c r="A511" s="123"/>
      <c r="C511" s="123"/>
      <c r="AB511" s="123"/>
      <c r="AC511" s="123"/>
      <c r="AD511" s="125"/>
      <c r="AE511" s="123"/>
      <c r="AF511" s="123"/>
      <c r="AG511" s="123"/>
      <c r="AH511" s="123"/>
      <c r="AI511" s="123"/>
      <c r="AJ511" s="123"/>
      <c r="AK511" s="123"/>
    </row>
    <row r="512" spans="1:37" ht="14.25" customHeight="1" x14ac:dyDescent="0.2">
      <c r="A512" s="123"/>
      <c r="C512" s="123"/>
      <c r="AB512" s="123"/>
      <c r="AC512" s="123"/>
      <c r="AD512" s="125"/>
      <c r="AE512" s="123"/>
      <c r="AF512" s="123"/>
      <c r="AG512" s="123"/>
      <c r="AH512" s="123"/>
      <c r="AI512" s="123"/>
      <c r="AJ512" s="123"/>
      <c r="AK512" s="123"/>
    </row>
    <row r="513" spans="1:37" ht="14.25" customHeight="1" x14ac:dyDescent="0.2">
      <c r="A513" s="123"/>
      <c r="C513" s="123"/>
      <c r="AB513" s="123"/>
      <c r="AC513" s="123"/>
      <c r="AD513" s="125"/>
      <c r="AE513" s="123"/>
      <c r="AF513" s="123"/>
      <c r="AG513" s="123"/>
      <c r="AH513" s="123"/>
      <c r="AI513" s="123"/>
      <c r="AJ513" s="123"/>
      <c r="AK513" s="123"/>
    </row>
    <row r="514" spans="1:37" ht="14.25" customHeight="1" x14ac:dyDescent="0.2">
      <c r="A514" s="123"/>
      <c r="C514" s="123"/>
      <c r="AB514" s="123"/>
      <c r="AC514" s="123"/>
      <c r="AD514" s="125"/>
      <c r="AE514" s="123"/>
      <c r="AF514" s="123"/>
      <c r="AG514" s="123"/>
      <c r="AH514" s="123"/>
      <c r="AI514" s="123"/>
      <c r="AJ514" s="123"/>
      <c r="AK514" s="123"/>
    </row>
    <row r="515" spans="1:37" ht="14.25" customHeight="1" x14ac:dyDescent="0.2">
      <c r="A515" s="123"/>
      <c r="C515" s="123"/>
      <c r="AB515" s="123"/>
      <c r="AC515" s="123"/>
      <c r="AD515" s="125"/>
      <c r="AE515" s="123"/>
      <c r="AF515" s="123"/>
      <c r="AG515" s="123"/>
      <c r="AH515" s="123"/>
      <c r="AI515" s="123"/>
      <c r="AJ515" s="123"/>
      <c r="AK515" s="123"/>
    </row>
    <row r="516" spans="1:37" ht="14.25" customHeight="1" x14ac:dyDescent="0.2">
      <c r="A516" s="123"/>
      <c r="C516" s="123"/>
      <c r="AB516" s="123"/>
      <c r="AC516" s="123"/>
      <c r="AD516" s="125"/>
      <c r="AE516" s="123"/>
      <c r="AF516" s="123"/>
      <c r="AG516" s="123"/>
      <c r="AH516" s="123"/>
      <c r="AI516" s="123"/>
      <c r="AJ516" s="123"/>
      <c r="AK516" s="123"/>
    </row>
    <row r="517" spans="1:37" ht="14.25" customHeight="1" x14ac:dyDescent="0.2">
      <c r="A517" s="123"/>
      <c r="C517" s="123"/>
      <c r="AB517" s="123"/>
      <c r="AC517" s="123"/>
      <c r="AD517" s="125"/>
      <c r="AE517" s="123"/>
      <c r="AF517" s="123"/>
      <c r="AG517" s="123"/>
      <c r="AH517" s="123"/>
      <c r="AI517" s="123"/>
      <c r="AJ517" s="123"/>
      <c r="AK517" s="123"/>
    </row>
    <row r="518" spans="1:37" ht="14.25" customHeight="1" x14ac:dyDescent="0.2">
      <c r="A518" s="123"/>
      <c r="C518" s="123"/>
      <c r="AB518" s="123"/>
      <c r="AC518" s="123"/>
      <c r="AD518" s="125"/>
      <c r="AE518" s="123"/>
      <c r="AF518" s="123"/>
      <c r="AG518" s="123"/>
      <c r="AH518" s="123"/>
      <c r="AI518" s="123"/>
      <c r="AJ518" s="123"/>
      <c r="AK518" s="123"/>
    </row>
    <row r="519" spans="1:37" ht="14.25" customHeight="1" x14ac:dyDescent="0.2">
      <c r="A519" s="123"/>
      <c r="C519" s="123"/>
      <c r="AB519" s="123"/>
      <c r="AC519" s="123"/>
      <c r="AD519" s="125"/>
      <c r="AE519" s="123"/>
      <c r="AF519" s="123"/>
      <c r="AG519" s="123"/>
      <c r="AH519" s="123"/>
      <c r="AI519" s="123"/>
      <c r="AJ519" s="123"/>
      <c r="AK519" s="123"/>
    </row>
    <row r="520" spans="1:37" ht="14.25" customHeight="1" x14ac:dyDescent="0.2">
      <c r="A520" s="123"/>
      <c r="C520" s="123"/>
      <c r="AB520" s="123"/>
      <c r="AC520" s="123"/>
      <c r="AD520" s="125"/>
      <c r="AE520" s="123"/>
      <c r="AF520" s="123"/>
      <c r="AG520" s="123"/>
      <c r="AH520" s="123"/>
      <c r="AI520" s="123"/>
      <c r="AJ520" s="123"/>
      <c r="AK520" s="123"/>
    </row>
    <row r="521" spans="1:37" ht="14.25" customHeight="1" x14ac:dyDescent="0.2">
      <c r="A521" s="123"/>
      <c r="C521" s="123"/>
      <c r="AB521" s="123"/>
      <c r="AC521" s="123"/>
      <c r="AD521" s="125"/>
      <c r="AE521" s="123"/>
      <c r="AF521" s="123"/>
      <c r="AG521" s="123"/>
      <c r="AH521" s="123"/>
      <c r="AI521" s="123"/>
      <c r="AJ521" s="123"/>
      <c r="AK521" s="123"/>
    </row>
    <row r="522" spans="1:37" ht="14.25" customHeight="1" x14ac:dyDescent="0.2">
      <c r="A522" s="123"/>
      <c r="C522" s="123"/>
      <c r="AB522" s="123"/>
      <c r="AC522" s="123"/>
      <c r="AD522" s="125"/>
      <c r="AE522" s="123"/>
      <c r="AF522" s="123"/>
      <c r="AG522" s="123"/>
      <c r="AH522" s="123"/>
      <c r="AI522" s="123"/>
      <c r="AJ522" s="123"/>
      <c r="AK522" s="123"/>
    </row>
    <row r="523" spans="1:37" ht="14.25" customHeight="1" x14ac:dyDescent="0.2">
      <c r="A523" s="123"/>
      <c r="C523" s="123"/>
      <c r="AB523" s="123"/>
      <c r="AC523" s="123"/>
      <c r="AD523" s="125"/>
      <c r="AE523" s="123"/>
      <c r="AF523" s="123"/>
      <c r="AG523" s="123"/>
      <c r="AH523" s="123"/>
      <c r="AI523" s="123"/>
      <c r="AJ523" s="123"/>
      <c r="AK523" s="123"/>
    </row>
    <row r="524" spans="1:37" ht="14.25" customHeight="1" x14ac:dyDescent="0.2">
      <c r="A524" s="123"/>
      <c r="C524" s="123"/>
      <c r="AB524" s="123"/>
      <c r="AC524" s="123"/>
      <c r="AD524" s="125"/>
      <c r="AE524" s="123"/>
      <c r="AF524" s="123"/>
      <c r="AG524" s="123"/>
      <c r="AH524" s="123"/>
      <c r="AI524" s="123"/>
      <c r="AJ524" s="123"/>
      <c r="AK524" s="123"/>
    </row>
    <row r="525" spans="1:37" ht="14.25" customHeight="1" x14ac:dyDescent="0.2">
      <c r="A525" s="123"/>
      <c r="C525" s="123"/>
      <c r="AB525" s="123"/>
      <c r="AC525" s="123"/>
      <c r="AD525" s="125"/>
      <c r="AE525" s="123"/>
      <c r="AF525" s="123"/>
      <c r="AG525" s="123"/>
      <c r="AH525" s="123"/>
      <c r="AI525" s="123"/>
      <c r="AJ525" s="123"/>
      <c r="AK525" s="123"/>
    </row>
    <row r="526" spans="1:37" ht="14.25" customHeight="1" x14ac:dyDescent="0.2">
      <c r="A526" s="123"/>
      <c r="C526" s="123"/>
      <c r="AB526" s="123"/>
      <c r="AC526" s="123"/>
      <c r="AD526" s="125"/>
      <c r="AE526" s="123"/>
      <c r="AF526" s="123"/>
      <c r="AG526" s="123"/>
      <c r="AH526" s="123"/>
      <c r="AI526" s="123"/>
      <c r="AJ526" s="123"/>
      <c r="AK526" s="123"/>
    </row>
    <row r="527" spans="1:37" ht="14.25" customHeight="1" x14ac:dyDescent="0.2">
      <c r="A527" s="123"/>
      <c r="C527" s="123"/>
      <c r="AB527" s="123"/>
      <c r="AC527" s="123"/>
      <c r="AD527" s="125"/>
      <c r="AE527" s="123"/>
      <c r="AF527" s="123"/>
      <c r="AG527" s="123"/>
      <c r="AH527" s="123"/>
      <c r="AI527" s="123"/>
      <c r="AJ527" s="123"/>
      <c r="AK527" s="123"/>
    </row>
    <row r="528" spans="1:37" ht="14.25" customHeight="1" x14ac:dyDescent="0.2">
      <c r="A528" s="123"/>
      <c r="C528" s="123"/>
      <c r="AB528" s="123"/>
      <c r="AC528" s="123"/>
      <c r="AD528" s="125"/>
      <c r="AE528" s="123"/>
      <c r="AF528" s="123"/>
      <c r="AG528" s="123"/>
      <c r="AH528" s="123"/>
      <c r="AI528" s="123"/>
      <c r="AJ528" s="123"/>
      <c r="AK528" s="123"/>
    </row>
    <row r="529" spans="1:37" ht="14.25" customHeight="1" x14ac:dyDescent="0.2">
      <c r="A529" s="123"/>
      <c r="C529" s="123"/>
      <c r="AB529" s="123"/>
      <c r="AC529" s="123"/>
      <c r="AD529" s="125"/>
      <c r="AE529" s="123"/>
      <c r="AF529" s="123"/>
      <c r="AG529" s="123"/>
      <c r="AH529" s="123"/>
      <c r="AI529" s="123"/>
      <c r="AJ529" s="123"/>
      <c r="AK529" s="123"/>
    </row>
    <row r="530" spans="1:37" ht="14.25" customHeight="1" x14ac:dyDescent="0.2">
      <c r="A530" s="123"/>
      <c r="C530" s="123"/>
      <c r="AB530" s="123"/>
      <c r="AC530" s="123"/>
      <c r="AD530" s="125"/>
      <c r="AE530" s="123"/>
      <c r="AF530" s="123"/>
      <c r="AG530" s="123"/>
      <c r="AH530" s="123"/>
      <c r="AI530" s="123"/>
      <c r="AJ530" s="123"/>
      <c r="AK530" s="123"/>
    </row>
    <row r="531" spans="1:37" ht="14.25" customHeight="1" x14ac:dyDescent="0.2">
      <c r="A531" s="123"/>
      <c r="C531" s="123"/>
      <c r="AB531" s="123"/>
      <c r="AC531" s="123"/>
      <c r="AD531" s="125"/>
      <c r="AE531" s="123"/>
      <c r="AF531" s="123"/>
      <c r="AG531" s="123"/>
      <c r="AH531" s="123"/>
      <c r="AI531" s="123"/>
      <c r="AJ531" s="123"/>
      <c r="AK531" s="123"/>
    </row>
    <row r="532" spans="1:37" ht="14.25" customHeight="1" x14ac:dyDescent="0.2">
      <c r="A532" s="123"/>
      <c r="C532" s="123"/>
      <c r="AB532" s="123"/>
      <c r="AC532" s="123"/>
      <c r="AD532" s="125"/>
      <c r="AE532" s="123"/>
      <c r="AF532" s="123"/>
      <c r="AG532" s="123"/>
      <c r="AH532" s="123"/>
      <c r="AI532" s="123"/>
      <c r="AJ532" s="123"/>
      <c r="AK532" s="123"/>
    </row>
    <row r="533" spans="1:37" ht="14.25" customHeight="1" x14ac:dyDescent="0.2">
      <c r="A533" s="123"/>
      <c r="C533" s="123"/>
      <c r="AB533" s="123"/>
      <c r="AC533" s="123"/>
      <c r="AD533" s="125"/>
      <c r="AE533" s="123"/>
      <c r="AF533" s="123"/>
      <c r="AG533" s="123"/>
      <c r="AH533" s="123"/>
      <c r="AI533" s="123"/>
      <c r="AJ533" s="123"/>
      <c r="AK533" s="123"/>
    </row>
    <row r="534" spans="1:37" ht="14.25" customHeight="1" x14ac:dyDescent="0.2">
      <c r="A534" s="123"/>
      <c r="C534" s="123"/>
      <c r="AB534" s="123"/>
      <c r="AC534" s="123"/>
      <c r="AD534" s="125"/>
      <c r="AE534" s="123"/>
      <c r="AF534" s="123"/>
      <c r="AG534" s="123"/>
      <c r="AH534" s="123"/>
      <c r="AI534" s="123"/>
      <c r="AJ534" s="123"/>
      <c r="AK534" s="123"/>
    </row>
    <row r="535" spans="1:37" ht="14.25" customHeight="1" x14ac:dyDescent="0.2">
      <c r="A535" s="123"/>
      <c r="C535" s="123"/>
      <c r="AB535" s="123"/>
      <c r="AC535" s="123"/>
      <c r="AD535" s="125"/>
      <c r="AE535" s="123"/>
      <c r="AF535" s="123"/>
      <c r="AG535" s="123"/>
      <c r="AH535" s="123"/>
      <c r="AI535" s="123"/>
      <c r="AJ535" s="123"/>
      <c r="AK535" s="123"/>
    </row>
    <row r="536" spans="1:37" ht="14.25" customHeight="1" x14ac:dyDescent="0.2">
      <c r="A536" s="123"/>
      <c r="C536" s="123"/>
      <c r="AB536" s="123"/>
      <c r="AC536" s="123"/>
      <c r="AD536" s="125"/>
      <c r="AE536" s="123"/>
      <c r="AF536" s="123"/>
      <c r="AG536" s="123"/>
      <c r="AH536" s="123"/>
      <c r="AI536" s="123"/>
      <c r="AJ536" s="123"/>
      <c r="AK536" s="123"/>
    </row>
    <row r="537" spans="1:37" ht="14.25" customHeight="1" x14ac:dyDescent="0.2">
      <c r="A537" s="123"/>
      <c r="C537" s="123"/>
      <c r="AB537" s="123"/>
      <c r="AC537" s="123"/>
      <c r="AD537" s="125"/>
      <c r="AE537" s="123"/>
      <c r="AF537" s="123"/>
      <c r="AG537" s="123"/>
      <c r="AH537" s="123"/>
      <c r="AI537" s="123"/>
      <c r="AJ537" s="123"/>
      <c r="AK537" s="123"/>
    </row>
    <row r="538" spans="1:37" ht="14.25" customHeight="1" x14ac:dyDescent="0.2">
      <c r="A538" s="123"/>
      <c r="C538" s="123"/>
      <c r="AB538" s="123"/>
      <c r="AC538" s="123"/>
      <c r="AD538" s="125"/>
      <c r="AE538" s="123"/>
      <c r="AF538" s="123"/>
      <c r="AG538" s="123"/>
      <c r="AH538" s="123"/>
      <c r="AI538" s="123"/>
      <c r="AJ538" s="123"/>
      <c r="AK538" s="123"/>
    </row>
    <row r="539" spans="1:37" ht="14.25" customHeight="1" x14ac:dyDescent="0.2">
      <c r="A539" s="123"/>
      <c r="C539" s="123"/>
      <c r="AB539" s="123"/>
      <c r="AC539" s="123"/>
      <c r="AD539" s="125"/>
      <c r="AE539" s="123"/>
      <c r="AF539" s="123"/>
      <c r="AG539" s="123"/>
      <c r="AH539" s="123"/>
      <c r="AI539" s="123"/>
      <c r="AJ539" s="123"/>
      <c r="AK539" s="123"/>
    </row>
    <row r="540" spans="1:37" ht="14.25" customHeight="1" x14ac:dyDescent="0.2">
      <c r="A540" s="123"/>
      <c r="C540" s="123"/>
      <c r="AB540" s="123"/>
      <c r="AC540" s="123"/>
      <c r="AD540" s="125"/>
      <c r="AE540" s="123"/>
      <c r="AF540" s="123"/>
      <c r="AG540" s="123"/>
      <c r="AH540" s="123"/>
      <c r="AI540" s="123"/>
      <c r="AJ540" s="123"/>
      <c r="AK540" s="123"/>
    </row>
    <row r="541" spans="1:37" ht="14.25" customHeight="1" x14ac:dyDescent="0.2">
      <c r="A541" s="123"/>
      <c r="C541" s="123"/>
      <c r="AB541" s="123"/>
      <c r="AC541" s="123"/>
      <c r="AD541" s="125"/>
      <c r="AE541" s="123"/>
      <c r="AF541" s="123"/>
      <c r="AG541" s="123"/>
      <c r="AH541" s="123"/>
      <c r="AI541" s="123"/>
      <c r="AJ541" s="123"/>
      <c r="AK541" s="123"/>
    </row>
    <row r="542" spans="1:37" ht="14.25" customHeight="1" x14ac:dyDescent="0.2">
      <c r="A542" s="123"/>
      <c r="C542" s="123"/>
      <c r="AB542" s="123"/>
      <c r="AC542" s="123"/>
      <c r="AD542" s="125"/>
      <c r="AE542" s="123"/>
      <c r="AF542" s="123"/>
      <c r="AG542" s="123"/>
      <c r="AH542" s="123"/>
      <c r="AI542" s="123"/>
      <c r="AJ542" s="123"/>
      <c r="AK542" s="123"/>
    </row>
    <row r="543" spans="1:37" ht="14.25" customHeight="1" x14ac:dyDescent="0.2">
      <c r="A543" s="123"/>
      <c r="C543" s="123"/>
      <c r="AB543" s="123"/>
      <c r="AC543" s="123"/>
      <c r="AD543" s="125"/>
      <c r="AE543" s="123"/>
      <c r="AF543" s="123"/>
      <c r="AG543" s="123"/>
      <c r="AH543" s="123"/>
      <c r="AI543" s="123"/>
      <c r="AJ543" s="123"/>
      <c r="AK543" s="123"/>
    </row>
    <row r="544" spans="1:37" ht="14.25" customHeight="1" x14ac:dyDescent="0.2">
      <c r="A544" s="123"/>
      <c r="C544" s="123"/>
      <c r="AB544" s="123"/>
      <c r="AC544" s="123"/>
      <c r="AD544" s="125"/>
      <c r="AE544" s="123"/>
      <c r="AF544" s="123"/>
      <c r="AG544" s="123"/>
      <c r="AH544" s="123"/>
      <c r="AI544" s="123"/>
      <c r="AJ544" s="123"/>
      <c r="AK544" s="123"/>
    </row>
    <row r="545" spans="1:37" ht="14.25" customHeight="1" x14ac:dyDescent="0.2">
      <c r="A545" s="123"/>
      <c r="C545" s="123"/>
      <c r="AB545" s="123"/>
      <c r="AC545" s="123"/>
      <c r="AD545" s="125"/>
      <c r="AE545" s="123"/>
      <c r="AF545" s="123"/>
      <c r="AG545" s="123"/>
      <c r="AH545" s="123"/>
      <c r="AI545" s="123"/>
      <c r="AJ545" s="123"/>
      <c r="AK545" s="123"/>
    </row>
    <row r="546" spans="1:37" ht="14.25" customHeight="1" x14ac:dyDescent="0.2">
      <c r="A546" s="123"/>
      <c r="C546" s="123"/>
      <c r="AB546" s="123"/>
      <c r="AC546" s="123"/>
      <c r="AD546" s="125"/>
      <c r="AE546" s="123"/>
      <c r="AF546" s="123"/>
      <c r="AG546" s="123"/>
      <c r="AH546" s="123"/>
      <c r="AI546" s="123"/>
      <c r="AJ546" s="123"/>
      <c r="AK546" s="123"/>
    </row>
    <row r="547" spans="1:37" ht="14.25" customHeight="1" x14ac:dyDescent="0.2">
      <c r="A547" s="123"/>
      <c r="C547" s="123"/>
      <c r="AB547" s="123"/>
      <c r="AC547" s="123"/>
      <c r="AD547" s="125"/>
      <c r="AE547" s="123"/>
      <c r="AF547" s="123"/>
      <c r="AG547" s="123"/>
      <c r="AH547" s="123"/>
      <c r="AI547" s="123"/>
      <c r="AJ547" s="123"/>
      <c r="AK547" s="123"/>
    </row>
    <row r="548" spans="1:37" ht="14.25" customHeight="1" x14ac:dyDescent="0.2">
      <c r="A548" s="123"/>
      <c r="C548" s="123"/>
      <c r="AB548" s="123"/>
      <c r="AC548" s="123"/>
      <c r="AD548" s="125"/>
      <c r="AE548" s="123"/>
      <c r="AF548" s="123"/>
      <c r="AG548" s="123"/>
      <c r="AH548" s="123"/>
      <c r="AI548" s="123"/>
      <c r="AJ548" s="123"/>
      <c r="AK548" s="123"/>
    </row>
    <row r="549" spans="1:37" ht="14.25" customHeight="1" x14ac:dyDescent="0.2">
      <c r="A549" s="123"/>
      <c r="C549" s="123"/>
      <c r="AB549" s="123"/>
      <c r="AC549" s="123"/>
      <c r="AD549" s="125"/>
      <c r="AE549" s="123"/>
      <c r="AF549" s="123"/>
      <c r="AG549" s="123"/>
      <c r="AH549" s="123"/>
      <c r="AI549" s="123"/>
      <c r="AJ549" s="123"/>
      <c r="AK549" s="123"/>
    </row>
    <row r="550" spans="1:37" ht="14.25" customHeight="1" x14ac:dyDescent="0.2">
      <c r="A550" s="123"/>
      <c r="C550" s="123"/>
      <c r="AB550" s="123"/>
      <c r="AC550" s="123"/>
      <c r="AD550" s="125"/>
      <c r="AE550" s="123"/>
      <c r="AF550" s="123"/>
      <c r="AG550" s="123"/>
      <c r="AH550" s="123"/>
      <c r="AI550" s="123"/>
      <c r="AJ550" s="123"/>
      <c r="AK550" s="123"/>
    </row>
    <row r="551" spans="1:37" ht="14.25" customHeight="1" x14ac:dyDescent="0.2">
      <c r="A551" s="123"/>
      <c r="C551" s="123"/>
      <c r="AB551" s="123"/>
      <c r="AC551" s="123"/>
      <c r="AD551" s="125"/>
      <c r="AE551" s="123"/>
      <c r="AF551" s="123"/>
      <c r="AG551" s="123"/>
      <c r="AH551" s="123"/>
      <c r="AI551" s="123"/>
      <c r="AJ551" s="123"/>
      <c r="AK551" s="123"/>
    </row>
    <row r="552" spans="1:37" ht="14.25" customHeight="1" x14ac:dyDescent="0.2">
      <c r="A552" s="123"/>
      <c r="C552" s="123"/>
      <c r="AB552" s="123"/>
      <c r="AC552" s="123"/>
      <c r="AD552" s="125"/>
      <c r="AE552" s="123"/>
      <c r="AF552" s="123"/>
      <c r="AG552" s="123"/>
      <c r="AH552" s="123"/>
      <c r="AI552" s="123"/>
      <c r="AJ552" s="123"/>
      <c r="AK552" s="123"/>
    </row>
    <row r="553" spans="1:37" ht="14.25" customHeight="1" x14ac:dyDescent="0.2">
      <c r="A553" s="123"/>
      <c r="C553" s="123"/>
      <c r="AB553" s="123"/>
      <c r="AC553" s="123"/>
      <c r="AD553" s="125"/>
      <c r="AE553" s="123"/>
      <c r="AF553" s="123"/>
      <c r="AG553" s="123"/>
      <c r="AH553" s="123"/>
      <c r="AI553" s="123"/>
      <c r="AJ553" s="123"/>
      <c r="AK553" s="123"/>
    </row>
    <row r="554" spans="1:37" ht="14.25" customHeight="1" x14ac:dyDescent="0.2">
      <c r="A554" s="123"/>
      <c r="C554" s="123"/>
      <c r="AB554" s="123"/>
      <c r="AC554" s="123"/>
      <c r="AD554" s="125"/>
      <c r="AE554" s="123"/>
      <c r="AF554" s="123"/>
      <c r="AG554" s="123"/>
      <c r="AH554" s="123"/>
      <c r="AI554" s="123"/>
      <c r="AJ554" s="123"/>
      <c r="AK554" s="123"/>
    </row>
    <row r="555" spans="1:37" ht="14.25" customHeight="1" x14ac:dyDescent="0.2">
      <c r="A555" s="123"/>
      <c r="C555" s="123"/>
      <c r="AB555" s="123"/>
      <c r="AC555" s="123"/>
      <c r="AD555" s="125"/>
      <c r="AE555" s="123"/>
      <c r="AF555" s="123"/>
      <c r="AG555" s="123"/>
      <c r="AH555" s="123"/>
      <c r="AI555" s="123"/>
      <c r="AJ555" s="123"/>
      <c r="AK555" s="123"/>
    </row>
    <row r="556" spans="1:37" ht="14.25" customHeight="1" x14ac:dyDescent="0.2">
      <c r="A556" s="123"/>
      <c r="C556" s="123"/>
      <c r="AB556" s="123"/>
      <c r="AC556" s="123"/>
      <c r="AD556" s="125"/>
      <c r="AE556" s="123"/>
      <c r="AF556" s="123"/>
      <c r="AG556" s="123"/>
      <c r="AH556" s="123"/>
      <c r="AI556" s="123"/>
      <c r="AJ556" s="123"/>
      <c r="AK556" s="123"/>
    </row>
    <row r="557" spans="1:37" ht="14.25" customHeight="1" x14ac:dyDescent="0.2">
      <c r="A557" s="123"/>
      <c r="C557" s="123"/>
      <c r="AB557" s="123"/>
      <c r="AC557" s="123"/>
      <c r="AD557" s="125"/>
      <c r="AE557" s="123"/>
      <c r="AF557" s="123"/>
      <c r="AG557" s="123"/>
      <c r="AH557" s="123"/>
      <c r="AI557" s="123"/>
      <c r="AJ557" s="123"/>
      <c r="AK557" s="123"/>
    </row>
    <row r="558" spans="1:37" ht="14.25" customHeight="1" x14ac:dyDescent="0.2">
      <c r="A558" s="123"/>
      <c r="C558" s="123"/>
      <c r="AB558" s="123"/>
      <c r="AC558" s="123"/>
      <c r="AD558" s="125"/>
      <c r="AE558" s="123"/>
      <c r="AF558" s="123"/>
      <c r="AG558" s="123"/>
      <c r="AH558" s="123"/>
      <c r="AI558" s="123"/>
      <c r="AJ558" s="123"/>
      <c r="AK558" s="123"/>
    </row>
    <row r="559" spans="1:37" ht="14.25" customHeight="1" x14ac:dyDescent="0.2">
      <c r="A559" s="123"/>
      <c r="C559" s="123"/>
      <c r="AB559" s="123"/>
      <c r="AC559" s="123"/>
      <c r="AD559" s="125"/>
      <c r="AE559" s="123"/>
      <c r="AF559" s="123"/>
      <c r="AG559" s="123"/>
      <c r="AH559" s="123"/>
      <c r="AI559" s="123"/>
      <c r="AJ559" s="123"/>
      <c r="AK559" s="123"/>
    </row>
    <row r="560" spans="1:37" ht="14.25" customHeight="1" x14ac:dyDescent="0.2">
      <c r="A560" s="123"/>
      <c r="C560" s="123"/>
      <c r="AB560" s="123"/>
      <c r="AC560" s="123"/>
      <c r="AD560" s="125"/>
      <c r="AE560" s="123"/>
      <c r="AF560" s="123"/>
      <c r="AG560" s="123"/>
      <c r="AH560" s="123"/>
      <c r="AI560" s="123"/>
      <c r="AJ560" s="123"/>
      <c r="AK560" s="123"/>
    </row>
    <row r="561" spans="1:37" ht="14.25" customHeight="1" x14ac:dyDescent="0.2">
      <c r="A561" s="123"/>
      <c r="C561" s="123"/>
      <c r="AB561" s="123"/>
      <c r="AC561" s="123"/>
      <c r="AD561" s="125"/>
      <c r="AE561" s="123"/>
      <c r="AF561" s="123"/>
      <c r="AG561" s="123"/>
      <c r="AH561" s="123"/>
      <c r="AI561" s="123"/>
      <c r="AJ561" s="123"/>
      <c r="AK561" s="123"/>
    </row>
    <row r="562" spans="1:37" ht="14.25" customHeight="1" x14ac:dyDescent="0.2">
      <c r="A562" s="123"/>
      <c r="C562" s="123"/>
      <c r="AB562" s="123"/>
      <c r="AC562" s="123"/>
      <c r="AD562" s="125"/>
      <c r="AE562" s="123"/>
      <c r="AF562" s="123"/>
      <c r="AG562" s="123"/>
      <c r="AH562" s="123"/>
      <c r="AI562" s="123"/>
      <c r="AJ562" s="123"/>
      <c r="AK562" s="123"/>
    </row>
    <row r="563" spans="1:37" ht="14.25" customHeight="1" x14ac:dyDescent="0.2">
      <c r="A563" s="123"/>
      <c r="C563" s="123"/>
      <c r="AB563" s="123"/>
      <c r="AC563" s="123"/>
      <c r="AD563" s="125"/>
      <c r="AE563" s="123"/>
      <c r="AF563" s="123"/>
      <c r="AG563" s="123"/>
      <c r="AH563" s="123"/>
      <c r="AI563" s="123"/>
      <c r="AJ563" s="123"/>
      <c r="AK563" s="123"/>
    </row>
    <row r="564" spans="1:37" ht="14.25" customHeight="1" x14ac:dyDescent="0.2">
      <c r="A564" s="123"/>
      <c r="C564" s="123"/>
      <c r="AB564" s="123"/>
      <c r="AC564" s="123"/>
      <c r="AD564" s="125"/>
      <c r="AE564" s="123"/>
      <c r="AF564" s="123"/>
      <c r="AG564" s="123"/>
      <c r="AH564" s="123"/>
      <c r="AI564" s="123"/>
      <c r="AJ564" s="123"/>
      <c r="AK564" s="123"/>
    </row>
    <row r="565" spans="1:37" ht="14.25" customHeight="1" x14ac:dyDescent="0.2">
      <c r="A565" s="123"/>
      <c r="C565" s="123"/>
      <c r="AB565" s="123"/>
      <c r="AC565" s="123"/>
      <c r="AD565" s="125"/>
      <c r="AE565" s="123"/>
      <c r="AF565" s="123"/>
      <c r="AG565" s="123"/>
      <c r="AH565" s="123"/>
      <c r="AI565" s="123"/>
      <c r="AJ565" s="123"/>
      <c r="AK565" s="123"/>
    </row>
    <row r="566" spans="1:37" ht="14.25" customHeight="1" x14ac:dyDescent="0.2">
      <c r="A566" s="123"/>
      <c r="C566" s="123"/>
      <c r="AB566" s="123"/>
      <c r="AC566" s="123"/>
      <c r="AD566" s="125"/>
      <c r="AE566" s="123"/>
      <c r="AF566" s="123"/>
      <c r="AG566" s="123"/>
      <c r="AH566" s="123"/>
      <c r="AI566" s="123"/>
      <c r="AJ566" s="123"/>
      <c r="AK566" s="123"/>
    </row>
    <row r="567" spans="1:37" ht="14.25" customHeight="1" x14ac:dyDescent="0.2">
      <c r="A567" s="123"/>
      <c r="C567" s="123"/>
      <c r="AB567" s="123"/>
      <c r="AC567" s="123"/>
      <c r="AD567" s="125"/>
      <c r="AE567" s="123"/>
      <c r="AF567" s="123"/>
      <c r="AG567" s="123"/>
      <c r="AH567" s="123"/>
      <c r="AI567" s="123"/>
      <c r="AJ567" s="123"/>
      <c r="AK567" s="123"/>
    </row>
    <row r="568" spans="1:37" ht="14.25" customHeight="1" x14ac:dyDescent="0.2">
      <c r="A568" s="123"/>
      <c r="C568" s="123"/>
      <c r="AB568" s="123"/>
      <c r="AC568" s="123"/>
      <c r="AD568" s="125"/>
      <c r="AE568" s="123"/>
      <c r="AF568" s="123"/>
      <c r="AG568" s="123"/>
      <c r="AH568" s="123"/>
      <c r="AI568" s="123"/>
      <c r="AJ568" s="123"/>
      <c r="AK568" s="123"/>
    </row>
    <row r="569" spans="1:37" ht="14.25" customHeight="1" x14ac:dyDescent="0.2">
      <c r="A569" s="123"/>
      <c r="C569" s="123"/>
      <c r="AB569" s="123"/>
      <c r="AC569" s="123"/>
      <c r="AD569" s="125"/>
      <c r="AE569" s="123"/>
      <c r="AF569" s="123"/>
      <c r="AG569" s="123"/>
      <c r="AH569" s="123"/>
      <c r="AI569" s="123"/>
      <c r="AJ569" s="123"/>
      <c r="AK569" s="123"/>
    </row>
    <row r="570" spans="1:37" ht="14.25" customHeight="1" x14ac:dyDescent="0.2">
      <c r="A570" s="123"/>
      <c r="C570" s="123"/>
      <c r="AB570" s="123"/>
      <c r="AC570" s="123"/>
      <c r="AD570" s="125"/>
      <c r="AE570" s="123"/>
      <c r="AF570" s="123"/>
      <c r="AG570" s="123"/>
      <c r="AH570" s="123"/>
      <c r="AI570" s="123"/>
      <c r="AJ570" s="123"/>
      <c r="AK570" s="123"/>
    </row>
    <row r="571" spans="1:37" ht="14.25" customHeight="1" x14ac:dyDescent="0.2">
      <c r="A571" s="123"/>
      <c r="C571" s="123"/>
      <c r="AB571" s="123"/>
      <c r="AC571" s="123"/>
      <c r="AD571" s="125"/>
      <c r="AE571" s="123"/>
      <c r="AF571" s="123"/>
      <c r="AG571" s="123"/>
      <c r="AH571" s="123"/>
      <c r="AI571" s="123"/>
      <c r="AJ571" s="123"/>
      <c r="AK571" s="123"/>
    </row>
    <row r="572" spans="1:37" ht="14.25" customHeight="1" x14ac:dyDescent="0.2">
      <c r="A572" s="123"/>
      <c r="C572" s="123"/>
      <c r="AB572" s="123"/>
      <c r="AC572" s="123"/>
      <c r="AD572" s="125"/>
      <c r="AE572" s="123"/>
      <c r="AF572" s="123"/>
      <c r="AG572" s="123"/>
      <c r="AH572" s="123"/>
      <c r="AI572" s="123"/>
      <c r="AJ572" s="123"/>
      <c r="AK572" s="123"/>
    </row>
    <row r="573" spans="1:37" ht="14.25" customHeight="1" x14ac:dyDescent="0.2">
      <c r="A573" s="123"/>
      <c r="C573" s="123"/>
      <c r="AB573" s="123"/>
      <c r="AC573" s="123"/>
      <c r="AD573" s="125"/>
      <c r="AE573" s="123"/>
      <c r="AF573" s="123"/>
      <c r="AG573" s="123"/>
      <c r="AH573" s="123"/>
      <c r="AI573" s="123"/>
      <c r="AJ573" s="123"/>
      <c r="AK573" s="123"/>
    </row>
    <row r="574" spans="1:37" ht="14.25" customHeight="1" x14ac:dyDescent="0.2">
      <c r="A574" s="123"/>
      <c r="C574" s="123"/>
      <c r="AB574" s="123"/>
      <c r="AC574" s="123"/>
      <c r="AD574" s="125"/>
      <c r="AE574" s="123"/>
      <c r="AF574" s="123"/>
      <c r="AG574" s="123"/>
      <c r="AH574" s="123"/>
      <c r="AI574" s="123"/>
      <c r="AJ574" s="123"/>
      <c r="AK574" s="123"/>
    </row>
    <row r="575" spans="1:37" ht="14.25" customHeight="1" x14ac:dyDescent="0.2">
      <c r="A575" s="123"/>
      <c r="C575" s="123"/>
      <c r="AB575" s="123"/>
      <c r="AC575" s="123"/>
      <c r="AD575" s="125"/>
      <c r="AE575" s="123"/>
      <c r="AF575" s="123"/>
      <c r="AG575" s="123"/>
      <c r="AH575" s="123"/>
      <c r="AI575" s="123"/>
      <c r="AJ575" s="123"/>
      <c r="AK575" s="123"/>
    </row>
    <row r="576" spans="1:37" ht="14.25" customHeight="1" x14ac:dyDescent="0.2">
      <c r="A576" s="123"/>
      <c r="C576" s="123"/>
      <c r="AB576" s="123"/>
      <c r="AC576" s="123"/>
      <c r="AD576" s="125"/>
      <c r="AE576" s="123"/>
      <c r="AF576" s="123"/>
      <c r="AG576" s="123"/>
      <c r="AH576" s="123"/>
      <c r="AI576" s="123"/>
      <c r="AJ576" s="123"/>
      <c r="AK576" s="123"/>
    </row>
    <row r="577" spans="1:37" ht="14.25" customHeight="1" x14ac:dyDescent="0.2">
      <c r="A577" s="123"/>
      <c r="C577" s="123"/>
      <c r="AB577" s="123"/>
      <c r="AC577" s="123"/>
      <c r="AD577" s="125"/>
      <c r="AE577" s="123"/>
      <c r="AF577" s="123"/>
      <c r="AG577" s="123"/>
      <c r="AH577" s="123"/>
      <c r="AI577" s="123"/>
      <c r="AJ577" s="123"/>
      <c r="AK577" s="123"/>
    </row>
    <row r="578" spans="1:37" ht="14.25" customHeight="1" x14ac:dyDescent="0.2">
      <c r="A578" s="123"/>
      <c r="C578" s="123"/>
      <c r="AB578" s="123"/>
      <c r="AC578" s="123"/>
      <c r="AD578" s="125"/>
      <c r="AE578" s="123"/>
      <c r="AF578" s="123"/>
      <c r="AG578" s="123"/>
      <c r="AH578" s="123"/>
      <c r="AI578" s="123"/>
      <c r="AJ578" s="123"/>
      <c r="AK578" s="123"/>
    </row>
    <row r="579" spans="1:37" ht="14.25" customHeight="1" x14ac:dyDescent="0.2">
      <c r="A579" s="123"/>
      <c r="C579" s="123"/>
      <c r="AB579" s="123"/>
      <c r="AC579" s="123"/>
      <c r="AD579" s="125"/>
      <c r="AE579" s="123"/>
      <c r="AF579" s="123"/>
      <c r="AG579" s="123"/>
      <c r="AH579" s="123"/>
      <c r="AI579" s="123"/>
      <c r="AJ579" s="123"/>
      <c r="AK579" s="123"/>
    </row>
    <row r="580" spans="1:37" ht="14.25" customHeight="1" x14ac:dyDescent="0.2">
      <c r="A580" s="123"/>
      <c r="C580" s="123"/>
      <c r="AB580" s="123"/>
      <c r="AC580" s="123"/>
      <c r="AD580" s="125"/>
      <c r="AE580" s="123"/>
      <c r="AF580" s="123"/>
      <c r="AG580" s="123"/>
      <c r="AH580" s="123"/>
      <c r="AI580" s="123"/>
      <c r="AJ580" s="123"/>
      <c r="AK580" s="123"/>
    </row>
    <row r="581" spans="1:37" ht="14.25" customHeight="1" x14ac:dyDescent="0.2">
      <c r="A581" s="123"/>
      <c r="C581" s="123"/>
      <c r="AB581" s="123"/>
      <c r="AC581" s="123"/>
      <c r="AD581" s="125"/>
      <c r="AE581" s="123"/>
      <c r="AF581" s="123"/>
      <c r="AG581" s="123"/>
      <c r="AH581" s="123"/>
      <c r="AI581" s="123"/>
      <c r="AJ581" s="123"/>
      <c r="AK581" s="123"/>
    </row>
    <row r="582" spans="1:37" ht="14.25" customHeight="1" x14ac:dyDescent="0.2">
      <c r="A582" s="123"/>
      <c r="C582" s="123"/>
      <c r="AB582" s="123"/>
      <c r="AC582" s="123"/>
      <c r="AD582" s="125"/>
      <c r="AE582" s="123"/>
      <c r="AF582" s="123"/>
      <c r="AG582" s="123"/>
      <c r="AH582" s="123"/>
      <c r="AI582" s="123"/>
      <c r="AJ582" s="123"/>
      <c r="AK582" s="123"/>
    </row>
    <row r="583" spans="1:37" ht="14.25" customHeight="1" x14ac:dyDescent="0.2">
      <c r="A583" s="123"/>
      <c r="C583" s="123"/>
      <c r="AB583" s="123"/>
      <c r="AC583" s="123"/>
      <c r="AD583" s="125"/>
      <c r="AE583" s="123"/>
      <c r="AF583" s="123"/>
      <c r="AG583" s="123"/>
      <c r="AH583" s="123"/>
      <c r="AI583" s="123"/>
      <c r="AJ583" s="123"/>
      <c r="AK583" s="123"/>
    </row>
    <row r="584" spans="1:37" ht="14.25" customHeight="1" x14ac:dyDescent="0.2">
      <c r="A584" s="123"/>
      <c r="C584" s="123"/>
      <c r="AB584" s="123"/>
      <c r="AC584" s="123"/>
      <c r="AD584" s="125"/>
      <c r="AE584" s="123"/>
      <c r="AF584" s="123"/>
      <c r="AG584" s="123"/>
      <c r="AH584" s="123"/>
      <c r="AI584" s="123"/>
      <c r="AJ584" s="123"/>
      <c r="AK584" s="123"/>
    </row>
    <row r="585" spans="1:37" ht="14.25" customHeight="1" x14ac:dyDescent="0.2">
      <c r="A585" s="123"/>
      <c r="C585" s="123"/>
      <c r="AB585" s="123"/>
      <c r="AC585" s="123"/>
      <c r="AD585" s="125"/>
      <c r="AE585" s="123"/>
      <c r="AF585" s="123"/>
      <c r="AG585" s="123"/>
      <c r="AH585" s="123"/>
      <c r="AI585" s="123"/>
      <c r="AJ585" s="123"/>
      <c r="AK585" s="123"/>
    </row>
    <row r="586" spans="1:37" ht="14.25" customHeight="1" x14ac:dyDescent="0.2">
      <c r="A586" s="123"/>
      <c r="C586" s="123"/>
      <c r="AB586" s="123"/>
      <c r="AC586" s="123"/>
      <c r="AD586" s="125"/>
      <c r="AE586" s="123"/>
      <c r="AF586" s="123"/>
      <c r="AG586" s="123"/>
      <c r="AH586" s="123"/>
      <c r="AI586" s="123"/>
      <c r="AJ586" s="123"/>
      <c r="AK586" s="123"/>
    </row>
    <row r="587" spans="1:37" ht="14.25" customHeight="1" x14ac:dyDescent="0.2">
      <c r="A587" s="123"/>
      <c r="C587" s="123"/>
      <c r="AB587" s="123"/>
      <c r="AC587" s="123"/>
      <c r="AD587" s="125"/>
      <c r="AE587" s="123"/>
      <c r="AF587" s="123"/>
      <c r="AG587" s="123"/>
      <c r="AH587" s="123"/>
      <c r="AI587" s="123"/>
      <c r="AJ587" s="123"/>
      <c r="AK587" s="123"/>
    </row>
    <row r="588" spans="1:37" ht="14.25" customHeight="1" x14ac:dyDescent="0.2">
      <c r="A588" s="123"/>
      <c r="C588" s="123"/>
      <c r="AB588" s="123"/>
      <c r="AC588" s="123"/>
      <c r="AD588" s="125"/>
      <c r="AE588" s="123"/>
      <c r="AF588" s="123"/>
      <c r="AG588" s="123"/>
      <c r="AH588" s="123"/>
      <c r="AI588" s="123"/>
      <c r="AJ588" s="123"/>
      <c r="AK588" s="123"/>
    </row>
    <row r="589" spans="1:37" ht="14.25" customHeight="1" x14ac:dyDescent="0.2">
      <c r="A589" s="123"/>
      <c r="C589" s="123"/>
      <c r="AB589" s="123"/>
      <c r="AC589" s="123"/>
      <c r="AD589" s="125"/>
      <c r="AE589" s="123"/>
      <c r="AF589" s="123"/>
      <c r="AG589" s="123"/>
      <c r="AH589" s="123"/>
      <c r="AI589" s="123"/>
      <c r="AJ589" s="123"/>
      <c r="AK589" s="123"/>
    </row>
    <row r="590" spans="1:37" ht="14.25" customHeight="1" x14ac:dyDescent="0.2">
      <c r="A590" s="123"/>
      <c r="C590" s="123"/>
      <c r="AB590" s="123"/>
      <c r="AC590" s="123"/>
      <c r="AD590" s="125"/>
      <c r="AE590" s="123"/>
      <c r="AF590" s="123"/>
      <c r="AG590" s="123"/>
      <c r="AH590" s="123"/>
      <c r="AI590" s="123"/>
      <c r="AJ590" s="123"/>
      <c r="AK590" s="123"/>
    </row>
    <row r="591" spans="1:37" ht="14.25" customHeight="1" x14ac:dyDescent="0.2">
      <c r="A591" s="123"/>
      <c r="C591" s="123"/>
      <c r="AB591" s="123"/>
      <c r="AC591" s="123"/>
      <c r="AD591" s="125"/>
      <c r="AE591" s="123"/>
      <c r="AF591" s="123"/>
      <c r="AG591" s="123"/>
      <c r="AH591" s="123"/>
      <c r="AI591" s="123"/>
      <c r="AJ591" s="123"/>
      <c r="AK591" s="123"/>
    </row>
    <row r="592" spans="1:37" ht="14.25" customHeight="1" x14ac:dyDescent="0.2">
      <c r="A592" s="123"/>
      <c r="C592" s="123"/>
      <c r="AB592" s="123"/>
      <c r="AC592" s="123"/>
      <c r="AD592" s="125"/>
      <c r="AE592" s="123"/>
      <c r="AF592" s="123"/>
      <c r="AG592" s="123"/>
      <c r="AH592" s="123"/>
      <c r="AI592" s="123"/>
      <c r="AJ592" s="123"/>
      <c r="AK592" s="123"/>
    </row>
    <row r="593" spans="1:37" ht="14.25" customHeight="1" x14ac:dyDescent="0.2">
      <c r="A593" s="123"/>
      <c r="C593" s="123"/>
      <c r="AB593" s="123"/>
      <c r="AC593" s="123"/>
      <c r="AD593" s="125"/>
      <c r="AE593" s="123"/>
      <c r="AF593" s="123"/>
      <c r="AG593" s="123"/>
      <c r="AH593" s="123"/>
      <c r="AI593" s="123"/>
      <c r="AJ593" s="123"/>
      <c r="AK593" s="123"/>
    </row>
    <row r="594" spans="1:37" ht="14.25" customHeight="1" x14ac:dyDescent="0.2">
      <c r="A594" s="123"/>
      <c r="C594" s="123"/>
      <c r="AB594" s="123"/>
      <c r="AC594" s="123"/>
      <c r="AD594" s="125"/>
      <c r="AE594" s="123"/>
      <c r="AF594" s="123"/>
      <c r="AG594" s="123"/>
      <c r="AH594" s="123"/>
      <c r="AI594" s="123"/>
      <c r="AJ594" s="123"/>
      <c r="AK594" s="123"/>
    </row>
    <row r="595" spans="1:37" ht="14.25" customHeight="1" x14ac:dyDescent="0.2">
      <c r="A595" s="123"/>
      <c r="C595" s="123"/>
      <c r="AB595" s="123"/>
      <c r="AC595" s="123"/>
      <c r="AD595" s="125"/>
      <c r="AE595" s="123"/>
      <c r="AF595" s="123"/>
      <c r="AG595" s="123"/>
      <c r="AH595" s="123"/>
      <c r="AI595" s="123"/>
      <c r="AJ595" s="123"/>
      <c r="AK595" s="123"/>
    </row>
    <row r="596" spans="1:37" ht="14.25" customHeight="1" x14ac:dyDescent="0.2">
      <c r="A596" s="123"/>
      <c r="C596" s="123"/>
      <c r="AB596" s="123"/>
      <c r="AC596" s="123"/>
      <c r="AD596" s="125"/>
      <c r="AE596" s="123"/>
      <c r="AF596" s="123"/>
      <c r="AG596" s="123"/>
      <c r="AH596" s="123"/>
      <c r="AI596" s="123"/>
      <c r="AJ596" s="123"/>
      <c r="AK596" s="123"/>
    </row>
    <row r="597" spans="1:37" ht="14.25" customHeight="1" x14ac:dyDescent="0.2">
      <c r="A597" s="123"/>
      <c r="C597" s="123"/>
      <c r="AB597" s="123"/>
      <c r="AC597" s="123"/>
      <c r="AD597" s="125"/>
      <c r="AE597" s="123"/>
      <c r="AF597" s="123"/>
      <c r="AG597" s="123"/>
      <c r="AH597" s="123"/>
      <c r="AI597" s="123"/>
      <c r="AJ597" s="123"/>
      <c r="AK597" s="123"/>
    </row>
    <row r="598" spans="1:37" ht="14.25" customHeight="1" x14ac:dyDescent="0.2">
      <c r="A598" s="123"/>
      <c r="C598" s="123"/>
      <c r="AB598" s="123"/>
      <c r="AC598" s="123"/>
      <c r="AD598" s="125"/>
      <c r="AE598" s="123"/>
      <c r="AF598" s="123"/>
      <c r="AG598" s="123"/>
      <c r="AH598" s="123"/>
      <c r="AI598" s="123"/>
      <c r="AJ598" s="123"/>
      <c r="AK598" s="123"/>
    </row>
    <row r="599" spans="1:37" ht="14.25" customHeight="1" x14ac:dyDescent="0.2">
      <c r="A599" s="123"/>
      <c r="C599" s="123"/>
      <c r="AB599" s="123"/>
      <c r="AC599" s="123"/>
      <c r="AD599" s="125"/>
      <c r="AE599" s="123"/>
      <c r="AF599" s="123"/>
      <c r="AG599" s="123"/>
      <c r="AH599" s="123"/>
      <c r="AI599" s="123"/>
      <c r="AJ599" s="123"/>
      <c r="AK599" s="123"/>
    </row>
    <row r="600" spans="1:37" ht="14.25" customHeight="1" x14ac:dyDescent="0.2">
      <c r="A600" s="123"/>
      <c r="C600" s="123"/>
      <c r="AB600" s="123"/>
      <c r="AC600" s="123"/>
      <c r="AD600" s="125"/>
      <c r="AE600" s="123"/>
      <c r="AF600" s="123"/>
      <c r="AG600" s="123"/>
      <c r="AH600" s="123"/>
      <c r="AI600" s="123"/>
      <c r="AJ600" s="123"/>
      <c r="AK600" s="123"/>
    </row>
    <row r="601" spans="1:37" ht="14.25" customHeight="1" x14ac:dyDescent="0.2">
      <c r="A601" s="123"/>
      <c r="C601" s="123"/>
      <c r="AB601" s="123"/>
      <c r="AC601" s="123"/>
      <c r="AD601" s="125"/>
      <c r="AE601" s="123"/>
      <c r="AF601" s="123"/>
      <c r="AG601" s="123"/>
      <c r="AH601" s="123"/>
      <c r="AI601" s="123"/>
      <c r="AJ601" s="123"/>
      <c r="AK601" s="123"/>
    </row>
    <row r="602" spans="1:37" ht="14.25" customHeight="1" x14ac:dyDescent="0.2">
      <c r="A602" s="123"/>
      <c r="C602" s="123"/>
      <c r="AB602" s="123"/>
      <c r="AC602" s="123"/>
      <c r="AD602" s="125"/>
      <c r="AE602" s="123"/>
      <c r="AF602" s="123"/>
      <c r="AG602" s="123"/>
      <c r="AH602" s="123"/>
      <c r="AI602" s="123"/>
      <c r="AJ602" s="123"/>
      <c r="AK602" s="123"/>
    </row>
    <row r="603" spans="1:37" ht="14.25" customHeight="1" x14ac:dyDescent="0.2">
      <c r="A603" s="123"/>
      <c r="C603" s="123"/>
      <c r="AB603" s="123"/>
      <c r="AC603" s="123"/>
      <c r="AD603" s="125"/>
      <c r="AE603" s="123"/>
      <c r="AF603" s="123"/>
      <c r="AG603" s="123"/>
      <c r="AH603" s="123"/>
      <c r="AI603" s="123"/>
      <c r="AJ603" s="123"/>
      <c r="AK603" s="123"/>
    </row>
    <row r="604" spans="1:37" ht="14.25" customHeight="1" x14ac:dyDescent="0.2">
      <c r="A604" s="123"/>
      <c r="C604" s="123"/>
      <c r="AB604" s="123"/>
      <c r="AC604" s="123"/>
      <c r="AD604" s="125"/>
      <c r="AE604" s="123"/>
      <c r="AF604" s="123"/>
      <c r="AG604" s="123"/>
      <c r="AH604" s="123"/>
      <c r="AI604" s="123"/>
      <c r="AJ604" s="123"/>
      <c r="AK604" s="123"/>
    </row>
    <row r="605" spans="1:37" ht="14.25" customHeight="1" x14ac:dyDescent="0.2">
      <c r="A605" s="123"/>
      <c r="C605" s="123"/>
      <c r="AB605" s="123"/>
      <c r="AC605" s="123"/>
      <c r="AD605" s="125"/>
      <c r="AE605" s="123"/>
      <c r="AF605" s="123"/>
      <c r="AG605" s="123"/>
      <c r="AH605" s="123"/>
      <c r="AI605" s="123"/>
      <c r="AJ605" s="123"/>
      <c r="AK605" s="123"/>
    </row>
    <row r="606" spans="1:37" ht="14.25" customHeight="1" x14ac:dyDescent="0.2">
      <c r="A606" s="123"/>
      <c r="C606" s="123"/>
      <c r="AB606" s="123"/>
      <c r="AC606" s="123"/>
      <c r="AD606" s="125"/>
      <c r="AE606" s="123"/>
      <c r="AF606" s="123"/>
      <c r="AG606" s="123"/>
      <c r="AH606" s="123"/>
      <c r="AI606" s="123"/>
      <c r="AJ606" s="123"/>
      <c r="AK606" s="123"/>
    </row>
    <row r="607" spans="1:37" ht="14.25" customHeight="1" x14ac:dyDescent="0.2">
      <c r="A607" s="123"/>
      <c r="C607" s="123"/>
      <c r="AB607" s="123"/>
      <c r="AC607" s="123"/>
      <c r="AD607" s="125"/>
      <c r="AE607" s="123"/>
      <c r="AF607" s="123"/>
      <c r="AG607" s="123"/>
      <c r="AH607" s="123"/>
      <c r="AI607" s="123"/>
      <c r="AJ607" s="123"/>
      <c r="AK607" s="123"/>
    </row>
    <row r="608" spans="1:37" ht="14.25" customHeight="1" x14ac:dyDescent="0.2">
      <c r="A608" s="123"/>
      <c r="C608" s="123"/>
      <c r="AB608" s="123"/>
      <c r="AC608" s="123"/>
      <c r="AD608" s="125"/>
      <c r="AE608" s="123"/>
      <c r="AF608" s="123"/>
      <c r="AG608" s="123"/>
      <c r="AH608" s="123"/>
      <c r="AI608" s="123"/>
      <c r="AJ608" s="123"/>
      <c r="AK608" s="123"/>
    </row>
    <row r="609" spans="1:37" ht="14.25" customHeight="1" x14ac:dyDescent="0.2">
      <c r="A609" s="123"/>
      <c r="C609" s="123"/>
      <c r="AB609" s="123"/>
      <c r="AC609" s="123"/>
      <c r="AD609" s="125"/>
      <c r="AE609" s="123"/>
      <c r="AF609" s="123"/>
      <c r="AG609" s="123"/>
      <c r="AH609" s="123"/>
      <c r="AI609" s="123"/>
      <c r="AJ609" s="123"/>
      <c r="AK609" s="123"/>
    </row>
    <row r="610" spans="1:37" ht="14.25" customHeight="1" x14ac:dyDescent="0.2">
      <c r="A610" s="123"/>
      <c r="C610" s="123"/>
      <c r="AB610" s="123"/>
      <c r="AC610" s="123"/>
      <c r="AD610" s="125"/>
      <c r="AE610" s="123"/>
      <c r="AF610" s="123"/>
      <c r="AG610" s="123"/>
      <c r="AH610" s="123"/>
      <c r="AI610" s="123"/>
      <c r="AJ610" s="123"/>
      <c r="AK610" s="123"/>
    </row>
    <row r="611" spans="1:37" ht="14.25" customHeight="1" x14ac:dyDescent="0.2">
      <c r="A611" s="123"/>
      <c r="C611" s="123"/>
      <c r="AB611" s="123"/>
      <c r="AC611" s="123"/>
      <c r="AD611" s="125"/>
      <c r="AE611" s="123"/>
      <c r="AF611" s="123"/>
      <c r="AG611" s="123"/>
      <c r="AH611" s="123"/>
      <c r="AI611" s="123"/>
      <c r="AJ611" s="123"/>
      <c r="AK611" s="123"/>
    </row>
    <row r="612" spans="1:37" ht="14.25" customHeight="1" x14ac:dyDescent="0.2">
      <c r="A612" s="123"/>
      <c r="C612" s="123"/>
      <c r="AB612" s="123"/>
      <c r="AC612" s="123"/>
      <c r="AD612" s="125"/>
      <c r="AE612" s="123"/>
      <c r="AF612" s="123"/>
      <c r="AG612" s="123"/>
      <c r="AH612" s="123"/>
      <c r="AI612" s="123"/>
      <c r="AJ612" s="123"/>
      <c r="AK612" s="123"/>
    </row>
    <row r="613" spans="1:37" ht="14.25" customHeight="1" x14ac:dyDescent="0.2">
      <c r="A613" s="123"/>
      <c r="C613" s="123"/>
      <c r="AB613" s="123"/>
      <c r="AC613" s="123"/>
      <c r="AD613" s="125"/>
      <c r="AE613" s="123"/>
      <c r="AF613" s="123"/>
      <c r="AG613" s="123"/>
      <c r="AH613" s="123"/>
      <c r="AI613" s="123"/>
      <c r="AJ613" s="123"/>
      <c r="AK613" s="123"/>
    </row>
    <row r="614" spans="1:37" ht="14.25" customHeight="1" x14ac:dyDescent="0.2">
      <c r="A614" s="123"/>
      <c r="C614" s="123"/>
      <c r="AB614" s="123"/>
      <c r="AC614" s="123"/>
      <c r="AD614" s="125"/>
      <c r="AE614" s="123"/>
      <c r="AF614" s="123"/>
      <c r="AG614" s="123"/>
      <c r="AH614" s="123"/>
      <c r="AI614" s="123"/>
      <c r="AJ614" s="123"/>
      <c r="AK614" s="123"/>
    </row>
    <row r="615" spans="1:37" ht="14.25" customHeight="1" x14ac:dyDescent="0.2">
      <c r="A615" s="123"/>
      <c r="C615" s="123"/>
      <c r="AB615" s="123"/>
      <c r="AC615" s="123"/>
      <c r="AD615" s="125"/>
      <c r="AE615" s="123"/>
      <c r="AF615" s="123"/>
      <c r="AG615" s="123"/>
      <c r="AH615" s="123"/>
      <c r="AI615" s="123"/>
      <c r="AJ615" s="123"/>
      <c r="AK615" s="123"/>
    </row>
    <row r="616" spans="1:37" ht="14.25" customHeight="1" x14ac:dyDescent="0.2">
      <c r="A616" s="123"/>
      <c r="C616" s="123"/>
      <c r="AB616" s="123"/>
      <c r="AC616" s="123"/>
      <c r="AD616" s="125"/>
      <c r="AE616" s="123"/>
      <c r="AF616" s="123"/>
      <c r="AG616" s="123"/>
      <c r="AH616" s="123"/>
      <c r="AI616" s="123"/>
      <c r="AJ616" s="123"/>
      <c r="AK616" s="123"/>
    </row>
    <row r="617" spans="1:37" ht="14.25" customHeight="1" x14ac:dyDescent="0.2">
      <c r="A617" s="123"/>
      <c r="C617" s="123"/>
      <c r="AB617" s="123"/>
      <c r="AC617" s="123"/>
      <c r="AD617" s="125"/>
      <c r="AE617" s="123"/>
      <c r="AF617" s="123"/>
      <c r="AG617" s="123"/>
      <c r="AH617" s="123"/>
      <c r="AI617" s="123"/>
      <c r="AJ617" s="123"/>
      <c r="AK617" s="123"/>
    </row>
    <row r="618" spans="1:37" ht="14.25" customHeight="1" x14ac:dyDescent="0.2">
      <c r="A618" s="123"/>
      <c r="C618" s="123"/>
      <c r="AB618" s="123"/>
      <c r="AC618" s="123"/>
      <c r="AD618" s="125"/>
      <c r="AE618" s="123"/>
      <c r="AF618" s="123"/>
      <c r="AG618" s="123"/>
      <c r="AH618" s="123"/>
      <c r="AI618" s="123"/>
      <c r="AJ618" s="123"/>
      <c r="AK618" s="123"/>
    </row>
    <row r="619" spans="1:37" ht="14.25" customHeight="1" x14ac:dyDescent="0.2">
      <c r="A619" s="123"/>
      <c r="C619" s="123"/>
      <c r="AB619" s="123"/>
      <c r="AC619" s="123"/>
      <c r="AD619" s="125"/>
      <c r="AE619" s="123"/>
      <c r="AF619" s="123"/>
      <c r="AG619" s="123"/>
      <c r="AH619" s="123"/>
      <c r="AI619" s="123"/>
      <c r="AJ619" s="123"/>
      <c r="AK619" s="123"/>
    </row>
    <row r="620" spans="1:37" ht="14.25" customHeight="1" x14ac:dyDescent="0.2">
      <c r="A620" s="123"/>
      <c r="C620" s="123"/>
      <c r="AB620" s="123"/>
      <c r="AC620" s="123"/>
      <c r="AD620" s="125"/>
      <c r="AE620" s="123"/>
      <c r="AF620" s="123"/>
      <c r="AG620" s="123"/>
      <c r="AH620" s="123"/>
      <c r="AI620" s="123"/>
      <c r="AJ620" s="123"/>
      <c r="AK620" s="123"/>
    </row>
    <row r="621" spans="1:37" ht="14.25" customHeight="1" x14ac:dyDescent="0.2">
      <c r="A621" s="123"/>
      <c r="C621" s="123"/>
      <c r="AB621" s="123"/>
      <c r="AC621" s="123"/>
      <c r="AD621" s="125"/>
      <c r="AE621" s="123"/>
      <c r="AF621" s="123"/>
      <c r="AG621" s="123"/>
      <c r="AH621" s="123"/>
      <c r="AI621" s="123"/>
      <c r="AJ621" s="123"/>
      <c r="AK621" s="123"/>
    </row>
    <row r="622" spans="1:37" ht="14.25" customHeight="1" x14ac:dyDescent="0.2">
      <c r="A622" s="123"/>
      <c r="C622" s="123"/>
      <c r="AB622" s="123"/>
      <c r="AC622" s="123"/>
      <c r="AD622" s="125"/>
      <c r="AE622" s="123"/>
      <c r="AF622" s="123"/>
      <c r="AG622" s="123"/>
      <c r="AH622" s="123"/>
      <c r="AI622" s="123"/>
      <c r="AJ622" s="123"/>
      <c r="AK622" s="123"/>
    </row>
    <row r="623" spans="1:37" ht="14.25" customHeight="1" x14ac:dyDescent="0.2">
      <c r="A623" s="123"/>
      <c r="C623" s="123"/>
      <c r="AB623" s="123"/>
      <c r="AC623" s="123"/>
      <c r="AD623" s="125"/>
      <c r="AE623" s="123"/>
      <c r="AF623" s="123"/>
      <c r="AG623" s="123"/>
      <c r="AH623" s="123"/>
      <c r="AI623" s="123"/>
      <c r="AJ623" s="123"/>
      <c r="AK623" s="123"/>
    </row>
    <row r="624" spans="1:37" ht="14.25" customHeight="1" x14ac:dyDescent="0.2">
      <c r="A624" s="123"/>
      <c r="C624" s="123"/>
      <c r="AB624" s="123"/>
      <c r="AC624" s="123"/>
      <c r="AD624" s="125"/>
      <c r="AE624" s="123"/>
      <c r="AF624" s="123"/>
      <c r="AG624" s="123"/>
      <c r="AH624" s="123"/>
      <c r="AI624" s="123"/>
      <c r="AJ624" s="123"/>
      <c r="AK624" s="123"/>
    </row>
    <row r="625" spans="1:37" ht="14.25" customHeight="1" x14ac:dyDescent="0.2">
      <c r="A625" s="123"/>
      <c r="C625" s="123"/>
      <c r="AB625" s="123"/>
      <c r="AC625" s="123"/>
      <c r="AD625" s="125"/>
      <c r="AE625" s="123"/>
      <c r="AF625" s="123"/>
      <c r="AG625" s="123"/>
      <c r="AH625" s="123"/>
      <c r="AI625" s="123"/>
      <c r="AJ625" s="123"/>
      <c r="AK625" s="123"/>
    </row>
    <row r="626" spans="1:37" ht="14.25" customHeight="1" x14ac:dyDescent="0.2">
      <c r="A626" s="123"/>
      <c r="C626" s="123"/>
      <c r="AB626" s="123"/>
      <c r="AC626" s="123"/>
      <c r="AD626" s="125"/>
      <c r="AE626" s="123"/>
      <c r="AF626" s="123"/>
      <c r="AG626" s="123"/>
      <c r="AH626" s="123"/>
      <c r="AI626" s="123"/>
      <c r="AJ626" s="123"/>
      <c r="AK626" s="123"/>
    </row>
    <row r="627" spans="1:37" ht="14.25" customHeight="1" x14ac:dyDescent="0.2">
      <c r="A627" s="123"/>
      <c r="C627" s="123"/>
      <c r="AB627" s="123"/>
      <c r="AC627" s="123"/>
      <c r="AD627" s="125"/>
      <c r="AE627" s="123"/>
      <c r="AF627" s="123"/>
      <c r="AG627" s="123"/>
      <c r="AH627" s="123"/>
      <c r="AI627" s="123"/>
      <c r="AJ627" s="123"/>
      <c r="AK627" s="123"/>
    </row>
    <row r="628" spans="1:37" ht="14.25" customHeight="1" x14ac:dyDescent="0.2">
      <c r="A628" s="123"/>
      <c r="C628" s="123"/>
      <c r="AB628" s="123"/>
      <c r="AC628" s="123"/>
      <c r="AD628" s="125"/>
      <c r="AE628" s="123"/>
      <c r="AF628" s="123"/>
      <c r="AG628" s="123"/>
      <c r="AH628" s="123"/>
      <c r="AI628" s="123"/>
      <c r="AJ628" s="123"/>
      <c r="AK628" s="123"/>
    </row>
    <row r="629" spans="1:37" ht="14.25" customHeight="1" x14ac:dyDescent="0.2">
      <c r="A629" s="123"/>
      <c r="C629" s="123"/>
      <c r="AB629" s="123"/>
      <c r="AC629" s="123"/>
      <c r="AD629" s="125"/>
      <c r="AE629" s="123"/>
      <c r="AF629" s="123"/>
      <c r="AG629" s="123"/>
      <c r="AH629" s="123"/>
      <c r="AI629" s="123"/>
      <c r="AJ629" s="123"/>
      <c r="AK629" s="123"/>
    </row>
    <row r="630" spans="1:37" ht="14.25" customHeight="1" x14ac:dyDescent="0.2">
      <c r="A630" s="123"/>
      <c r="C630" s="123"/>
      <c r="AB630" s="123"/>
      <c r="AC630" s="123"/>
      <c r="AD630" s="125"/>
      <c r="AE630" s="123"/>
      <c r="AF630" s="123"/>
      <c r="AG630" s="123"/>
      <c r="AH630" s="123"/>
      <c r="AI630" s="123"/>
      <c r="AJ630" s="123"/>
      <c r="AK630" s="123"/>
    </row>
    <row r="631" spans="1:37" ht="14.25" customHeight="1" x14ac:dyDescent="0.2">
      <c r="A631" s="123"/>
      <c r="C631" s="123"/>
      <c r="AB631" s="123"/>
      <c r="AC631" s="123"/>
      <c r="AD631" s="125"/>
      <c r="AE631" s="123"/>
      <c r="AF631" s="123"/>
      <c r="AG631" s="123"/>
      <c r="AH631" s="123"/>
      <c r="AI631" s="123"/>
      <c r="AJ631" s="123"/>
      <c r="AK631" s="123"/>
    </row>
    <row r="632" spans="1:37" ht="14.25" customHeight="1" x14ac:dyDescent="0.2">
      <c r="A632" s="123"/>
      <c r="C632" s="123"/>
      <c r="AB632" s="123"/>
      <c r="AC632" s="123"/>
      <c r="AD632" s="125"/>
      <c r="AE632" s="123"/>
      <c r="AF632" s="123"/>
      <c r="AG632" s="123"/>
      <c r="AH632" s="123"/>
      <c r="AI632" s="123"/>
      <c r="AJ632" s="123"/>
      <c r="AK632" s="123"/>
    </row>
    <row r="633" spans="1:37" ht="14.25" customHeight="1" x14ac:dyDescent="0.2">
      <c r="A633" s="123"/>
      <c r="C633" s="123"/>
      <c r="AB633" s="123"/>
      <c r="AC633" s="123"/>
      <c r="AD633" s="125"/>
      <c r="AE633" s="123"/>
      <c r="AF633" s="123"/>
      <c r="AG633" s="123"/>
      <c r="AH633" s="123"/>
      <c r="AI633" s="123"/>
      <c r="AJ633" s="123"/>
      <c r="AK633" s="123"/>
    </row>
    <row r="634" spans="1:37" ht="14.25" customHeight="1" x14ac:dyDescent="0.2">
      <c r="A634" s="123"/>
      <c r="C634" s="123"/>
      <c r="AB634" s="123"/>
      <c r="AC634" s="123"/>
      <c r="AD634" s="125"/>
      <c r="AE634" s="123"/>
      <c r="AF634" s="123"/>
      <c r="AG634" s="123"/>
      <c r="AH634" s="123"/>
      <c r="AI634" s="123"/>
      <c r="AJ634" s="123"/>
      <c r="AK634" s="123"/>
    </row>
    <row r="635" spans="1:37" ht="14.25" customHeight="1" x14ac:dyDescent="0.2">
      <c r="A635" s="123"/>
      <c r="C635" s="123"/>
      <c r="AB635" s="123"/>
      <c r="AC635" s="123"/>
      <c r="AD635" s="125"/>
      <c r="AE635" s="123"/>
      <c r="AF635" s="123"/>
      <c r="AG635" s="123"/>
      <c r="AH635" s="123"/>
      <c r="AI635" s="123"/>
      <c r="AJ635" s="123"/>
      <c r="AK635" s="123"/>
    </row>
    <row r="636" spans="1:37" ht="14.25" customHeight="1" x14ac:dyDescent="0.2">
      <c r="A636" s="123"/>
      <c r="C636" s="123"/>
      <c r="AB636" s="123"/>
      <c r="AC636" s="123"/>
      <c r="AD636" s="125"/>
      <c r="AE636" s="123"/>
      <c r="AF636" s="123"/>
      <c r="AG636" s="123"/>
      <c r="AH636" s="123"/>
      <c r="AI636" s="123"/>
      <c r="AJ636" s="123"/>
      <c r="AK636" s="123"/>
    </row>
    <row r="637" spans="1:37" ht="14.25" customHeight="1" x14ac:dyDescent="0.2">
      <c r="A637" s="123"/>
      <c r="C637" s="123"/>
      <c r="AB637" s="123"/>
      <c r="AC637" s="123"/>
      <c r="AD637" s="125"/>
      <c r="AE637" s="123"/>
      <c r="AF637" s="123"/>
      <c r="AG637" s="123"/>
      <c r="AH637" s="123"/>
      <c r="AI637" s="123"/>
      <c r="AJ637" s="123"/>
      <c r="AK637" s="123"/>
    </row>
    <row r="638" spans="1:37" ht="14.25" customHeight="1" x14ac:dyDescent="0.2">
      <c r="A638" s="123"/>
      <c r="C638" s="123"/>
      <c r="AB638" s="123"/>
      <c r="AC638" s="123"/>
      <c r="AD638" s="125"/>
      <c r="AE638" s="123"/>
      <c r="AF638" s="123"/>
      <c r="AG638" s="123"/>
      <c r="AH638" s="123"/>
      <c r="AI638" s="123"/>
      <c r="AJ638" s="123"/>
      <c r="AK638" s="123"/>
    </row>
    <row r="639" spans="1:37" ht="14.25" customHeight="1" x14ac:dyDescent="0.2">
      <c r="A639" s="123"/>
      <c r="C639" s="123"/>
      <c r="AB639" s="123"/>
      <c r="AC639" s="123"/>
      <c r="AD639" s="125"/>
      <c r="AE639" s="123"/>
      <c r="AF639" s="123"/>
      <c r="AG639" s="123"/>
      <c r="AH639" s="123"/>
      <c r="AI639" s="123"/>
      <c r="AJ639" s="123"/>
      <c r="AK639" s="123"/>
    </row>
    <row r="640" spans="1:37" ht="14.25" customHeight="1" x14ac:dyDescent="0.2">
      <c r="A640" s="123"/>
      <c r="C640" s="123"/>
      <c r="AB640" s="123"/>
      <c r="AC640" s="123"/>
      <c r="AD640" s="125"/>
      <c r="AE640" s="123"/>
      <c r="AF640" s="123"/>
      <c r="AG640" s="123"/>
      <c r="AH640" s="123"/>
      <c r="AI640" s="123"/>
      <c r="AJ640" s="123"/>
      <c r="AK640" s="123"/>
    </row>
    <row r="641" spans="1:37" ht="14.25" customHeight="1" x14ac:dyDescent="0.2">
      <c r="A641" s="123"/>
      <c r="C641" s="123"/>
      <c r="AB641" s="123"/>
      <c r="AC641" s="123"/>
      <c r="AD641" s="125"/>
      <c r="AE641" s="123"/>
      <c r="AF641" s="123"/>
      <c r="AG641" s="123"/>
      <c r="AH641" s="123"/>
      <c r="AI641" s="123"/>
      <c r="AJ641" s="123"/>
      <c r="AK641" s="123"/>
    </row>
    <row r="642" spans="1:37" ht="14.25" customHeight="1" x14ac:dyDescent="0.2">
      <c r="A642" s="123"/>
      <c r="C642" s="123"/>
      <c r="AB642" s="123"/>
      <c r="AC642" s="123"/>
      <c r="AD642" s="125"/>
      <c r="AE642" s="123"/>
      <c r="AF642" s="123"/>
      <c r="AG642" s="123"/>
      <c r="AH642" s="123"/>
      <c r="AI642" s="123"/>
      <c r="AJ642" s="123"/>
      <c r="AK642" s="123"/>
    </row>
    <row r="643" spans="1:37" ht="14.25" customHeight="1" x14ac:dyDescent="0.2">
      <c r="A643" s="123"/>
      <c r="C643" s="123"/>
      <c r="AB643" s="123"/>
      <c r="AC643" s="123"/>
      <c r="AD643" s="125"/>
      <c r="AE643" s="123"/>
      <c r="AF643" s="123"/>
      <c r="AG643" s="123"/>
      <c r="AH643" s="123"/>
      <c r="AI643" s="123"/>
      <c r="AJ643" s="123"/>
      <c r="AK643" s="123"/>
    </row>
    <row r="644" spans="1:37" ht="14.25" customHeight="1" x14ac:dyDescent="0.2">
      <c r="A644" s="123"/>
      <c r="C644" s="123"/>
      <c r="AB644" s="123"/>
      <c r="AC644" s="123"/>
      <c r="AD644" s="125"/>
      <c r="AE644" s="123"/>
      <c r="AF644" s="123"/>
      <c r="AG644" s="123"/>
      <c r="AH644" s="123"/>
      <c r="AI644" s="123"/>
      <c r="AJ644" s="123"/>
      <c r="AK644" s="123"/>
    </row>
    <row r="645" spans="1:37" ht="14.25" customHeight="1" x14ac:dyDescent="0.2">
      <c r="A645" s="123"/>
      <c r="C645" s="123"/>
      <c r="AB645" s="123"/>
      <c r="AC645" s="123"/>
      <c r="AD645" s="125"/>
      <c r="AE645" s="123"/>
      <c r="AF645" s="123"/>
      <c r="AG645" s="123"/>
      <c r="AH645" s="123"/>
      <c r="AI645" s="123"/>
      <c r="AJ645" s="123"/>
      <c r="AK645" s="123"/>
    </row>
    <row r="646" spans="1:37" ht="14.25" customHeight="1" x14ac:dyDescent="0.2">
      <c r="A646" s="123"/>
      <c r="C646" s="123"/>
      <c r="AB646" s="123"/>
      <c r="AC646" s="123"/>
      <c r="AD646" s="125"/>
      <c r="AE646" s="123"/>
      <c r="AF646" s="123"/>
      <c r="AG646" s="123"/>
      <c r="AH646" s="123"/>
      <c r="AI646" s="123"/>
      <c r="AJ646" s="123"/>
      <c r="AK646" s="123"/>
    </row>
    <row r="647" spans="1:37" ht="14.25" customHeight="1" x14ac:dyDescent="0.2">
      <c r="A647" s="123"/>
      <c r="C647" s="123"/>
      <c r="AB647" s="123"/>
      <c r="AC647" s="123"/>
      <c r="AD647" s="125"/>
      <c r="AE647" s="123"/>
      <c r="AF647" s="123"/>
      <c r="AG647" s="123"/>
      <c r="AH647" s="123"/>
      <c r="AI647" s="123"/>
      <c r="AJ647" s="123"/>
      <c r="AK647" s="123"/>
    </row>
    <row r="648" spans="1:37" ht="14.25" customHeight="1" x14ac:dyDescent="0.2">
      <c r="A648" s="123"/>
      <c r="C648" s="123"/>
      <c r="AB648" s="123"/>
      <c r="AC648" s="123"/>
      <c r="AD648" s="125"/>
      <c r="AE648" s="123"/>
      <c r="AF648" s="123"/>
      <c r="AG648" s="123"/>
      <c r="AH648" s="123"/>
      <c r="AI648" s="123"/>
      <c r="AJ648" s="123"/>
      <c r="AK648" s="123"/>
    </row>
    <row r="649" spans="1:37" ht="14.25" customHeight="1" x14ac:dyDescent="0.2">
      <c r="A649" s="123"/>
      <c r="C649" s="123"/>
      <c r="AB649" s="123"/>
      <c r="AC649" s="123"/>
      <c r="AD649" s="125"/>
      <c r="AE649" s="123"/>
      <c r="AF649" s="123"/>
      <c r="AG649" s="123"/>
      <c r="AH649" s="123"/>
      <c r="AI649" s="123"/>
      <c r="AJ649" s="123"/>
      <c r="AK649" s="123"/>
    </row>
    <row r="650" spans="1:37" ht="14.25" customHeight="1" x14ac:dyDescent="0.2">
      <c r="A650" s="123"/>
      <c r="C650" s="123"/>
      <c r="AB650" s="123"/>
      <c r="AC650" s="123"/>
      <c r="AD650" s="125"/>
      <c r="AE650" s="123"/>
      <c r="AF650" s="123"/>
      <c r="AG650" s="123"/>
      <c r="AH650" s="123"/>
      <c r="AI650" s="123"/>
      <c r="AJ650" s="123"/>
      <c r="AK650" s="123"/>
    </row>
    <row r="651" spans="1:37" ht="14.25" customHeight="1" x14ac:dyDescent="0.2">
      <c r="A651" s="123"/>
      <c r="C651" s="123"/>
      <c r="AB651" s="123"/>
      <c r="AC651" s="123"/>
      <c r="AD651" s="125"/>
      <c r="AE651" s="123"/>
      <c r="AF651" s="123"/>
      <c r="AG651" s="123"/>
      <c r="AH651" s="123"/>
      <c r="AI651" s="123"/>
      <c r="AJ651" s="123"/>
      <c r="AK651" s="123"/>
    </row>
    <row r="652" spans="1:37" ht="14.25" customHeight="1" x14ac:dyDescent="0.2">
      <c r="A652" s="123"/>
      <c r="C652" s="123"/>
      <c r="AB652" s="123"/>
      <c r="AC652" s="123"/>
      <c r="AD652" s="125"/>
      <c r="AE652" s="123"/>
      <c r="AF652" s="123"/>
      <c r="AG652" s="123"/>
      <c r="AH652" s="123"/>
      <c r="AI652" s="123"/>
      <c r="AJ652" s="123"/>
      <c r="AK652" s="123"/>
    </row>
    <row r="653" spans="1:37" ht="14.25" customHeight="1" x14ac:dyDescent="0.2">
      <c r="A653" s="123"/>
      <c r="C653" s="123"/>
      <c r="AB653" s="123"/>
      <c r="AC653" s="123"/>
      <c r="AD653" s="125"/>
      <c r="AE653" s="123"/>
      <c r="AF653" s="123"/>
      <c r="AG653" s="123"/>
      <c r="AH653" s="123"/>
      <c r="AI653" s="123"/>
      <c r="AJ653" s="123"/>
      <c r="AK653" s="123"/>
    </row>
    <row r="654" spans="1:37" ht="14.25" customHeight="1" x14ac:dyDescent="0.2">
      <c r="A654" s="123"/>
      <c r="C654" s="123"/>
      <c r="AB654" s="123"/>
      <c r="AC654" s="123"/>
      <c r="AD654" s="125"/>
      <c r="AE654" s="123"/>
      <c r="AF654" s="123"/>
      <c r="AG654" s="123"/>
      <c r="AH654" s="123"/>
      <c r="AI654" s="123"/>
      <c r="AJ654" s="123"/>
      <c r="AK654" s="123"/>
    </row>
    <row r="655" spans="1:37" ht="14.25" customHeight="1" x14ac:dyDescent="0.2">
      <c r="A655" s="123"/>
      <c r="C655" s="123"/>
      <c r="AB655" s="123"/>
      <c r="AC655" s="123"/>
      <c r="AD655" s="125"/>
      <c r="AE655" s="123"/>
      <c r="AF655" s="123"/>
      <c r="AG655" s="123"/>
      <c r="AH655" s="123"/>
      <c r="AI655" s="123"/>
      <c r="AJ655" s="123"/>
      <c r="AK655" s="123"/>
    </row>
    <row r="656" spans="1:37" ht="14.25" customHeight="1" x14ac:dyDescent="0.2">
      <c r="A656" s="123"/>
      <c r="C656" s="123"/>
      <c r="AB656" s="123"/>
      <c r="AC656" s="123"/>
      <c r="AD656" s="125"/>
      <c r="AE656" s="123"/>
      <c r="AF656" s="123"/>
      <c r="AG656" s="123"/>
      <c r="AH656" s="123"/>
      <c r="AI656" s="123"/>
      <c r="AJ656" s="123"/>
      <c r="AK656" s="123"/>
    </row>
    <row r="657" spans="1:37" ht="14.25" customHeight="1" x14ac:dyDescent="0.2">
      <c r="A657" s="123"/>
      <c r="C657" s="123"/>
      <c r="AB657" s="123"/>
      <c r="AC657" s="123"/>
      <c r="AD657" s="125"/>
      <c r="AE657" s="123"/>
      <c r="AF657" s="123"/>
      <c r="AG657" s="123"/>
      <c r="AH657" s="123"/>
      <c r="AI657" s="123"/>
      <c r="AJ657" s="123"/>
      <c r="AK657" s="123"/>
    </row>
    <row r="658" spans="1:37" ht="14.25" customHeight="1" x14ac:dyDescent="0.2">
      <c r="A658" s="123"/>
      <c r="C658" s="123"/>
      <c r="AB658" s="123"/>
      <c r="AC658" s="123"/>
      <c r="AD658" s="125"/>
      <c r="AE658" s="123"/>
      <c r="AF658" s="123"/>
      <c r="AG658" s="123"/>
      <c r="AH658" s="123"/>
      <c r="AI658" s="123"/>
      <c r="AJ658" s="123"/>
      <c r="AK658" s="123"/>
    </row>
    <row r="659" spans="1:37" ht="14.25" customHeight="1" x14ac:dyDescent="0.2">
      <c r="A659" s="123"/>
      <c r="C659" s="123"/>
      <c r="AB659" s="123"/>
      <c r="AC659" s="123"/>
      <c r="AD659" s="125"/>
      <c r="AE659" s="123"/>
      <c r="AF659" s="123"/>
      <c r="AG659" s="123"/>
      <c r="AH659" s="123"/>
      <c r="AI659" s="123"/>
      <c r="AJ659" s="123"/>
      <c r="AK659" s="123"/>
    </row>
    <row r="660" spans="1:37" ht="14.25" customHeight="1" x14ac:dyDescent="0.2">
      <c r="A660" s="123"/>
      <c r="C660" s="123"/>
      <c r="AB660" s="123"/>
      <c r="AC660" s="123"/>
      <c r="AD660" s="125"/>
      <c r="AE660" s="123"/>
      <c r="AF660" s="123"/>
      <c r="AG660" s="123"/>
      <c r="AH660" s="123"/>
      <c r="AI660" s="123"/>
      <c r="AJ660" s="123"/>
      <c r="AK660" s="123"/>
    </row>
    <row r="661" spans="1:37" ht="14.25" customHeight="1" x14ac:dyDescent="0.2">
      <c r="A661" s="123"/>
      <c r="C661" s="123"/>
      <c r="AB661" s="123"/>
      <c r="AC661" s="123"/>
      <c r="AD661" s="125"/>
      <c r="AE661" s="123"/>
      <c r="AF661" s="123"/>
      <c r="AG661" s="123"/>
      <c r="AH661" s="123"/>
      <c r="AI661" s="123"/>
      <c r="AJ661" s="123"/>
      <c r="AK661" s="123"/>
    </row>
    <row r="662" spans="1:37" ht="14.25" customHeight="1" x14ac:dyDescent="0.2">
      <c r="A662" s="123"/>
      <c r="C662" s="123"/>
      <c r="AB662" s="123"/>
      <c r="AC662" s="123"/>
      <c r="AD662" s="125"/>
      <c r="AE662" s="123"/>
      <c r="AF662" s="123"/>
      <c r="AG662" s="123"/>
      <c r="AH662" s="123"/>
      <c r="AI662" s="123"/>
      <c r="AJ662" s="123"/>
      <c r="AK662" s="123"/>
    </row>
    <row r="663" spans="1:37" ht="14.25" customHeight="1" x14ac:dyDescent="0.2">
      <c r="A663" s="123"/>
      <c r="C663" s="123"/>
      <c r="AB663" s="123"/>
      <c r="AC663" s="123"/>
      <c r="AD663" s="125"/>
      <c r="AE663" s="123"/>
      <c r="AF663" s="123"/>
      <c r="AG663" s="123"/>
      <c r="AH663" s="123"/>
      <c r="AI663" s="123"/>
      <c r="AJ663" s="123"/>
      <c r="AK663" s="123"/>
    </row>
    <row r="664" spans="1:37" ht="14.25" customHeight="1" x14ac:dyDescent="0.2">
      <c r="A664" s="123"/>
      <c r="C664" s="123"/>
      <c r="AB664" s="123"/>
      <c r="AC664" s="123"/>
      <c r="AD664" s="125"/>
      <c r="AE664" s="123"/>
      <c r="AF664" s="123"/>
      <c r="AG664" s="123"/>
      <c r="AH664" s="123"/>
      <c r="AI664" s="123"/>
      <c r="AJ664" s="123"/>
      <c r="AK664" s="123"/>
    </row>
    <row r="665" spans="1:37" ht="14.25" customHeight="1" x14ac:dyDescent="0.2">
      <c r="A665" s="123"/>
      <c r="C665" s="123"/>
      <c r="AB665" s="123"/>
      <c r="AC665" s="123"/>
      <c r="AD665" s="125"/>
      <c r="AE665" s="123"/>
      <c r="AF665" s="123"/>
      <c r="AG665" s="123"/>
      <c r="AH665" s="123"/>
      <c r="AI665" s="123"/>
      <c r="AJ665" s="123"/>
      <c r="AK665" s="123"/>
    </row>
    <row r="666" spans="1:37" ht="14.25" customHeight="1" x14ac:dyDescent="0.2">
      <c r="A666" s="123"/>
      <c r="C666" s="123"/>
      <c r="AB666" s="123"/>
      <c r="AC666" s="123"/>
      <c r="AD666" s="125"/>
      <c r="AE666" s="123"/>
      <c r="AF666" s="123"/>
      <c r="AG666" s="123"/>
      <c r="AH666" s="123"/>
      <c r="AI666" s="123"/>
      <c r="AJ666" s="123"/>
      <c r="AK666" s="123"/>
    </row>
    <row r="667" spans="1:37" ht="14.25" customHeight="1" x14ac:dyDescent="0.2">
      <c r="A667" s="123"/>
      <c r="C667" s="123"/>
      <c r="AB667" s="123"/>
      <c r="AC667" s="123"/>
      <c r="AD667" s="125"/>
      <c r="AE667" s="123"/>
      <c r="AF667" s="123"/>
      <c r="AG667" s="123"/>
      <c r="AH667" s="123"/>
      <c r="AI667" s="123"/>
      <c r="AJ667" s="123"/>
      <c r="AK667" s="123"/>
    </row>
    <row r="668" spans="1:37" ht="14.25" customHeight="1" x14ac:dyDescent="0.2">
      <c r="A668" s="123"/>
      <c r="C668" s="123"/>
      <c r="AB668" s="123"/>
      <c r="AC668" s="123"/>
      <c r="AD668" s="125"/>
      <c r="AE668" s="123"/>
      <c r="AF668" s="123"/>
      <c r="AG668" s="123"/>
      <c r="AH668" s="123"/>
      <c r="AI668" s="123"/>
      <c r="AJ668" s="123"/>
      <c r="AK668" s="123"/>
    </row>
    <row r="669" spans="1:37" ht="14.25" customHeight="1" x14ac:dyDescent="0.2">
      <c r="A669" s="123"/>
      <c r="C669" s="123"/>
      <c r="AB669" s="123"/>
      <c r="AC669" s="123"/>
      <c r="AD669" s="125"/>
      <c r="AE669" s="123"/>
      <c r="AF669" s="123"/>
      <c r="AG669" s="123"/>
      <c r="AH669" s="123"/>
      <c r="AI669" s="123"/>
      <c r="AJ669" s="123"/>
      <c r="AK669" s="123"/>
    </row>
    <row r="670" spans="1:37" ht="14.25" customHeight="1" x14ac:dyDescent="0.2">
      <c r="A670" s="123"/>
      <c r="C670" s="123"/>
      <c r="AB670" s="123"/>
      <c r="AC670" s="123"/>
      <c r="AD670" s="125"/>
      <c r="AE670" s="123"/>
      <c r="AF670" s="123"/>
      <c r="AG670" s="123"/>
      <c r="AH670" s="123"/>
      <c r="AI670" s="123"/>
      <c r="AJ670" s="123"/>
      <c r="AK670" s="123"/>
    </row>
    <row r="671" spans="1:37" ht="14.25" customHeight="1" x14ac:dyDescent="0.2">
      <c r="A671" s="123"/>
      <c r="C671" s="123"/>
      <c r="AB671" s="123"/>
      <c r="AC671" s="123"/>
      <c r="AD671" s="125"/>
      <c r="AE671" s="123"/>
      <c r="AF671" s="123"/>
      <c r="AG671" s="123"/>
      <c r="AH671" s="123"/>
      <c r="AI671" s="123"/>
      <c r="AJ671" s="123"/>
      <c r="AK671" s="123"/>
    </row>
    <row r="672" spans="1:37" ht="14.25" customHeight="1" x14ac:dyDescent="0.2">
      <c r="A672" s="123"/>
      <c r="C672" s="123"/>
      <c r="AB672" s="123"/>
      <c r="AC672" s="123"/>
      <c r="AD672" s="125"/>
      <c r="AE672" s="123"/>
      <c r="AF672" s="123"/>
      <c r="AG672" s="123"/>
      <c r="AH672" s="123"/>
      <c r="AI672" s="123"/>
      <c r="AJ672" s="123"/>
      <c r="AK672" s="123"/>
    </row>
    <row r="673" spans="1:37" ht="14.25" customHeight="1" x14ac:dyDescent="0.2">
      <c r="A673" s="123"/>
      <c r="C673" s="123"/>
      <c r="AB673" s="123"/>
      <c r="AC673" s="123"/>
      <c r="AD673" s="125"/>
      <c r="AE673" s="123"/>
      <c r="AF673" s="123"/>
      <c r="AG673" s="123"/>
      <c r="AH673" s="123"/>
      <c r="AI673" s="123"/>
      <c r="AJ673" s="123"/>
      <c r="AK673" s="123"/>
    </row>
    <row r="674" spans="1:37" ht="14.25" customHeight="1" x14ac:dyDescent="0.2">
      <c r="A674" s="123"/>
      <c r="C674" s="123"/>
      <c r="AB674" s="123"/>
      <c r="AC674" s="123"/>
      <c r="AD674" s="125"/>
      <c r="AE674" s="123"/>
      <c r="AF674" s="123"/>
      <c r="AG674" s="123"/>
      <c r="AH674" s="123"/>
      <c r="AI674" s="123"/>
      <c r="AJ674" s="123"/>
      <c r="AK674" s="123"/>
    </row>
    <row r="675" spans="1:37" ht="14.25" customHeight="1" x14ac:dyDescent="0.2">
      <c r="A675" s="123"/>
      <c r="C675" s="123"/>
      <c r="AB675" s="123"/>
      <c r="AC675" s="123"/>
      <c r="AD675" s="125"/>
      <c r="AE675" s="123"/>
      <c r="AF675" s="123"/>
      <c r="AG675" s="123"/>
      <c r="AH675" s="123"/>
      <c r="AI675" s="123"/>
      <c r="AJ675" s="123"/>
      <c r="AK675" s="123"/>
    </row>
    <row r="676" spans="1:37" ht="14.25" customHeight="1" x14ac:dyDescent="0.2">
      <c r="A676" s="123"/>
      <c r="C676" s="123"/>
      <c r="AB676" s="123"/>
      <c r="AC676" s="123"/>
      <c r="AD676" s="125"/>
      <c r="AE676" s="123"/>
      <c r="AF676" s="123"/>
      <c r="AG676" s="123"/>
      <c r="AH676" s="123"/>
      <c r="AI676" s="123"/>
      <c r="AJ676" s="123"/>
      <c r="AK676" s="123"/>
    </row>
    <row r="677" spans="1:37" ht="14.25" customHeight="1" x14ac:dyDescent="0.2">
      <c r="A677" s="123"/>
      <c r="C677" s="123"/>
      <c r="AB677" s="123"/>
      <c r="AC677" s="123"/>
      <c r="AD677" s="125"/>
      <c r="AE677" s="123"/>
      <c r="AF677" s="123"/>
      <c r="AG677" s="123"/>
      <c r="AH677" s="123"/>
      <c r="AI677" s="123"/>
      <c r="AJ677" s="123"/>
      <c r="AK677" s="123"/>
    </row>
    <row r="678" spans="1:37" ht="14.25" customHeight="1" x14ac:dyDescent="0.2">
      <c r="A678" s="123"/>
      <c r="C678" s="123"/>
      <c r="AB678" s="123"/>
      <c r="AC678" s="123"/>
      <c r="AD678" s="125"/>
      <c r="AE678" s="123"/>
      <c r="AF678" s="123"/>
      <c r="AG678" s="123"/>
      <c r="AH678" s="123"/>
      <c r="AI678" s="123"/>
      <c r="AJ678" s="123"/>
      <c r="AK678" s="123"/>
    </row>
    <row r="679" spans="1:37" ht="14.25" customHeight="1" x14ac:dyDescent="0.2">
      <c r="A679" s="123"/>
      <c r="C679" s="123"/>
      <c r="AB679" s="123"/>
      <c r="AC679" s="123"/>
      <c r="AD679" s="125"/>
      <c r="AE679" s="123"/>
      <c r="AF679" s="123"/>
      <c r="AG679" s="123"/>
      <c r="AH679" s="123"/>
      <c r="AI679" s="123"/>
      <c r="AJ679" s="123"/>
      <c r="AK679" s="123"/>
    </row>
    <row r="680" spans="1:37" ht="14.25" customHeight="1" x14ac:dyDescent="0.2">
      <c r="A680" s="123"/>
      <c r="C680" s="123"/>
      <c r="AB680" s="123"/>
      <c r="AC680" s="123"/>
      <c r="AD680" s="125"/>
      <c r="AE680" s="123"/>
      <c r="AF680" s="123"/>
      <c r="AG680" s="123"/>
      <c r="AH680" s="123"/>
      <c r="AI680" s="123"/>
      <c r="AJ680" s="123"/>
      <c r="AK680" s="123"/>
    </row>
    <row r="681" spans="1:37" ht="14.25" customHeight="1" x14ac:dyDescent="0.2">
      <c r="A681" s="123"/>
      <c r="C681" s="123"/>
      <c r="AB681" s="123"/>
      <c r="AC681" s="123"/>
      <c r="AD681" s="125"/>
      <c r="AE681" s="123"/>
      <c r="AF681" s="123"/>
      <c r="AG681" s="123"/>
      <c r="AH681" s="123"/>
      <c r="AI681" s="123"/>
      <c r="AJ681" s="123"/>
      <c r="AK681" s="123"/>
    </row>
    <row r="682" spans="1:37" ht="14.25" customHeight="1" x14ac:dyDescent="0.2">
      <c r="A682" s="123"/>
      <c r="C682" s="123"/>
      <c r="AB682" s="123"/>
      <c r="AC682" s="123"/>
      <c r="AD682" s="125"/>
      <c r="AE682" s="123"/>
      <c r="AF682" s="123"/>
      <c r="AG682" s="123"/>
      <c r="AH682" s="123"/>
      <c r="AI682" s="123"/>
      <c r="AJ682" s="123"/>
      <c r="AK682" s="123"/>
    </row>
    <row r="683" spans="1:37" ht="14.25" customHeight="1" x14ac:dyDescent="0.2">
      <c r="A683" s="123"/>
      <c r="C683" s="123"/>
      <c r="AB683" s="123"/>
      <c r="AC683" s="123"/>
      <c r="AD683" s="125"/>
      <c r="AE683" s="123"/>
      <c r="AF683" s="123"/>
      <c r="AG683" s="123"/>
      <c r="AH683" s="123"/>
      <c r="AI683" s="123"/>
      <c r="AJ683" s="123"/>
      <c r="AK683" s="123"/>
    </row>
    <row r="684" spans="1:37" ht="14.25" customHeight="1" x14ac:dyDescent="0.2">
      <c r="A684" s="123"/>
      <c r="C684" s="123"/>
      <c r="AB684" s="123"/>
      <c r="AC684" s="123"/>
      <c r="AD684" s="125"/>
      <c r="AE684" s="123"/>
      <c r="AF684" s="123"/>
      <c r="AG684" s="123"/>
      <c r="AH684" s="123"/>
      <c r="AI684" s="123"/>
      <c r="AJ684" s="123"/>
      <c r="AK684" s="123"/>
    </row>
    <row r="685" spans="1:37" ht="14.25" customHeight="1" x14ac:dyDescent="0.2">
      <c r="A685" s="123"/>
      <c r="C685" s="123"/>
      <c r="AB685" s="123"/>
      <c r="AC685" s="123"/>
      <c r="AD685" s="125"/>
      <c r="AE685" s="123"/>
      <c r="AF685" s="123"/>
      <c r="AG685" s="123"/>
      <c r="AH685" s="123"/>
      <c r="AI685" s="123"/>
      <c r="AJ685" s="123"/>
      <c r="AK685" s="123"/>
    </row>
    <row r="686" spans="1:37" ht="14.25" customHeight="1" x14ac:dyDescent="0.2">
      <c r="A686" s="123"/>
      <c r="C686" s="123"/>
      <c r="AB686" s="123"/>
      <c r="AC686" s="123"/>
      <c r="AD686" s="125"/>
      <c r="AE686" s="123"/>
      <c r="AF686" s="123"/>
      <c r="AG686" s="123"/>
      <c r="AH686" s="123"/>
      <c r="AI686" s="123"/>
      <c r="AJ686" s="123"/>
      <c r="AK686" s="123"/>
    </row>
    <row r="687" spans="1:37" ht="14.25" customHeight="1" x14ac:dyDescent="0.2">
      <c r="A687" s="123"/>
      <c r="C687" s="123"/>
      <c r="AB687" s="123"/>
      <c r="AC687" s="123"/>
      <c r="AD687" s="125"/>
      <c r="AE687" s="123"/>
      <c r="AF687" s="123"/>
      <c r="AG687" s="123"/>
      <c r="AH687" s="123"/>
      <c r="AI687" s="123"/>
      <c r="AJ687" s="123"/>
      <c r="AK687" s="123"/>
    </row>
    <row r="688" spans="1:37" ht="14.25" customHeight="1" x14ac:dyDescent="0.2">
      <c r="A688" s="123"/>
      <c r="C688" s="123"/>
      <c r="AB688" s="123"/>
      <c r="AC688" s="123"/>
      <c r="AD688" s="125"/>
      <c r="AE688" s="123"/>
      <c r="AF688" s="123"/>
      <c r="AG688" s="123"/>
      <c r="AH688" s="123"/>
      <c r="AI688" s="123"/>
      <c r="AJ688" s="123"/>
      <c r="AK688" s="123"/>
    </row>
    <row r="689" spans="1:37" ht="14.25" customHeight="1" x14ac:dyDescent="0.2">
      <c r="A689" s="123"/>
      <c r="C689" s="123"/>
      <c r="AB689" s="123"/>
      <c r="AC689" s="123"/>
      <c r="AD689" s="125"/>
      <c r="AE689" s="123"/>
      <c r="AF689" s="123"/>
      <c r="AG689" s="123"/>
      <c r="AH689" s="123"/>
      <c r="AI689" s="123"/>
      <c r="AJ689" s="123"/>
      <c r="AK689" s="123"/>
    </row>
    <row r="690" spans="1:37" ht="14.25" customHeight="1" x14ac:dyDescent="0.2">
      <c r="A690" s="123"/>
      <c r="C690" s="123"/>
      <c r="AB690" s="123"/>
      <c r="AC690" s="123"/>
      <c r="AD690" s="125"/>
      <c r="AE690" s="123"/>
      <c r="AF690" s="123"/>
      <c r="AG690" s="123"/>
      <c r="AH690" s="123"/>
      <c r="AI690" s="123"/>
      <c r="AJ690" s="123"/>
      <c r="AK690" s="123"/>
    </row>
    <row r="691" spans="1:37" ht="14.25" customHeight="1" x14ac:dyDescent="0.2">
      <c r="A691" s="123"/>
      <c r="C691" s="123"/>
      <c r="AB691" s="123"/>
      <c r="AC691" s="123"/>
      <c r="AD691" s="125"/>
      <c r="AE691" s="123"/>
      <c r="AF691" s="123"/>
      <c r="AG691" s="123"/>
      <c r="AH691" s="123"/>
      <c r="AI691" s="123"/>
      <c r="AJ691" s="123"/>
      <c r="AK691" s="123"/>
    </row>
    <row r="692" spans="1:37" ht="14.25" customHeight="1" x14ac:dyDescent="0.2">
      <c r="A692" s="123"/>
      <c r="C692" s="123"/>
      <c r="AB692" s="123"/>
      <c r="AC692" s="123"/>
      <c r="AD692" s="125"/>
      <c r="AE692" s="123"/>
      <c r="AF692" s="123"/>
      <c r="AG692" s="123"/>
      <c r="AH692" s="123"/>
      <c r="AI692" s="123"/>
      <c r="AJ692" s="123"/>
      <c r="AK692" s="123"/>
    </row>
    <row r="693" spans="1:37" ht="14.25" customHeight="1" x14ac:dyDescent="0.2">
      <c r="A693" s="123"/>
      <c r="C693" s="123"/>
      <c r="AB693" s="123"/>
      <c r="AC693" s="123"/>
      <c r="AD693" s="125"/>
      <c r="AE693" s="123"/>
      <c r="AF693" s="123"/>
      <c r="AG693" s="123"/>
      <c r="AH693" s="123"/>
      <c r="AI693" s="123"/>
      <c r="AJ693" s="123"/>
      <c r="AK693" s="123"/>
    </row>
    <row r="694" spans="1:37" ht="14.25" customHeight="1" x14ac:dyDescent="0.2">
      <c r="A694" s="123"/>
      <c r="C694" s="123"/>
      <c r="AB694" s="123"/>
      <c r="AC694" s="123"/>
      <c r="AD694" s="125"/>
      <c r="AE694" s="123"/>
      <c r="AF694" s="123"/>
      <c r="AG694" s="123"/>
      <c r="AH694" s="123"/>
      <c r="AI694" s="123"/>
      <c r="AJ694" s="123"/>
      <c r="AK694" s="123"/>
    </row>
    <row r="695" spans="1:37" ht="14.25" customHeight="1" x14ac:dyDescent="0.2">
      <c r="A695" s="123"/>
      <c r="C695" s="123"/>
      <c r="AB695" s="123"/>
      <c r="AC695" s="123"/>
      <c r="AD695" s="125"/>
      <c r="AE695" s="123"/>
      <c r="AF695" s="123"/>
      <c r="AG695" s="123"/>
      <c r="AH695" s="123"/>
      <c r="AI695" s="123"/>
      <c r="AJ695" s="123"/>
      <c r="AK695" s="123"/>
    </row>
    <row r="696" spans="1:37" ht="14.25" customHeight="1" x14ac:dyDescent="0.2">
      <c r="A696" s="123"/>
      <c r="C696" s="123"/>
      <c r="AB696" s="123"/>
      <c r="AC696" s="123"/>
      <c r="AD696" s="125"/>
      <c r="AE696" s="123"/>
      <c r="AF696" s="123"/>
      <c r="AG696" s="123"/>
      <c r="AH696" s="123"/>
      <c r="AI696" s="123"/>
      <c r="AJ696" s="123"/>
      <c r="AK696" s="123"/>
    </row>
    <row r="697" spans="1:37" ht="14.25" customHeight="1" x14ac:dyDescent="0.2">
      <c r="A697" s="123"/>
      <c r="C697" s="123"/>
      <c r="AB697" s="123"/>
      <c r="AC697" s="123"/>
      <c r="AD697" s="125"/>
      <c r="AE697" s="123"/>
      <c r="AF697" s="123"/>
      <c r="AG697" s="123"/>
      <c r="AH697" s="123"/>
      <c r="AI697" s="123"/>
      <c r="AJ697" s="123"/>
      <c r="AK697" s="123"/>
    </row>
    <row r="698" spans="1:37" ht="14.25" customHeight="1" x14ac:dyDescent="0.2">
      <c r="A698" s="123"/>
      <c r="C698" s="123"/>
      <c r="AB698" s="123"/>
      <c r="AC698" s="123"/>
      <c r="AD698" s="125"/>
      <c r="AE698" s="123"/>
      <c r="AF698" s="123"/>
      <c r="AG698" s="123"/>
      <c r="AH698" s="123"/>
      <c r="AI698" s="123"/>
      <c r="AJ698" s="123"/>
      <c r="AK698" s="123"/>
    </row>
    <row r="699" spans="1:37" ht="14.25" customHeight="1" x14ac:dyDescent="0.2">
      <c r="A699" s="123"/>
      <c r="C699" s="123"/>
      <c r="AB699" s="123"/>
      <c r="AC699" s="123"/>
      <c r="AD699" s="125"/>
      <c r="AE699" s="123"/>
      <c r="AF699" s="123"/>
      <c r="AG699" s="123"/>
      <c r="AH699" s="123"/>
      <c r="AI699" s="123"/>
      <c r="AJ699" s="123"/>
      <c r="AK699" s="123"/>
    </row>
    <row r="700" spans="1:37" ht="14.25" customHeight="1" x14ac:dyDescent="0.2">
      <c r="A700" s="123"/>
      <c r="C700" s="123"/>
      <c r="AB700" s="123"/>
      <c r="AC700" s="123"/>
      <c r="AD700" s="125"/>
      <c r="AE700" s="123"/>
      <c r="AF700" s="123"/>
      <c r="AG700" s="123"/>
      <c r="AH700" s="123"/>
      <c r="AI700" s="123"/>
      <c r="AJ700" s="123"/>
      <c r="AK700" s="123"/>
    </row>
    <row r="701" spans="1:37" ht="14.25" customHeight="1" x14ac:dyDescent="0.2">
      <c r="A701" s="123"/>
      <c r="C701" s="123"/>
      <c r="AB701" s="123"/>
      <c r="AC701" s="123"/>
      <c r="AD701" s="125"/>
      <c r="AE701" s="123"/>
      <c r="AF701" s="123"/>
      <c r="AG701" s="123"/>
      <c r="AH701" s="123"/>
      <c r="AI701" s="123"/>
      <c r="AJ701" s="123"/>
      <c r="AK701" s="123"/>
    </row>
    <row r="702" spans="1:37" ht="14.25" customHeight="1" x14ac:dyDescent="0.2">
      <c r="A702" s="123"/>
      <c r="C702" s="123"/>
      <c r="AB702" s="123"/>
      <c r="AC702" s="123"/>
      <c r="AD702" s="125"/>
      <c r="AE702" s="123"/>
      <c r="AF702" s="123"/>
      <c r="AG702" s="123"/>
      <c r="AH702" s="123"/>
      <c r="AI702" s="123"/>
      <c r="AJ702" s="123"/>
      <c r="AK702" s="123"/>
    </row>
    <row r="703" spans="1:37" ht="14.25" customHeight="1" x14ac:dyDescent="0.2">
      <c r="A703" s="123"/>
      <c r="C703" s="123"/>
      <c r="AB703" s="123"/>
      <c r="AC703" s="123"/>
      <c r="AD703" s="125"/>
      <c r="AE703" s="123"/>
      <c r="AF703" s="123"/>
      <c r="AG703" s="123"/>
      <c r="AH703" s="123"/>
      <c r="AI703" s="123"/>
      <c r="AJ703" s="123"/>
      <c r="AK703" s="123"/>
    </row>
    <row r="704" spans="1:37" ht="14.25" customHeight="1" x14ac:dyDescent="0.2">
      <c r="A704" s="123"/>
      <c r="C704" s="123"/>
      <c r="AB704" s="123"/>
      <c r="AC704" s="123"/>
      <c r="AD704" s="125"/>
      <c r="AE704" s="123"/>
      <c r="AF704" s="123"/>
      <c r="AG704" s="123"/>
      <c r="AH704" s="123"/>
      <c r="AI704" s="123"/>
      <c r="AJ704" s="123"/>
      <c r="AK704" s="123"/>
    </row>
    <row r="705" spans="1:37" ht="14.25" customHeight="1" x14ac:dyDescent="0.2">
      <c r="A705" s="123"/>
      <c r="C705" s="123"/>
      <c r="AB705" s="123"/>
      <c r="AC705" s="123"/>
      <c r="AD705" s="125"/>
      <c r="AE705" s="123"/>
      <c r="AF705" s="123"/>
      <c r="AG705" s="123"/>
      <c r="AH705" s="123"/>
      <c r="AI705" s="123"/>
      <c r="AJ705" s="123"/>
      <c r="AK705" s="123"/>
    </row>
    <row r="706" spans="1:37" ht="14.25" customHeight="1" x14ac:dyDescent="0.2">
      <c r="A706" s="123"/>
      <c r="C706" s="123"/>
      <c r="AB706" s="123"/>
      <c r="AC706" s="123"/>
      <c r="AD706" s="125"/>
      <c r="AE706" s="123"/>
      <c r="AF706" s="123"/>
      <c r="AG706" s="123"/>
      <c r="AH706" s="123"/>
      <c r="AI706" s="123"/>
      <c r="AJ706" s="123"/>
      <c r="AK706" s="123"/>
    </row>
    <row r="707" spans="1:37" ht="14.25" customHeight="1" x14ac:dyDescent="0.2">
      <c r="A707" s="123"/>
      <c r="C707" s="123"/>
      <c r="AB707" s="123"/>
      <c r="AC707" s="123"/>
      <c r="AD707" s="125"/>
      <c r="AE707" s="123"/>
      <c r="AF707" s="123"/>
      <c r="AG707" s="123"/>
      <c r="AH707" s="123"/>
      <c r="AI707" s="123"/>
      <c r="AJ707" s="123"/>
      <c r="AK707" s="123"/>
    </row>
    <row r="708" spans="1:37" ht="14.25" customHeight="1" x14ac:dyDescent="0.2">
      <c r="A708" s="123"/>
      <c r="C708" s="123"/>
      <c r="AB708" s="123"/>
      <c r="AC708" s="123"/>
      <c r="AD708" s="125"/>
      <c r="AE708" s="123"/>
      <c r="AF708" s="123"/>
      <c r="AG708" s="123"/>
      <c r="AH708" s="123"/>
      <c r="AI708" s="123"/>
      <c r="AJ708" s="123"/>
      <c r="AK708" s="123"/>
    </row>
    <row r="709" spans="1:37" ht="14.25" customHeight="1" x14ac:dyDescent="0.2">
      <c r="A709" s="123"/>
      <c r="C709" s="123"/>
      <c r="AB709" s="123"/>
      <c r="AC709" s="123"/>
      <c r="AD709" s="125"/>
      <c r="AE709" s="123"/>
      <c r="AF709" s="123"/>
      <c r="AG709" s="123"/>
      <c r="AH709" s="123"/>
      <c r="AI709" s="123"/>
      <c r="AJ709" s="123"/>
      <c r="AK709" s="123"/>
    </row>
    <row r="710" spans="1:37" ht="14.25" customHeight="1" x14ac:dyDescent="0.2">
      <c r="A710" s="123"/>
      <c r="C710" s="123"/>
      <c r="AB710" s="123"/>
      <c r="AC710" s="123"/>
      <c r="AD710" s="125"/>
      <c r="AE710" s="123"/>
      <c r="AF710" s="123"/>
      <c r="AG710" s="123"/>
      <c r="AH710" s="123"/>
      <c r="AI710" s="123"/>
      <c r="AJ710" s="123"/>
      <c r="AK710" s="123"/>
    </row>
    <row r="711" spans="1:37" ht="14.25" customHeight="1" x14ac:dyDescent="0.2">
      <c r="A711" s="123"/>
      <c r="C711" s="123"/>
      <c r="AB711" s="123"/>
      <c r="AC711" s="123"/>
      <c r="AD711" s="125"/>
      <c r="AE711" s="123"/>
      <c r="AF711" s="123"/>
      <c r="AG711" s="123"/>
      <c r="AH711" s="123"/>
      <c r="AI711" s="123"/>
      <c r="AJ711" s="123"/>
      <c r="AK711" s="123"/>
    </row>
    <row r="712" spans="1:37" ht="14.25" customHeight="1" x14ac:dyDescent="0.2">
      <c r="A712" s="123"/>
      <c r="C712" s="123"/>
      <c r="AB712" s="123"/>
      <c r="AC712" s="123"/>
      <c r="AD712" s="125"/>
      <c r="AE712" s="123"/>
      <c r="AF712" s="123"/>
      <c r="AG712" s="123"/>
      <c r="AH712" s="123"/>
      <c r="AI712" s="123"/>
      <c r="AJ712" s="123"/>
      <c r="AK712" s="123"/>
    </row>
    <row r="713" spans="1:37" ht="14.25" customHeight="1" x14ac:dyDescent="0.2">
      <c r="A713" s="123"/>
      <c r="C713" s="123"/>
      <c r="AB713" s="123"/>
      <c r="AC713" s="123"/>
      <c r="AD713" s="125"/>
      <c r="AE713" s="123"/>
      <c r="AF713" s="123"/>
      <c r="AG713" s="123"/>
      <c r="AH713" s="123"/>
      <c r="AI713" s="123"/>
      <c r="AJ713" s="123"/>
      <c r="AK713" s="123"/>
    </row>
    <row r="714" spans="1:37" ht="14.25" customHeight="1" x14ac:dyDescent="0.2">
      <c r="A714" s="123"/>
      <c r="C714" s="123"/>
      <c r="AB714" s="123"/>
      <c r="AC714" s="123"/>
      <c r="AD714" s="125"/>
      <c r="AE714" s="123"/>
      <c r="AF714" s="123"/>
      <c r="AG714" s="123"/>
      <c r="AH714" s="123"/>
      <c r="AI714" s="123"/>
      <c r="AJ714" s="123"/>
      <c r="AK714" s="123"/>
    </row>
    <row r="715" spans="1:37" ht="14.25" customHeight="1" x14ac:dyDescent="0.2">
      <c r="A715" s="123"/>
      <c r="C715" s="123"/>
      <c r="AB715" s="123"/>
      <c r="AC715" s="123"/>
      <c r="AD715" s="125"/>
      <c r="AE715" s="123"/>
      <c r="AF715" s="123"/>
      <c r="AG715" s="123"/>
      <c r="AH715" s="123"/>
      <c r="AI715" s="123"/>
      <c r="AJ715" s="123"/>
      <c r="AK715" s="123"/>
    </row>
    <row r="716" spans="1:37" ht="14.25" customHeight="1" x14ac:dyDescent="0.2">
      <c r="A716" s="123"/>
      <c r="C716" s="123"/>
      <c r="AB716" s="123"/>
      <c r="AC716" s="123"/>
      <c r="AD716" s="125"/>
      <c r="AE716" s="123"/>
      <c r="AF716" s="123"/>
      <c r="AG716" s="123"/>
      <c r="AH716" s="123"/>
      <c r="AI716" s="123"/>
      <c r="AJ716" s="123"/>
      <c r="AK716" s="123"/>
    </row>
    <row r="717" spans="1:37" ht="14.25" customHeight="1" x14ac:dyDescent="0.2">
      <c r="A717" s="123"/>
      <c r="C717" s="123"/>
      <c r="AB717" s="123"/>
      <c r="AC717" s="123"/>
      <c r="AD717" s="125"/>
      <c r="AE717" s="123"/>
      <c r="AF717" s="123"/>
      <c r="AG717" s="123"/>
      <c r="AH717" s="123"/>
      <c r="AI717" s="123"/>
      <c r="AJ717" s="123"/>
      <c r="AK717" s="123"/>
    </row>
    <row r="718" spans="1:37" ht="14.25" customHeight="1" x14ac:dyDescent="0.2">
      <c r="A718" s="123"/>
      <c r="C718" s="123"/>
      <c r="AB718" s="123"/>
      <c r="AC718" s="123"/>
      <c r="AD718" s="125"/>
      <c r="AE718" s="123"/>
      <c r="AF718" s="123"/>
      <c r="AG718" s="123"/>
      <c r="AH718" s="123"/>
      <c r="AI718" s="123"/>
      <c r="AJ718" s="123"/>
      <c r="AK718" s="123"/>
    </row>
    <row r="719" spans="1:37" ht="14.25" customHeight="1" x14ac:dyDescent="0.2">
      <c r="A719" s="123"/>
      <c r="C719" s="123"/>
      <c r="AB719" s="123"/>
      <c r="AC719" s="123"/>
      <c r="AD719" s="125"/>
      <c r="AE719" s="123"/>
      <c r="AF719" s="123"/>
      <c r="AG719" s="123"/>
      <c r="AH719" s="123"/>
      <c r="AI719" s="123"/>
      <c r="AJ719" s="123"/>
      <c r="AK719" s="123"/>
    </row>
    <row r="720" spans="1:37" ht="14.25" customHeight="1" x14ac:dyDescent="0.2">
      <c r="A720" s="123"/>
      <c r="C720" s="123"/>
      <c r="AB720" s="123"/>
      <c r="AC720" s="123"/>
      <c r="AD720" s="125"/>
      <c r="AE720" s="123"/>
      <c r="AF720" s="123"/>
      <c r="AG720" s="123"/>
      <c r="AH720" s="123"/>
      <c r="AI720" s="123"/>
      <c r="AJ720" s="123"/>
      <c r="AK720" s="123"/>
    </row>
    <row r="721" spans="1:37" ht="14.25" customHeight="1" x14ac:dyDescent="0.2">
      <c r="A721" s="123"/>
      <c r="C721" s="123"/>
      <c r="AB721" s="123"/>
      <c r="AC721" s="123"/>
      <c r="AD721" s="125"/>
      <c r="AE721" s="123"/>
      <c r="AF721" s="123"/>
      <c r="AG721" s="123"/>
      <c r="AH721" s="123"/>
      <c r="AI721" s="123"/>
      <c r="AJ721" s="123"/>
      <c r="AK721" s="123"/>
    </row>
    <row r="722" spans="1:37" ht="14.25" customHeight="1" x14ac:dyDescent="0.2">
      <c r="A722" s="123"/>
      <c r="C722" s="123"/>
      <c r="AB722" s="123"/>
      <c r="AC722" s="123"/>
      <c r="AD722" s="125"/>
      <c r="AE722" s="123"/>
      <c r="AF722" s="123"/>
      <c r="AG722" s="123"/>
      <c r="AH722" s="123"/>
      <c r="AI722" s="123"/>
      <c r="AJ722" s="123"/>
      <c r="AK722" s="123"/>
    </row>
    <row r="723" spans="1:37" ht="14.25" customHeight="1" x14ac:dyDescent="0.2">
      <c r="A723" s="123"/>
      <c r="C723" s="123"/>
      <c r="AB723" s="123"/>
      <c r="AC723" s="123"/>
      <c r="AD723" s="125"/>
      <c r="AE723" s="123"/>
      <c r="AF723" s="123"/>
      <c r="AG723" s="123"/>
      <c r="AH723" s="123"/>
      <c r="AI723" s="123"/>
      <c r="AJ723" s="123"/>
      <c r="AK723" s="123"/>
    </row>
    <row r="724" spans="1:37" ht="14.25" customHeight="1" x14ac:dyDescent="0.2">
      <c r="A724" s="123"/>
      <c r="C724" s="123"/>
      <c r="AB724" s="123"/>
      <c r="AC724" s="123"/>
      <c r="AD724" s="125"/>
      <c r="AE724" s="123"/>
      <c r="AF724" s="123"/>
      <c r="AG724" s="123"/>
      <c r="AH724" s="123"/>
      <c r="AI724" s="123"/>
      <c r="AJ724" s="123"/>
      <c r="AK724" s="123"/>
    </row>
    <row r="725" spans="1:37" ht="14.25" customHeight="1" x14ac:dyDescent="0.2">
      <c r="A725" s="123"/>
      <c r="C725" s="123"/>
      <c r="AB725" s="123"/>
      <c r="AC725" s="123"/>
      <c r="AD725" s="125"/>
      <c r="AE725" s="123"/>
      <c r="AF725" s="123"/>
      <c r="AG725" s="123"/>
      <c r="AH725" s="123"/>
      <c r="AI725" s="123"/>
      <c r="AJ725" s="123"/>
      <c r="AK725" s="123"/>
    </row>
    <row r="726" spans="1:37" ht="14.25" customHeight="1" x14ac:dyDescent="0.2">
      <c r="A726" s="123"/>
      <c r="C726" s="123"/>
      <c r="AB726" s="123"/>
      <c r="AC726" s="123"/>
      <c r="AD726" s="125"/>
      <c r="AE726" s="123"/>
      <c r="AF726" s="123"/>
      <c r="AG726" s="123"/>
      <c r="AH726" s="123"/>
      <c r="AI726" s="123"/>
      <c r="AJ726" s="123"/>
      <c r="AK726" s="123"/>
    </row>
    <row r="727" spans="1:37" ht="14.25" customHeight="1" x14ac:dyDescent="0.2">
      <c r="A727" s="123"/>
      <c r="C727" s="123"/>
      <c r="AB727" s="123"/>
      <c r="AC727" s="123"/>
      <c r="AD727" s="125"/>
      <c r="AE727" s="123"/>
      <c r="AF727" s="123"/>
      <c r="AG727" s="123"/>
      <c r="AH727" s="123"/>
      <c r="AI727" s="123"/>
      <c r="AJ727" s="123"/>
      <c r="AK727" s="123"/>
    </row>
    <row r="728" spans="1:37" ht="14.25" customHeight="1" x14ac:dyDescent="0.2">
      <c r="A728" s="123"/>
      <c r="C728" s="123"/>
      <c r="AB728" s="123"/>
      <c r="AC728" s="123"/>
      <c r="AD728" s="125"/>
      <c r="AE728" s="123"/>
      <c r="AF728" s="123"/>
      <c r="AG728" s="123"/>
      <c r="AH728" s="123"/>
      <c r="AI728" s="123"/>
      <c r="AJ728" s="123"/>
      <c r="AK728" s="123"/>
    </row>
    <row r="729" spans="1:37" ht="14.25" customHeight="1" x14ac:dyDescent="0.2">
      <c r="A729" s="123"/>
      <c r="C729" s="123"/>
      <c r="AB729" s="123"/>
      <c r="AC729" s="123"/>
      <c r="AD729" s="125"/>
      <c r="AE729" s="123"/>
      <c r="AF729" s="123"/>
      <c r="AG729" s="123"/>
      <c r="AH729" s="123"/>
      <c r="AI729" s="123"/>
      <c r="AJ729" s="123"/>
      <c r="AK729" s="123"/>
    </row>
    <row r="730" spans="1:37" ht="14.25" customHeight="1" x14ac:dyDescent="0.2">
      <c r="A730" s="123"/>
      <c r="C730" s="123"/>
      <c r="AB730" s="123"/>
      <c r="AC730" s="123"/>
      <c r="AD730" s="125"/>
      <c r="AE730" s="123"/>
      <c r="AF730" s="123"/>
      <c r="AG730" s="123"/>
      <c r="AH730" s="123"/>
      <c r="AI730" s="123"/>
      <c r="AJ730" s="123"/>
      <c r="AK730" s="123"/>
    </row>
    <row r="731" spans="1:37" ht="14.25" customHeight="1" x14ac:dyDescent="0.2">
      <c r="A731" s="123"/>
      <c r="C731" s="123"/>
      <c r="AB731" s="123"/>
      <c r="AC731" s="123"/>
      <c r="AD731" s="125"/>
      <c r="AE731" s="123"/>
      <c r="AF731" s="123"/>
      <c r="AG731" s="123"/>
      <c r="AH731" s="123"/>
      <c r="AI731" s="123"/>
      <c r="AJ731" s="123"/>
      <c r="AK731" s="123"/>
    </row>
    <row r="732" spans="1:37" ht="14.25" customHeight="1" x14ac:dyDescent="0.2">
      <c r="A732" s="123"/>
      <c r="C732" s="123"/>
      <c r="AB732" s="123"/>
      <c r="AC732" s="123"/>
      <c r="AD732" s="125"/>
      <c r="AE732" s="123"/>
      <c r="AF732" s="123"/>
      <c r="AG732" s="123"/>
      <c r="AH732" s="123"/>
      <c r="AI732" s="123"/>
      <c r="AJ732" s="123"/>
      <c r="AK732" s="123"/>
    </row>
    <row r="733" spans="1:37" ht="14.25" customHeight="1" x14ac:dyDescent="0.2">
      <c r="A733" s="123"/>
      <c r="C733" s="123"/>
      <c r="AB733" s="123"/>
      <c r="AC733" s="123"/>
      <c r="AD733" s="125"/>
      <c r="AE733" s="123"/>
      <c r="AF733" s="123"/>
      <c r="AG733" s="123"/>
      <c r="AH733" s="123"/>
      <c r="AI733" s="123"/>
      <c r="AJ733" s="123"/>
      <c r="AK733" s="123"/>
    </row>
    <row r="734" spans="1:37" ht="14.25" customHeight="1" x14ac:dyDescent="0.2">
      <c r="A734" s="123"/>
      <c r="C734" s="123"/>
      <c r="AB734" s="123"/>
      <c r="AC734" s="123"/>
      <c r="AD734" s="125"/>
      <c r="AE734" s="123"/>
      <c r="AF734" s="123"/>
      <c r="AG734" s="123"/>
      <c r="AH734" s="123"/>
      <c r="AI734" s="123"/>
      <c r="AJ734" s="123"/>
      <c r="AK734" s="123"/>
    </row>
    <row r="735" spans="1:37" ht="14.25" customHeight="1" x14ac:dyDescent="0.2">
      <c r="A735" s="123"/>
      <c r="C735" s="123"/>
      <c r="AB735" s="123"/>
      <c r="AC735" s="123"/>
      <c r="AD735" s="125"/>
      <c r="AE735" s="123"/>
      <c r="AF735" s="123"/>
      <c r="AG735" s="123"/>
      <c r="AH735" s="123"/>
      <c r="AI735" s="123"/>
      <c r="AJ735" s="123"/>
      <c r="AK735" s="123"/>
    </row>
    <row r="736" spans="1:37" ht="14.25" customHeight="1" x14ac:dyDescent="0.2">
      <c r="A736" s="123"/>
      <c r="C736" s="123"/>
      <c r="AB736" s="123"/>
      <c r="AC736" s="123"/>
      <c r="AD736" s="125"/>
      <c r="AE736" s="123"/>
      <c r="AF736" s="123"/>
      <c r="AG736" s="123"/>
      <c r="AH736" s="123"/>
      <c r="AI736" s="123"/>
      <c r="AJ736" s="123"/>
      <c r="AK736" s="123"/>
    </row>
    <row r="737" spans="1:37" ht="14.25" customHeight="1" x14ac:dyDescent="0.2">
      <c r="A737" s="123"/>
      <c r="C737" s="123"/>
      <c r="AB737" s="123"/>
      <c r="AC737" s="123"/>
      <c r="AD737" s="125"/>
      <c r="AE737" s="123"/>
      <c r="AF737" s="123"/>
      <c r="AG737" s="123"/>
      <c r="AH737" s="123"/>
      <c r="AI737" s="123"/>
      <c r="AJ737" s="123"/>
      <c r="AK737" s="123"/>
    </row>
    <row r="738" spans="1:37" ht="14.25" customHeight="1" x14ac:dyDescent="0.2">
      <c r="A738" s="123"/>
      <c r="C738" s="123"/>
      <c r="AB738" s="123"/>
      <c r="AC738" s="123"/>
      <c r="AD738" s="125"/>
      <c r="AE738" s="123"/>
      <c r="AF738" s="123"/>
      <c r="AG738" s="123"/>
      <c r="AH738" s="123"/>
      <c r="AI738" s="123"/>
      <c r="AJ738" s="123"/>
      <c r="AK738" s="123"/>
    </row>
    <row r="739" spans="1:37" ht="14.25" customHeight="1" x14ac:dyDescent="0.2">
      <c r="A739" s="123"/>
      <c r="C739" s="123"/>
      <c r="AB739" s="123"/>
      <c r="AC739" s="123"/>
      <c r="AD739" s="125"/>
      <c r="AE739" s="123"/>
      <c r="AF739" s="123"/>
      <c r="AG739" s="123"/>
      <c r="AH739" s="123"/>
      <c r="AI739" s="123"/>
      <c r="AJ739" s="123"/>
      <c r="AK739" s="123"/>
    </row>
    <row r="740" spans="1:37" ht="14.25" customHeight="1" x14ac:dyDescent="0.2">
      <c r="A740" s="123"/>
      <c r="C740" s="123"/>
      <c r="AB740" s="123"/>
      <c r="AC740" s="123"/>
      <c r="AD740" s="125"/>
      <c r="AE740" s="123"/>
      <c r="AF740" s="123"/>
      <c r="AG740" s="123"/>
      <c r="AH740" s="123"/>
      <c r="AI740" s="123"/>
      <c r="AJ740" s="123"/>
      <c r="AK740" s="123"/>
    </row>
    <row r="741" spans="1:37" ht="14.25" customHeight="1" x14ac:dyDescent="0.2">
      <c r="A741" s="123"/>
      <c r="C741" s="123"/>
      <c r="AB741" s="123"/>
      <c r="AC741" s="123"/>
      <c r="AD741" s="125"/>
      <c r="AE741" s="123"/>
      <c r="AF741" s="123"/>
      <c r="AG741" s="123"/>
      <c r="AH741" s="123"/>
      <c r="AI741" s="123"/>
      <c r="AJ741" s="123"/>
      <c r="AK741" s="123"/>
    </row>
    <row r="742" spans="1:37" ht="14.25" customHeight="1" x14ac:dyDescent="0.2">
      <c r="A742" s="123"/>
      <c r="C742" s="123"/>
      <c r="AB742" s="123"/>
      <c r="AC742" s="123"/>
      <c r="AD742" s="125"/>
      <c r="AE742" s="123"/>
      <c r="AF742" s="123"/>
      <c r="AG742" s="123"/>
      <c r="AH742" s="123"/>
      <c r="AI742" s="123"/>
      <c r="AJ742" s="123"/>
      <c r="AK742" s="123"/>
    </row>
    <row r="743" spans="1:37" ht="14.25" customHeight="1" x14ac:dyDescent="0.2">
      <c r="A743" s="123"/>
      <c r="C743" s="123"/>
      <c r="AB743" s="123"/>
      <c r="AC743" s="123"/>
      <c r="AD743" s="125"/>
      <c r="AE743" s="123"/>
      <c r="AF743" s="123"/>
      <c r="AG743" s="123"/>
      <c r="AH743" s="123"/>
      <c r="AI743" s="123"/>
      <c r="AJ743" s="123"/>
      <c r="AK743" s="123"/>
    </row>
    <row r="744" spans="1:37" ht="14.25" customHeight="1" x14ac:dyDescent="0.2">
      <c r="A744" s="123"/>
      <c r="C744" s="123"/>
      <c r="AB744" s="123"/>
      <c r="AC744" s="123"/>
      <c r="AD744" s="125"/>
      <c r="AE744" s="123"/>
      <c r="AF744" s="123"/>
      <c r="AG744" s="123"/>
      <c r="AH744" s="123"/>
      <c r="AI744" s="123"/>
      <c r="AJ744" s="123"/>
      <c r="AK744" s="123"/>
    </row>
    <row r="745" spans="1:37" ht="14.25" customHeight="1" x14ac:dyDescent="0.2">
      <c r="A745" s="123"/>
      <c r="C745" s="123"/>
      <c r="AB745" s="123"/>
      <c r="AC745" s="123"/>
      <c r="AD745" s="125"/>
      <c r="AE745" s="123"/>
      <c r="AF745" s="123"/>
      <c r="AG745" s="123"/>
      <c r="AH745" s="123"/>
      <c r="AI745" s="123"/>
      <c r="AJ745" s="123"/>
      <c r="AK745" s="123"/>
    </row>
    <row r="746" spans="1:37" ht="14.25" customHeight="1" x14ac:dyDescent="0.2">
      <c r="A746" s="123"/>
      <c r="C746" s="123"/>
      <c r="AB746" s="123"/>
      <c r="AC746" s="123"/>
      <c r="AD746" s="125"/>
      <c r="AE746" s="123"/>
      <c r="AF746" s="123"/>
      <c r="AG746" s="123"/>
      <c r="AH746" s="123"/>
      <c r="AI746" s="123"/>
      <c r="AJ746" s="123"/>
      <c r="AK746" s="123"/>
    </row>
    <row r="747" spans="1:37" ht="14.25" customHeight="1" x14ac:dyDescent="0.2">
      <c r="A747" s="123"/>
      <c r="C747" s="123"/>
      <c r="AB747" s="123"/>
      <c r="AC747" s="123"/>
      <c r="AD747" s="125"/>
      <c r="AE747" s="123"/>
      <c r="AF747" s="123"/>
      <c r="AG747" s="123"/>
      <c r="AH747" s="123"/>
      <c r="AI747" s="123"/>
      <c r="AJ747" s="123"/>
      <c r="AK747" s="123"/>
    </row>
    <row r="748" spans="1:37" ht="14.25" customHeight="1" x14ac:dyDescent="0.2">
      <c r="A748" s="123"/>
      <c r="C748" s="123"/>
      <c r="AB748" s="123"/>
      <c r="AC748" s="123"/>
      <c r="AD748" s="125"/>
      <c r="AE748" s="123"/>
      <c r="AF748" s="123"/>
      <c r="AG748" s="123"/>
      <c r="AH748" s="123"/>
      <c r="AI748" s="123"/>
      <c r="AJ748" s="123"/>
      <c r="AK748" s="123"/>
    </row>
    <row r="749" spans="1:37" ht="14.25" customHeight="1" x14ac:dyDescent="0.2">
      <c r="A749" s="123"/>
      <c r="C749" s="123"/>
      <c r="AB749" s="123"/>
      <c r="AC749" s="123"/>
      <c r="AD749" s="125"/>
      <c r="AE749" s="123"/>
      <c r="AF749" s="123"/>
      <c r="AG749" s="123"/>
      <c r="AH749" s="123"/>
      <c r="AI749" s="123"/>
      <c r="AJ749" s="123"/>
      <c r="AK749" s="123"/>
    </row>
    <row r="750" spans="1:37" ht="14.25" customHeight="1" x14ac:dyDescent="0.2">
      <c r="A750" s="123"/>
      <c r="C750" s="123"/>
      <c r="AB750" s="123"/>
      <c r="AC750" s="123"/>
      <c r="AD750" s="125"/>
      <c r="AE750" s="123"/>
      <c r="AF750" s="123"/>
      <c r="AG750" s="123"/>
      <c r="AH750" s="123"/>
      <c r="AI750" s="123"/>
      <c r="AJ750" s="123"/>
      <c r="AK750" s="123"/>
    </row>
    <row r="751" spans="1:37" ht="14.25" customHeight="1" x14ac:dyDescent="0.2">
      <c r="A751" s="123"/>
      <c r="C751" s="123"/>
      <c r="AB751" s="123"/>
      <c r="AC751" s="123"/>
      <c r="AD751" s="125"/>
      <c r="AE751" s="123"/>
      <c r="AF751" s="123"/>
      <c r="AG751" s="123"/>
      <c r="AH751" s="123"/>
      <c r="AI751" s="123"/>
      <c r="AJ751" s="123"/>
      <c r="AK751" s="123"/>
    </row>
    <row r="752" spans="1:37" ht="14.25" customHeight="1" x14ac:dyDescent="0.2">
      <c r="A752" s="123"/>
      <c r="C752" s="123"/>
      <c r="AB752" s="123"/>
      <c r="AC752" s="123"/>
      <c r="AD752" s="125"/>
      <c r="AE752" s="123"/>
      <c r="AF752" s="123"/>
      <c r="AG752" s="123"/>
      <c r="AH752" s="123"/>
      <c r="AI752" s="123"/>
      <c r="AJ752" s="123"/>
      <c r="AK752" s="123"/>
    </row>
    <row r="753" spans="1:37" ht="14.25" customHeight="1" x14ac:dyDescent="0.2">
      <c r="A753" s="123"/>
      <c r="C753" s="123"/>
      <c r="AB753" s="123"/>
      <c r="AC753" s="123"/>
      <c r="AD753" s="125"/>
      <c r="AE753" s="123"/>
      <c r="AF753" s="123"/>
      <c r="AG753" s="123"/>
      <c r="AH753" s="123"/>
      <c r="AI753" s="123"/>
      <c r="AJ753" s="123"/>
      <c r="AK753" s="123"/>
    </row>
    <row r="754" spans="1:37" ht="14.25" customHeight="1" x14ac:dyDescent="0.2">
      <c r="A754" s="123"/>
      <c r="C754" s="123"/>
      <c r="AB754" s="123"/>
      <c r="AC754" s="123"/>
      <c r="AD754" s="125"/>
      <c r="AE754" s="123"/>
      <c r="AF754" s="123"/>
      <c r="AG754" s="123"/>
      <c r="AH754" s="123"/>
      <c r="AI754" s="123"/>
      <c r="AJ754" s="123"/>
      <c r="AK754" s="123"/>
    </row>
    <row r="755" spans="1:37" ht="14.25" customHeight="1" x14ac:dyDescent="0.2">
      <c r="A755" s="123"/>
      <c r="C755" s="123"/>
      <c r="AB755" s="123"/>
      <c r="AC755" s="123"/>
      <c r="AD755" s="125"/>
      <c r="AE755" s="123"/>
      <c r="AF755" s="123"/>
      <c r="AG755" s="123"/>
      <c r="AH755" s="123"/>
      <c r="AI755" s="123"/>
      <c r="AJ755" s="123"/>
      <c r="AK755" s="123"/>
    </row>
    <row r="756" spans="1:37" ht="14.25" customHeight="1" x14ac:dyDescent="0.2">
      <c r="A756" s="123"/>
      <c r="C756" s="123"/>
      <c r="AB756" s="123"/>
      <c r="AC756" s="123"/>
      <c r="AD756" s="125"/>
      <c r="AE756" s="123"/>
      <c r="AF756" s="123"/>
      <c r="AG756" s="123"/>
      <c r="AH756" s="123"/>
      <c r="AI756" s="123"/>
      <c r="AJ756" s="123"/>
      <c r="AK756" s="123"/>
    </row>
    <row r="757" spans="1:37" ht="14.25" customHeight="1" x14ac:dyDescent="0.2">
      <c r="A757" s="123"/>
      <c r="C757" s="123"/>
      <c r="AB757" s="123"/>
      <c r="AC757" s="123"/>
      <c r="AD757" s="125"/>
      <c r="AE757" s="123"/>
      <c r="AF757" s="123"/>
      <c r="AG757" s="123"/>
      <c r="AH757" s="123"/>
      <c r="AI757" s="123"/>
      <c r="AJ757" s="123"/>
      <c r="AK757" s="123"/>
    </row>
    <row r="758" spans="1:37" ht="14.25" customHeight="1" x14ac:dyDescent="0.2">
      <c r="A758" s="123"/>
      <c r="C758" s="123"/>
      <c r="AB758" s="123"/>
      <c r="AC758" s="123"/>
      <c r="AD758" s="125"/>
      <c r="AE758" s="123"/>
      <c r="AF758" s="123"/>
      <c r="AG758" s="123"/>
      <c r="AH758" s="123"/>
      <c r="AI758" s="123"/>
      <c r="AJ758" s="123"/>
      <c r="AK758" s="123"/>
    </row>
    <row r="759" spans="1:37" ht="14.25" customHeight="1" x14ac:dyDescent="0.2">
      <c r="A759" s="123"/>
      <c r="C759" s="123"/>
      <c r="AB759" s="123"/>
      <c r="AC759" s="123"/>
      <c r="AD759" s="125"/>
      <c r="AE759" s="123"/>
      <c r="AF759" s="123"/>
      <c r="AG759" s="123"/>
      <c r="AH759" s="123"/>
      <c r="AI759" s="123"/>
      <c r="AJ759" s="123"/>
      <c r="AK759" s="123"/>
    </row>
    <row r="760" spans="1:37" ht="14.25" customHeight="1" x14ac:dyDescent="0.2">
      <c r="A760" s="123"/>
      <c r="C760" s="123"/>
      <c r="AB760" s="123"/>
      <c r="AC760" s="123"/>
      <c r="AD760" s="125"/>
      <c r="AE760" s="123"/>
      <c r="AF760" s="123"/>
      <c r="AG760" s="123"/>
      <c r="AH760" s="123"/>
      <c r="AI760" s="123"/>
      <c r="AJ760" s="123"/>
      <c r="AK760" s="123"/>
    </row>
    <row r="761" spans="1:37" ht="14.25" customHeight="1" x14ac:dyDescent="0.2">
      <c r="A761" s="123"/>
      <c r="C761" s="123"/>
      <c r="AB761" s="123"/>
      <c r="AC761" s="123"/>
      <c r="AD761" s="125"/>
      <c r="AE761" s="123"/>
      <c r="AF761" s="123"/>
      <c r="AG761" s="123"/>
      <c r="AH761" s="123"/>
      <c r="AI761" s="123"/>
      <c r="AJ761" s="123"/>
      <c r="AK761" s="123"/>
    </row>
    <row r="762" spans="1:37" ht="14.25" customHeight="1" x14ac:dyDescent="0.2">
      <c r="A762" s="123"/>
      <c r="C762" s="123"/>
      <c r="AB762" s="123"/>
      <c r="AC762" s="123"/>
      <c r="AD762" s="125"/>
      <c r="AE762" s="123"/>
      <c r="AF762" s="123"/>
      <c r="AG762" s="123"/>
      <c r="AH762" s="123"/>
      <c r="AI762" s="123"/>
      <c r="AJ762" s="123"/>
      <c r="AK762" s="123"/>
    </row>
    <row r="763" spans="1:37" ht="14.25" customHeight="1" x14ac:dyDescent="0.2">
      <c r="A763" s="123"/>
      <c r="C763" s="123"/>
      <c r="AB763" s="123"/>
      <c r="AC763" s="123"/>
      <c r="AD763" s="125"/>
      <c r="AE763" s="123"/>
      <c r="AF763" s="123"/>
      <c r="AG763" s="123"/>
      <c r="AH763" s="123"/>
      <c r="AI763" s="123"/>
      <c r="AJ763" s="123"/>
      <c r="AK763" s="123"/>
    </row>
    <row r="764" spans="1:37" ht="14.25" customHeight="1" x14ac:dyDescent="0.2">
      <c r="A764" s="123"/>
      <c r="C764" s="123"/>
      <c r="AB764" s="123"/>
      <c r="AC764" s="123"/>
      <c r="AD764" s="125"/>
      <c r="AE764" s="123"/>
      <c r="AF764" s="123"/>
      <c r="AG764" s="123"/>
      <c r="AH764" s="123"/>
      <c r="AI764" s="123"/>
      <c r="AJ764" s="123"/>
      <c r="AK764" s="123"/>
    </row>
    <row r="765" spans="1:37" ht="14.25" customHeight="1" x14ac:dyDescent="0.2">
      <c r="A765" s="123"/>
      <c r="C765" s="123"/>
      <c r="AB765" s="123"/>
      <c r="AC765" s="123"/>
      <c r="AD765" s="125"/>
      <c r="AE765" s="123"/>
      <c r="AF765" s="123"/>
      <c r="AG765" s="123"/>
      <c r="AH765" s="123"/>
      <c r="AI765" s="123"/>
      <c r="AJ765" s="123"/>
      <c r="AK765" s="123"/>
    </row>
    <row r="766" spans="1:37" ht="14.25" customHeight="1" x14ac:dyDescent="0.2">
      <c r="A766" s="123"/>
      <c r="C766" s="123"/>
      <c r="AB766" s="123"/>
      <c r="AC766" s="123"/>
      <c r="AD766" s="125"/>
      <c r="AE766" s="123"/>
      <c r="AF766" s="123"/>
      <c r="AG766" s="123"/>
      <c r="AH766" s="123"/>
      <c r="AI766" s="123"/>
      <c r="AJ766" s="123"/>
      <c r="AK766" s="123"/>
    </row>
    <row r="767" spans="1:37" ht="14.25" customHeight="1" x14ac:dyDescent="0.2">
      <c r="A767" s="123"/>
      <c r="C767" s="123"/>
      <c r="AB767" s="123"/>
      <c r="AC767" s="123"/>
      <c r="AD767" s="125"/>
      <c r="AE767" s="123"/>
      <c r="AF767" s="123"/>
      <c r="AG767" s="123"/>
      <c r="AH767" s="123"/>
      <c r="AI767" s="123"/>
      <c r="AJ767" s="123"/>
      <c r="AK767" s="123"/>
    </row>
    <row r="768" spans="1:37" ht="14.25" customHeight="1" x14ac:dyDescent="0.2">
      <c r="A768" s="123"/>
      <c r="C768" s="123"/>
      <c r="AB768" s="123"/>
      <c r="AC768" s="123"/>
      <c r="AD768" s="125"/>
      <c r="AE768" s="123"/>
      <c r="AF768" s="123"/>
      <c r="AG768" s="123"/>
      <c r="AH768" s="123"/>
      <c r="AI768" s="123"/>
      <c r="AJ768" s="123"/>
      <c r="AK768" s="123"/>
    </row>
    <row r="769" spans="1:37" ht="14.25" customHeight="1" x14ac:dyDescent="0.2">
      <c r="A769" s="123"/>
      <c r="C769" s="123"/>
      <c r="AB769" s="123"/>
      <c r="AC769" s="123"/>
      <c r="AD769" s="125"/>
      <c r="AE769" s="123"/>
      <c r="AF769" s="123"/>
      <c r="AG769" s="123"/>
      <c r="AH769" s="123"/>
      <c r="AI769" s="123"/>
      <c r="AJ769" s="123"/>
      <c r="AK769" s="123"/>
    </row>
    <row r="770" spans="1:37" ht="14.25" customHeight="1" x14ac:dyDescent="0.2">
      <c r="A770" s="123"/>
      <c r="C770" s="123"/>
      <c r="AB770" s="123"/>
      <c r="AC770" s="123"/>
      <c r="AD770" s="125"/>
      <c r="AE770" s="123"/>
      <c r="AF770" s="123"/>
      <c r="AG770" s="123"/>
      <c r="AH770" s="123"/>
      <c r="AI770" s="123"/>
      <c r="AJ770" s="123"/>
      <c r="AK770" s="123"/>
    </row>
    <row r="771" spans="1:37" ht="14.25" customHeight="1" x14ac:dyDescent="0.2">
      <c r="A771" s="123"/>
      <c r="C771" s="123"/>
      <c r="AB771" s="123"/>
      <c r="AC771" s="123"/>
      <c r="AD771" s="125"/>
      <c r="AE771" s="123"/>
      <c r="AF771" s="123"/>
      <c r="AG771" s="123"/>
      <c r="AH771" s="123"/>
      <c r="AI771" s="123"/>
      <c r="AJ771" s="123"/>
      <c r="AK771" s="123"/>
    </row>
    <row r="772" spans="1:37" ht="14.25" customHeight="1" x14ac:dyDescent="0.2">
      <c r="A772" s="123"/>
      <c r="C772" s="123"/>
      <c r="AB772" s="123"/>
      <c r="AC772" s="123"/>
      <c r="AD772" s="125"/>
      <c r="AE772" s="123"/>
      <c r="AF772" s="123"/>
      <c r="AG772" s="123"/>
      <c r="AH772" s="123"/>
      <c r="AI772" s="123"/>
      <c r="AJ772" s="123"/>
      <c r="AK772" s="123"/>
    </row>
    <row r="773" spans="1:37" ht="14.25" customHeight="1" x14ac:dyDescent="0.2">
      <c r="A773" s="123"/>
      <c r="C773" s="123"/>
      <c r="AB773" s="123"/>
      <c r="AC773" s="123"/>
      <c r="AD773" s="125"/>
      <c r="AE773" s="123"/>
      <c r="AF773" s="123"/>
      <c r="AG773" s="123"/>
      <c r="AH773" s="123"/>
      <c r="AI773" s="123"/>
      <c r="AJ773" s="123"/>
      <c r="AK773" s="123"/>
    </row>
    <row r="774" spans="1:37" ht="14.25" customHeight="1" x14ac:dyDescent="0.2">
      <c r="A774" s="123"/>
      <c r="C774" s="123"/>
      <c r="AB774" s="123"/>
      <c r="AC774" s="123"/>
      <c r="AD774" s="125"/>
      <c r="AE774" s="123"/>
      <c r="AF774" s="123"/>
      <c r="AG774" s="123"/>
      <c r="AH774" s="123"/>
      <c r="AI774" s="123"/>
      <c r="AJ774" s="123"/>
      <c r="AK774" s="123"/>
    </row>
    <row r="775" spans="1:37" ht="14.25" customHeight="1" x14ac:dyDescent="0.2">
      <c r="A775" s="123"/>
      <c r="C775" s="123"/>
      <c r="AB775" s="123"/>
      <c r="AC775" s="123"/>
      <c r="AD775" s="125"/>
      <c r="AE775" s="123"/>
      <c r="AF775" s="123"/>
      <c r="AG775" s="123"/>
      <c r="AH775" s="123"/>
      <c r="AI775" s="123"/>
      <c r="AJ775" s="123"/>
      <c r="AK775" s="123"/>
    </row>
    <row r="776" spans="1:37" ht="14.25" customHeight="1" x14ac:dyDescent="0.2">
      <c r="A776" s="123"/>
      <c r="C776" s="123"/>
      <c r="AB776" s="123"/>
      <c r="AC776" s="123"/>
      <c r="AD776" s="125"/>
      <c r="AE776" s="123"/>
      <c r="AF776" s="123"/>
      <c r="AG776" s="123"/>
      <c r="AH776" s="123"/>
      <c r="AI776" s="123"/>
      <c r="AJ776" s="123"/>
      <c r="AK776" s="123"/>
    </row>
    <row r="777" spans="1:37" ht="14.25" customHeight="1" x14ac:dyDescent="0.2">
      <c r="A777" s="123"/>
      <c r="C777" s="123"/>
      <c r="AB777" s="123"/>
      <c r="AC777" s="123"/>
      <c r="AD777" s="125"/>
      <c r="AE777" s="123"/>
      <c r="AF777" s="123"/>
      <c r="AG777" s="123"/>
      <c r="AH777" s="123"/>
      <c r="AI777" s="123"/>
      <c r="AJ777" s="123"/>
      <c r="AK777" s="123"/>
    </row>
    <row r="778" spans="1:37" ht="14.25" customHeight="1" x14ac:dyDescent="0.2">
      <c r="A778" s="123"/>
      <c r="C778" s="123"/>
      <c r="AB778" s="123"/>
      <c r="AC778" s="123"/>
      <c r="AD778" s="125"/>
      <c r="AE778" s="123"/>
      <c r="AF778" s="123"/>
      <c r="AG778" s="123"/>
      <c r="AH778" s="123"/>
      <c r="AI778" s="123"/>
      <c r="AJ778" s="123"/>
      <c r="AK778" s="123"/>
    </row>
    <row r="779" spans="1:37" ht="14.25" customHeight="1" x14ac:dyDescent="0.2">
      <c r="A779" s="123"/>
      <c r="C779" s="123"/>
      <c r="AB779" s="123"/>
      <c r="AC779" s="123"/>
      <c r="AD779" s="125"/>
      <c r="AE779" s="123"/>
      <c r="AF779" s="123"/>
      <c r="AG779" s="123"/>
      <c r="AH779" s="123"/>
      <c r="AI779" s="123"/>
      <c r="AJ779" s="123"/>
      <c r="AK779" s="123"/>
    </row>
    <row r="780" spans="1:37" ht="14.25" customHeight="1" x14ac:dyDescent="0.2">
      <c r="A780" s="123"/>
      <c r="C780" s="123"/>
      <c r="AB780" s="123"/>
      <c r="AC780" s="123"/>
      <c r="AD780" s="125"/>
      <c r="AE780" s="123"/>
      <c r="AF780" s="123"/>
      <c r="AG780" s="123"/>
      <c r="AH780" s="123"/>
      <c r="AI780" s="123"/>
      <c r="AJ780" s="123"/>
      <c r="AK780" s="123"/>
    </row>
    <row r="781" spans="1:37" ht="14.25" customHeight="1" x14ac:dyDescent="0.2">
      <c r="A781" s="123"/>
      <c r="C781" s="123"/>
      <c r="AB781" s="123"/>
      <c r="AC781" s="123"/>
      <c r="AD781" s="125"/>
      <c r="AE781" s="123"/>
      <c r="AF781" s="123"/>
      <c r="AG781" s="123"/>
      <c r="AH781" s="123"/>
      <c r="AI781" s="123"/>
      <c r="AJ781" s="123"/>
      <c r="AK781" s="123"/>
    </row>
    <row r="782" spans="1:37" ht="14.25" customHeight="1" x14ac:dyDescent="0.2">
      <c r="A782" s="123"/>
      <c r="C782" s="123"/>
      <c r="AB782" s="123"/>
      <c r="AC782" s="123"/>
      <c r="AD782" s="125"/>
      <c r="AE782" s="123"/>
      <c r="AF782" s="123"/>
      <c r="AG782" s="123"/>
      <c r="AH782" s="123"/>
      <c r="AI782" s="123"/>
      <c r="AJ782" s="123"/>
      <c r="AK782" s="123"/>
    </row>
    <row r="783" spans="1:37" ht="14.25" customHeight="1" x14ac:dyDescent="0.2">
      <c r="A783" s="123"/>
      <c r="C783" s="123"/>
      <c r="AB783" s="123"/>
      <c r="AC783" s="123"/>
      <c r="AD783" s="125"/>
      <c r="AE783" s="123"/>
      <c r="AF783" s="123"/>
      <c r="AG783" s="123"/>
      <c r="AH783" s="123"/>
      <c r="AI783" s="123"/>
      <c r="AJ783" s="123"/>
      <c r="AK783" s="123"/>
    </row>
    <row r="784" spans="1:37" ht="14.25" customHeight="1" x14ac:dyDescent="0.2">
      <c r="A784" s="123"/>
      <c r="C784" s="123"/>
      <c r="AB784" s="123"/>
      <c r="AC784" s="123"/>
      <c r="AD784" s="125"/>
      <c r="AE784" s="123"/>
      <c r="AF784" s="123"/>
      <c r="AG784" s="123"/>
      <c r="AH784" s="123"/>
      <c r="AI784" s="123"/>
      <c r="AJ784" s="123"/>
      <c r="AK784" s="123"/>
    </row>
    <row r="785" spans="1:37" ht="14.25" customHeight="1" x14ac:dyDescent="0.2">
      <c r="A785" s="123"/>
      <c r="C785" s="123"/>
      <c r="AB785" s="123"/>
      <c r="AC785" s="123"/>
      <c r="AD785" s="125"/>
      <c r="AE785" s="123"/>
      <c r="AF785" s="123"/>
      <c r="AG785" s="123"/>
      <c r="AH785" s="123"/>
      <c r="AI785" s="123"/>
      <c r="AJ785" s="123"/>
      <c r="AK785" s="123"/>
    </row>
    <row r="786" spans="1:37" ht="14.25" customHeight="1" x14ac:dyDescent="0.2">
      <c r="A786" s="123"/>
      <c r="C786" s="123"/>
      <c r="AB786" s="123"/>
      <c r="AC786" s="123"/>
      <c r="AD786" s="125"/>
      <c r="AE786" s="123"/>
      <c r="AF786" s="123"/>
      <c r="AG786" s="123"/>
      <c r="AH786" s="123"/>
      <c r="AI786" s="123"/>
      <c r="AJ786" s="123"/>
      <c r="AK786" s="123"/>
    </row>
    <row r="787" spans="1:37" ht="14.25" customHeight="1" x14ac:dyDescent="0.2">
      <c r="A787" s="123"/>
      <c r="C787" s="123"/>
      <c r="AB787" s="123"/>
      <c r="AC787" s="123"/>
      <c r="AD787" s="125"/>
      <c r="AE787" s="123"/>
      <c r="AF787" s="123"/>
      <c r="AG787" s="123"/>
      <c r="AH787" s="123"/>
      <c r="AI787" s="123"/>
      <c r="AJ787" s="123"/>
      <c r="AK787" s="123"/>
    </row>
    <row r="788" spans="1:37" ht="14.25" customHeight="1" x14ac:dyDescent="0.2">
      <c r="A788" s="123"/>
      <c r="C788" s="123"/>
      <c r="AB788" s="123"/>
      <c r="AC788" s="123"/>
      <c r="AD788" s="125"/>
      <c r="AE788" s="123"/>
      <c r="AF788" s="123"/>
      <c r="AG788" s="123"/>
      <c r="AH788" s="123"/>
      <c r="AI788" s="123"/>
      <c r="AJ788" s="123"/>
      <c r="AK788" s="123"/>
    </row>
    <row r="789" spans="1:37" ht="14.25" customHeight="1" x14ac:dyDescent="0.2">
      <c r="A789" s="123"/>
      <c r="C789" s="123"/>
      <c r="AB789" s="123"/>
      <c r="AC789" s="123"/>
      <c r="AD789" s="125"/>
      <c r="AE789" s="123"/>
      <c r="AF789" s="123"/>
      <c r="AG789" s="123"/>
      <c r="AH789" s="123"/>
      <c r="AI789" s="123"/>
      <c r="AJ789" s="123"/>
      <c r="AK789" s="123"/>
    </row>
    <row r="790" spans="1:37" ht="14.25" customHeight="1" x14ac:dyDescent="0.2">
      <c r="A790" s="123"/>
      <c r="C790" s="123"/>
      <c r="AB790" s="123"/>
      <c r="AC790" s="123"/>
      <c r="AD790" s="125"/>
      <c r="AE790" s="123"/>
      <c r="AF790" s="123"/>
      <c r="AG790" s="123"/>
      <c r="AH790" s="123"/>
      <c r="AI790" s="123"/>
      <c r="AJ790" s="123"/>
      <c r="AK790" s="123"/>
    </row>
    <row r="791" spans="1:37" ht="14.25" customHeight="1" x14ac:dyDescent="0.2">
      <c r="A791" s="123"/>
      <c r="C791" s="123"/>
      <c r="AB791" s="123"/>
      <c r="AC791" s="123"/>
      <c r="AD791" s="125"/>
      <c r="AE791" s="123"/>
      <c r="AF791" s="123"/>
      <c r="AG791" s="123"/>
      <c r="AH791" s="123"/>
      <c r="AI791" s="123"/>
      <c r="AJ791" s="123"/>
      <c r="AK791" s="123"/>
    </row>
    <row r="792" spans="1:37" ht="14.25" customHeight="1" x14ac:dyDescent="0.2">
      <c r="A792" s="123"/>
      <c r="C792" s="123"/>
      <c r="AB792" s="123"/>
      <c r="AC792" s="123"/>
      <c r="AD792" s="125"/>
      <c r="AE792" s="123"/>
      <c r="AF792" s="123"/>
      <c r="AG792" s="123"/>
      <c r="AH792" s="123"/>
      <c r="AI792" s="123"/>
      <c r="AJ792" s="123"/>
      <c r="AK792" s="123"/>
    </row>
    <row r="793" spans="1:37" ht="14.25" customHeight="1" x14ac:dyDescent="0.2">
      <c r="A793" s="123"/>
      <c r="C793" s="123"/>
      <c r="AB793" s="123"/>
      <c r="AC793" s="123"/>
      <c r="AD793" s="125"/>
      <c r="AE793" s="123"/>
      <c r="AF793" s="123"/>
      <c r="AG793" s="123"/>
      <c r="AH793" s="123"/>
      <c r="AI793" s="123"/>
      <c r="AJ793" s="123"/>
      <c r="AK793" s="123"/>
    </row>
    <row r="794" spans="1:37" ht="14.25" customHeight="1" x14ac:dyDescent="0.2">
      <c r="A794" s="123"/>
      <c r="C794" s="123"/>
      <c r="AB794" s="123"/>
      <c r="AC794" s="123"/>
      <c r="AD794" s="125"/>
      <c r="AE794" s="123"/>
      <c r="AF794" s="123"/>
      <c r="AG794" s="123"/>
      <c r="AH794" s="123"/>
      <c r="AI794" s="123"/>
      <c r="AJ794" s="123"/>
      <c r="AK794" s="123"/>
    </row>
    <row r="795" spans="1:37" ht="14.25" customHeight="1" x14ac:dyDescent="0.2">
      <c r="A795" s="123"/>
      <c r="C795" s="123"/>
      <c r="AB795" s="123"/>
      <c r="AC795" s="123"/>
      <c r="AD795" s="125"/>
      <c r="AE795" s="123"/>
      <c r="AF795" s="123"/>
      <c r="AG795" s="123"/>
      <c r="AH795" s="123"/>
      <c r="AI795" s="123"/>
      <c r="AJ795" s="123"/>
      <c r="AK795" s="123"/>
    </row>
    <row r="796" spans="1:37" ht="14.25" customHeight="1" x14ac:dyDescent="0.2">
      <c r="A796" s="123"/>
      <c r="C796" s="123"/>
      <c r="AB796" s="123"/>
      <c r="AC796" s="123"/>
      <c r="AD796" s="125"/>
      <c r="AE796" s="123"/>
      <c r="AF796" s="123"/>
      <c r="AG796" s="123"/>
      <c r="AH796" s="123"/>
      <c r="AI796" s="123"/>
      <c r="AJ796" s="123"/>
      <c r="AK796" s="123"/>
    </row>
    <row r="797" spans="1:37" ht="14.25" customHeight="1" x14ac:dyDescent="0.2">
      <c r="A797" s="123"/>
      <c r="C797" s="123"/>
      <c r="AB797" s="123"/>
      <c r="AC797" s="123"/>
      <c r="AD797" s="125"/>
      <c r="AE797" s="123"/>
      <c r="AF797" s="123"/>
      <c r="AG797" s="123"/>
      <c r="AH797" s="123"/>
      <c r="AI797" s="123"/>
      <c r="AJ797" s="123"/>
      <c r="AK797" s="123"/>
    </row>
    <row r="798" spans="1:37" ht="14.25" customHeight="1" x14ac:dyDescent="0.2">
      <c r="A798" s="123"/>
      <c r="C798" s="123"/>
      <c r="AB798" s="123"/>
      <c r="AC798" s="123"/>
      <c r="AD798" s="125"/>
      <c r="AE798" s="123"/>
      <c r="AF798" s="123"/>
      <c r="AG798" s="123"/>
      <c r="AH798" s="123"/>
      <c r="AI798" s="123"/>
      <c r="AJ798" s="123"/>
      <c r="AK798" s="123"/>
    </row>
    <row r="799" spans="1:37" ht="14.25" customHeight="1" x14ac:dyDescent="0.2">
      <c r="A799" s="123"/>
      <c r="C799" s="123"/>
      <c r="AB799" s="123"/>
      <c r="AC799" s="123"/>
      <c r="AD799" s="125"/>
      <c r="AE799" s="123"/>
      <c r="AF799" s="123"/>
      <c r="AG799" s="123"/>
      <c r="AH799" s="123"/>
      <c r="AI799" s="123"/>
      <c r="AJ799" s="123"/>
      <c r="AK799" s="123"/>
    </row>
    <row r="800" spans="1:37" ht="14.25" customHeight="1" x14ac:dyDescent="0.2">
      <c r="A800" s="123"/>
      <c r="C800" s="123"/>
      <c r="AB800" s="123"/>
      <c r="AC800" s="123"/>
      <c r="AD800" s="125"/>
      <c r="AE800" s="123"/>
      <c r="AF800" s="123"/>
      <c r="AG800" s="123"/>
      <c r="AH800" s="123"/>
      <c r="AI800" s="123"/>
      <c r="AJ800" s="123"/>
      <c r="AK800" s="123"/>
    </row>
    <row r="801" spans="1:37" ht="14.25" customHeight="1" x14ac:dyDescent="0.2">
      <c r="A801" s="123"/>
      <c r="C801" s="123"/>
      <c r="AB801" s="123"/>
      <c r="AC801" s="123"/>
      <c r="AD801" s="125"/>
      <c r="AE801" s="123"/>
      <c r="AF801" s="123"/>
      <c r="AG801" s="123"/>
      <c r="AH801" s="123"/>
      <c r="AI801" s="123"/>
      <c r="AJ801" s="123"/>
      <c r="AK801" s="123"/>
    </row>
    <row r="802" spans="1:37" ht="14.25" customHeight="1" x14ac:dyDescent="0.2">
      <c r="A802" s="123"/>
      <c r="C802" s="123"/>
      <c r="AB802" s="123"/>
      <c r="AC802" s="123"/>
      <c r="AD802" s="125"/>
      <c r="AE802" s="123"/>
      <c r="AF802" s="123"/>
      <c r="AG802" s="123"/>
      <c r="AH802" s="123"/>
      <c r="AI802" s="123"/>
      <c r="AJ802" s="123"/>
      <c r="AK802" s="123"/>
    </row>
    <row r="803" spans="1:37" ht="14.25" customHeight="1" x14ac:dyDescent="0.2">
      <c r="A803" s="123"/>
      <c r="C803" s="123"/>
      <c r="AB803" s="123"/>
      <c r="AC803" s="123"/>
      <c r="AD803" s="125"/>
      <c r="AE803" s="123"/>
      <c r="AF803" s="123"/>
      <c r="AG803" s="123"/>
      <c r="AH803" s="123"/>
      <c r="AI803" s="123"/>
      <c r="AJ803" s="123"/>
      <c r="AK803" s="123"/>
    </row>
    <row r="804" spans="1:37" ht="14.25" customHeight="1" x14ac:dyDescent="0.2">
      <c r="A804" s="123"/>
      <c r="C804" s="123"/>
      <c r="AB804" s="123"/>
      <c r="AC804" s="123"/>
      <c r="AD804" s="125"/>
      <c r="AE804" s="123"/>
      <c r="AF804" s="123"/>
      <c r="AG804" s="123"/>
      <c r="AH804" s="123"/>
      <c r="AI804" s="123"/>
      <c r="AJ804" s="123"/>
      <c r="AK804" s="123"/>
    </row>
    <row r="805" spans="1:37" ht="14.25" customHeight="1" x14ac:dyDescent="0.2">
      <c r="A805" s="123"/>
      <c r="C805" s="123"/>
      <c r="AB805" s="123"/>
      <c r="AC805" s="123"/>
      <c r="AD805" s="125"/>
      <c r="AE805" s="123"/>
      <c r="AF805" s="123"/>
      <c r="AG805" s="123"/>
      <c r="AH805" s="123"/>
      <c r="AI805" s="123"/>
      <c r="AJ805" s="123"/>
      <c r="AK805" s="123"/>
    </row>
    <row r="806" spans="1:37" ht="14.25" customHeight="1" x14ac:dyDescent="0.2">
      <c r="A806" s="123"/>
      <c r="C806" s="123"/>
      <c r="AB806" s="123"/>
      <c r="AC806" s="123"/>
      <c r="AD806" s="125"/>
      <c r="AE806" s="123"/>
      <c r="AF806" s="123"/>
      <c r="AG806" s="123"/>
      <c r="AH806" s="123"/>
      <c r="AI806" s="123"/>
      <c r="AJ806" s="123"/>
      <c r="AK806" s="123"/>
    </row>
    <row r="807" spans="1:37" ht="14.25" customHeight="1" x14ac:dyDescent="0.2">
      <c r="A807" s="123"/>
      <c r="C807" s="123"/>
      <c r="AB807" s="123"/>
      <c r="AC807" s="123"/>
      <c r="AD807" s="125"/>
      <c r="AE807" s="123"/>
      <c r="AF807" s="123"/>
      <c r="AG807" s="123"/>
      <c r="AH807" s="123"/>
      <c r="AI807" s="123"/>
      <c r="AJ807" s="123"/>
      <c r="AK807" s="123"/>
    </row>
    <row r="808" spans="1:37" ht="14.25" customHeight="1" x14ac:dyDescent="0.2">
      <c r="A808" s="123"/>
      <c r="C808" s="123"/>
      <c r="AB808" s="123"/>
      <c r="AC808" s="123"/>
      <c r="AD808" s="125"/>
      <c r="AE808" s="123"/>
      <c r="AF808" s="123"/>
      <c r="AG808" s="123"/>
      <c r="AH808" s="123"/>
      <c r="AI808" s="123"/>
      <c r="AJ808" s="123"/>
      <c r="AK808" s="123"/>
    </row>
    <row r="809" spans="1:37" ht="14.25" customHeight="1" x14ac:dyDescent="0.2">
      <c r="A809" s="123"/>
      <c r="C809" s="123"/>
      <c r="AB809" s="123"/>
      <c r="AC809" s="123"/>
      <c r="AD809" s="125"/>
      <c r="AE809" s="123"/>
      <c r="AF809" s="123"/>
      <c r="AG809" s="123"/>
      <c r="AH809" s="123"/>
      <c r="AI809" s="123"/>
      <c r="AJ809" s="123"/>
      <c r="AK809" s="123"/>
    </row>
    <row r="810" spans="1:37" ht="14.25" customHeight="1" x14ac:dyDescent="0.2">
      <c r="A810" s="123"/>
      <c r="C810" s="123"/>
      <c r="AB810" s="123"/>
      <c r="AC810" s="123"/>
      <c r="AD810" s="125"/>
      <c r="AE810" s="123"/>
      <c r="AF810" s="123"/>
      <c r="AG810" s="123"/>
      <c r="AH810" s="123"/>
      <c r="AI810" s="123"/>
      <c r="AJ810" s="123"/>
      <c r="AK810" s="123"/>
    </row>
    <row r="811" spans="1:37" ht="14.25" customHeight="1" x14ac:dyDescent="0.2">
      <c r="A811" s="123"/>
      <c r="C811" s="123"/>
      <c r="AB811" s="123"/>
      <c r="AC811" s="123"/>
      <c r="AD811" s="125"/>
      <c r="AE811" s="123"/>
      <c r="AF811" s="123"/>
      <c r="AG811" s="123"/>
      <c r="AH811" s="123"/>
      <c r="AI811" s="123"/>
      <c r="AJ811" s="123"/>
      <c r="AK811" s="123"/>
    </row>
    <row r="812" spans="1:37" ht="14.25" customHeight="1" x14ac:dyDescent="0.2">
      <c r="A812" s="123"/>
      <c r="C812" s="123"/>
      <c r="AB812" s="123"/>
      <c r="AC812" s="123"/>
      <c r="AD812" s="125"/>
      <c r="AE812" s="123"/>
      <c r="AF812" s="123"/>
      <c r="AG812" s="123"/>
      <c r="AH812" s="123"/>
      <c r="AI812" s="123"/>
      <c r="AJ812" s="123"/>
      <c r="AK812" s="123"/>
    </row>
    <row r="813" spans="1:37" ht="14.25" customHeight="1" x14ac:dyDescent="0.2">
      <c r="A813" s="123"/>
      <c r="C813" s="123"/>
      <c r="AB813" s="123"/>
      <c r="AC813" s="123"/>
      <c r="AD813" s="125"/>
      <c r="AE813" s="123"/>
      <c r="AF813" s="123"/>
      <c r="AG813" s="123"/>
      <c r="AH813" s="123"/>
      <c r="AI813" s="123"/>
      <c r="AJ813" s="123"/>
      <c r="AK813" s="123"/>
    </row>
    <row r="814" spans="1:37" ht="14.25" customHeight="1" x14ac:dyDescent="0.2">
      <c r="A814" s="123"/>
      <c r="C814" s="123"/>
      <c r="AB814" s="123"/>
      <c r="AC814" s="123"/>
      <c r="AD814" s="125"/>
      <c r="AE814" s="123"/>
      <c r="AF814" s="123"/>
      <c r="AG814" s="123"/>
      <c r="AH814" s="123"/>
      <c r="AI814" s="123"/>
      <c r="AJ814" s="123"/>
      <c r="AK814" s="123"/>
    </row>
    <row r="815" spans="1:37" ht="14.25" customHeight="1" x14ac:dyDescent="0.2">
      <c r="A815" s="123"/>
      <c r="C815" s="123"/>
      <c r="AB815" s="123"/>
      <c r="AC815" s="123"/>
      <c r="AD815" s="125"/>
      <c r="AE815" s="123"/>
      <c r="AF815" s="123"/>
      <c r="AG815" s="123"/>
      <c r="AH815" s="123"/>
      <c r="AI815" s="123"/>
      <c r="AJ815" s="123"/>
      <c r="AK815" s="123"/>
    </row>
    <row r="816" spans="1:37" ht="14.25" customHeight="1" x14ac:dyDescent="0.2">
      <c r="A816" s="123"/>
      <c r="C816" s="123"/>
      <c r="AB816" s="123"/>
      <c r="AC816" s="123"/>
      <c r="AD816" s="125"/>
      <c r="AE816" s="123"/>
      <c r="AF816" s="123"/>
      <c r="AG816" s="123"/>
      <c r="AH816" s="123"/>
      <c r="AI816" s="123"/>
      <c r="AJ816" s="123"/>
      <c r="AK816" s="123"/>
    </row>
    <row r="817" spans="1:37" ht="14.25" customHeight="1" x14ac:dyDescent="0.2">
      <c r="A817" s="123"/>
      <c r="C817" s="123"/>
      <c r="AB817" s="123"/>
      <c r="AC817" s="123"/>
      <c r="AD817" s="125"/>
      <c r="AE817" s="123"/>
      <c r="AF817" s="123"/>
      <c r="AG817" s="123"/>
      <c r="AH817" s="123"/>
      <c r="AI817" s="123"/>
      <c r="AJ817" s="123"/>
      <c r="AK817" s="123"/>
    </row>
    <row r="818" spans="1:37" ht="14.25" customHeight="1" x14ac:dyDescent="0.2">
      <c r="A818" s="123"/>
      <c r="C818" s="123"/>
      <c r="AB818" s="123"/>
      <c r="AC818" s="123"/>
      <c r="AD818" s="125"/>
      <c r="AE818" s="123"/>
      <c r="AF818" s="123"/>
      <c r="AG818" s="123"/>
      <c r="AH818" s="123"/>
      <c r="AI818" s="123"/>
      <c r="AJ818" s="123"/>
      <c r="AK818" s="123"/>
    </row>
    <row r="819" spans="1:37" ht="14.25" customHeight="1" x14ac:dyDescent="0.2">
      <c r="A819" s="123"/>
      <c r="C819" s="123"/>
      <c r="AB819" s="123"/>
      <c r="AC819" s="123"/>
      <c r="AD819" s="125"/>
      <c r="AE819" s="123"/>
      <c r="AF819" s="123"/>
      <c r="AG819" s="123"/>
      <c r="AH819" s="123"/>
      <c r="AI819" s="123"/>
      <c r="AJ819" s="123"/>
      <c r="AK819" s="123"/>
    </row>
    <row r="820" spans="1:37" ht="14.25" customHeight="1" x14ac:dyDescent="0.2">
      <c r="A820" s="123"/>
      <c r="C820" s="123"/>
      <c r="AB820" s="123"/>
      <c r="AC820" s="123"/>
      <c r="AD820" s="125"/>
      <c r="AE820" s="123"/>
      <c r="AF820" s="123"/>
      <c r="AG820" s="123"/>
      <c r="AH820" s="123"/>
      <c r="AI820" s="123"/>
      <c r="AJ820" s="123"/>
      <c r="AK820" s="123"/>
    </row>
    <row r="821" spans="1:37" ht="14.25" customHeight="1" x14ac:dyDescent="0.2">
      <c r="A821" s="123"/>
      <c r="C821" s="123"/>
      <c r="AB821" s="123"/>
      <c r="AC821" s="123"/>
      <c r="AD821" s="125"/>
      <c r="AE821" s="123"/>
      <c r="AF821" s="123"/>
      <c r="AG821" s="123"/>
      <c r="AH821" s="123"/>
      <c r="AI821" s="123"/>
      <c r="AJ821" s="123"/>
      <c r="AK821" s="123"/>
    </row>
    <row r="822" spans="1:37" ht="14.25" customHeight="1" x14ac:dyDescent="0.2">
      <c r="A822" s="123"/>
      <c r="C822" s="123"/>
      <c r="AB822" s="123"/>
      <c r="AC822" s="123"/>
      <c r="AD822" s="125"/>
      <c r="AE822" s="123"/>
      <c r="AF822" s="123"/>
      <c r="AG822" s="123"/>
      <c r="AH822" s="123"/>
      <c r="AI822" s="123"/>
      <c r="AJ822" s="123"/>
      <c r="AK822" s="123"/>
    </row>
    <row r="823" spans="1:37" ht="14.25" customHeight="1" x14ac:dyDescent="0.2">
      <c r="A823" s="123"/>
      <c r="C823" s="123"/>
      <c r="AB823" s="123"/>
      <c r="AC823" s="123"/>
      <c r="AD823" s="125"/>
      <c r="AE823" s="123"/>
      <c r="AF823" s="123"/>
      <c r="AG823" s="123"/>
      <c r="AH823" s="123"/>
      <c r="AI823" s="123"/>
      <c r="AJ823" s="123"/>
      <c r="AK823" s="123"/>
    </row>
    <row r="824" spans="1:37" ht="14.25" customHeight="1" x14ac:dyDescent="0.2">
      <c r="A824" s="123"/>
      <c r="C824" s="123"/>
      <c r="AB824" s="123"/>
      <c r="AC824" s="123"/>
      <c r="AD824" s="125"/>
      <c r="AE824" s="123"/>
      <c r="AF824" s="123"/>
      <c r="AG824" s="123"/>
      <c r="AH824" s="123"/>
      <c r="AI824" s="123"/>
      <c r="AJ824" s="123"/>
      <c r="AK824" s="123"/>
    </row>
    <row r="825" spans="1:37" ht="14.25" customHeight="1" x14ac:dyDescent="0.2">
      <c r="A825" s="123"/>
      <c r="C825" s="123"/>
      <c r="AB825" s="123"/>
      <c r="AC825" s="123"/>
      <c r="AD825" s="125"/>
      <c r="AE825" s="123"/>
      <c r="AF825" s="123"/>
      <c r="AG825" s="123"/>
      <c r="AH825" s="123"/>
      <c r="AI825" s="123"/>
      <c r="AJ825" s="123"/>
      <c r="AK825" s="123"/>
    </row>
    <row r="826" spans="1:37" ht="14.25" customHeight="1" x14ac:dyDescent="0.2">
      <c r="A826" s="123"/>
      <c r="C826" s="123"/>
      <c r="AB826" s="123"/>
      <c r="AC826" s="123"/>
      <c r="AD826" s="125"/>
      <c r="AE826" s="123"/>
      <c r="AF826" s="123"/>
      <c r="AG826" s="123"/>
      <c r="AH826" s="123"/>
      <c r="AI826" s="123"/>
      <c r="AJ826" s="123"/>
      <c r="AK826" s="123"/>
    </row>
    <row r="827" spans="1:37" ht="14.25" customHeight="1" x14ac:dyDescent="0.2">
      <c r="A827" s="123"/>
      <c r="C827" s="123"/>
      <c r="AB827" s="123"/>
      <c r="AC827" s="123"/>
      <c r="AD827" s="125"/>
      <c r="AE827" s="123"/>
      <c r="AF827" s="123"/>
      <c r="AG827" s="123"/>
      <c r="AH827" s="123"/>
      <c r="AI827" s="123"/>
      <c r="AJ827" s="123"/>
      <c r="AK827" s="123"/>
    </row>
    <row r="828" spans="1:37" ht="14.25" customHeight="1" x14ac:dyDescent="0.2">
      <c r="A828" s="123"/>
      <c r="C828" s="123"/>
      <c r="AB828" s="123"/>
      <c r="AC828" s="123"/>
      <c r="AD828" s="125"/>
      <c r="AE828" s="123"/>
      <c r="AF828" s="123"/>
      <c r="AG828" s="123"/>
      <c r="AH828" s="123"/>
      <c r="AI828" s="123"/>
      <c r="AJ828" s="123"/>
      <c r="AK828" s="123"/>
    </row>
    <row r="829" spans="1:37" ht="14.25" customHeight="1" x14ac:dyDescent="0.2">
      <c r="A829" s="123"/>
      <c r="C829" s="123"/>
      <c r="AB829" s="123"/>
      <c r="AC829" s="123"/>
      <c r="AD829" s="125"/>
      <c r="AE829" s="123"/>
      <c r="AF829" s="123"/>
      <c r="AG829" s="123"/>
      <c r="AH829" s="123"/>
      <c r="AI829" s="123"/>
      <c r="AJ829" s="123"/>
      <c r="AK829" s="123"/>
    </row>
    <row r="830" spans="1:37" ht="14.25" customHeight="1" x14ac:dyDescent="0.2">
      <c r="A830" s="123"/>
      <c r="C830" s="123"/>
      <c r="AB830" s="123"/>
      <c r="AC830" s="123"/>
      <c r="AD830" s="125"/>
      <c r="AE830" s="123"/>
      <c r="AF830" s="123"/>
      <c r="AG830" s="123"/>
      <c r="AH830" s="123"/>
      <c r="AI830" s="123"/>
      <c r="AJ830" s="123"/>
      <c r="AK830" s="123"/>
    </row>
    <row r="831" spans="1:37" ht="14.25" customHeight="1" x14ac:dyDescent="0.2">
      <c r="A831" s="123"/>
      <c r="C831" s="123"/>
      <c r="AB831" s="123"/>
      <c r="AC831" s="123"/>
      <c r="AD831" s="125"/>
      <c r="AE831" s="123"/>
      <c r="AF831" s="123"/>
      <c r="AG831" s="123"/>
      <c r="AH831" s="123"/>
      <c r="AI831" s="123"/>
      <c r="AJ831" s="123"/>
      <c r="AK831" s="123"/>
    </row>
    <row r="832" spans="1:37" ht="14.25" customHeight="1" x14ac:dyDescent="0.2">
      <c r="A832" s="123"/>
      <c r="C832" s="123"/>
      <c r="AB832" s="123"/>
      <c r="AC832" s="123"/>
      <c r="AD832" s="125"/>
      <c r="AE832" s="123"/>
      <c r="AF832" s="123"/>
      <c r="AG832" s="123"/>
      <c r="AH832" s="123"/>
      <c r="AI832" s="123"/>
      <c r="AJ832" s="123"/>
      <c r="AK832" s="123"/>
    </row>
    <row r="833" spans="1:37" ht="14.25" customHeight="1" x14ac:dyDescent="0.2">
      <c r="A833" s="123"/>
      <c r="C833" s="123"/>
      <c r="AB833" s="123"/>
      <c r="AC833" s="123"/>
      <c r="AD833" s="125"/>
      <c r="AE833" s="123"/>
      <c r="AF833" s="123"/>
      <c r="AG833" s="123"/>
      <c r="AH833" s="123"/>
      <c r="AI833" s="123"/>
      <c r="AJ833" s="123"/>
      <c r="AK833" s="123"/>
    </row>
    <row r="834" spans="1:37" ht="14.25" customHeight="1" x14ac:dyDescent="0.2">
      <c r="A834" s="123"/>
      <c r="C834" s="123"/>
      <c r="AB834" s="123"/>
      <c r="AC834" s="123"/>
      <c r="AD834" s="125"/>
      <c r="AE834" s="123"/>
      <c r="AF834" s="123"/>
      <c r="AG834" s="123"/>
      <c r="AH834" s="123"/>
      <c r="AI834" s="123"/>
      <c r="AJ834" s="123"/>
      <c r="AK834" s="123"/>
    </row>
    <row r="835" spans="1:37" ht="14.25" customHeight="1" x14ac:dyDescent="0.2">
      <c r="A835" s="123"/>
      <c r="C835" s="123"/>
      <c r="AB835" s="123"/>
      <c r="AC835" s="123"/>
      <c r="AD835" s="125"/>
      <c r="AE835" s="123"/>
      <c r="AF835" s="123"/>
      <c r="AG835" s="123"/>
      <c r="AH835" s="123"/>
      <c r="AI835" s="123"/>
      <c r="AJ835" s="123"/>
      <c r="AK835" s="123"/>
    </row>
    <row r="836" spans="1:37" ht="14.25" customHeight="1" x14ac:dyDescent="0.2">
      <c r="A836" s="123"/>
      <c r="C836" s="123"/>
      <c r="AB836" s="123"/>
      <c r="AC836" s="123"/>
      <c r="AD836" s="125"/>
      <c r="AE836" s="123"/>
      <c r="AF836" s="123"/>
      <c r="AG836" s="123"/>
      <c r="AH836" s="123"/>
      <c r="AI836" s="123"/>
      <c r="AJ836" s="123"/>
      <c r="AK836" s="123"/>
    </row>
    <row r="837" spans="1:37" ht="14.25" customHeight="1" x14ac:dyDescent="0.2">
      <c r="A837" s="123"/>
      <c r="C837" s="123"/>
      <c r="AB837" s="123"/>
      <c r="AC837" s="123"/>
      <c r="AD837" s="125"/>
      <c r="AE837" s="123"/>
      <c r="AF837" s="123"/>
      <c r="AG837" s="123"/>
      <c r="AH837" s="123"/>
      <c r="AI837" s="123"/>
      <c r="AJ837" s="123"/>
      <c r="AK837" s="123"/>
    </row>
    <row r="838" spans="1:37" ht="14.25" customHeight="1" x14ac:dyDescent="0.2">
      <c r="A838" s="123"/>
      <c r="C838" s="123"/>
      <c r="AB838" s="123"/>
      <c r="AC838" s="123"/>
      <c r="AD838" s="125"/>
      <c r="AE838" s="123"/>
      <c r="AF838" s="123"/>
      <c r="AG838" s="123"/>
      <c r="AH838" s="123"/>
      <c r="AI838" s="123"/>
      <c r="AJ838" s="123"/>
      <c r="AK838" s="123"/>
    </row>
    <row r="839" spans="1:37" ht="14.25" customHeight="1" x14ac:dyDescent="0.2">
      <c r="A839" s="123"/>
      <c r="C839" s="123"/>
      <c r="AB839" s="123"/>
      <c r="AC839" s="123"/>
      <c r="AD839" s="125"/>
      <c r="AE839" s="123"/>
      <c r="AF839" s="123"/>
      <c r="AG839" s="123"/>
      <c r="AH839" s="123"/>
      <c r="AI839" s="123"/>
      <c r="AJ839" s="123"/>
      <c r="AK839" s="123"/>
    </row>
    <row r="840" spans="1:37" ht="14.25" customHeight="1" x14ac:dyDescent="0.2">
      <c r="A840" s="123"/>
      <c r="C840" s="123"/>
      <c r="AB840" s="123"/>
      <c r="AC840" s="123"/>
      <c r="AD840" s="125"/>
      <c r="AE840" s="123"/>
      <c r="AF840" s="123"/>
      <c r="AG840" s="123"/>
      <c r="AH840" s="123"/>
      <c r="AI840" s="123"/>
      <c r="AJ840" s="123"/>
      <c r="AK840" s="123"/>
    </row>
    <row r="841" spans="1:37" ht="14.25" customHeight="1" x14ac:dyDescent="0.2">
      <c r="A841" s="123"/>
      <c r="C841" s="123"/>
      <c r="AB841" s="123"/>
      <c r="AC841" s="123"/>
      <c r="AD841" s="125"/>
      <c r="AE841" s="123"/>
      <c r="AF841" s="123"/>
      <c r="AG841" s="123"/>
      <c r="AH841" s="123"/>
      <c r="AI841" s="123"/>
      <c r="AJ841" s="123"/>
      <c r="AK841" s="123"/>
    </row>
    <row r="842" spans="1:37" ht="14.25" customHeight="1" x14ac:dyDescent="0.2">
      <c r="A842" s="123"/>
      <c r="C842" s="123"/>
      <c r="AB842" s="123"/>
      <c r="AC842" s="123"/>
      <c r="AD842" s="125"/>
      <c r="AE842" s="123"/>
      <c r="AF842" s="123"/>
      <c r="AG842" s="123"/>
      <c r="AH842" s="123"/>
      <c r="AI842" s="123"/>
      <c r="AJ842" s="123"/>
      <c r="AK842" s="123"/>
    </row>
    <row r="843" spans="1:37" ht="14.25" customHeight="1" x14ac:dyDescent="0.2">
      <c r="A843" s="123"/>
      <c r="C843" s="123"/>
      <c r="AB843" s="123"/>
      <c r="AC843" s="123"/>
      <c r="AD843" s="125"/>
      <c r="AE843" s="123"/>
      <c r="AF843" s="123"/>
      <c r="AG843" s="123"/>
      <c r="AH843" s="123"/>
      <c r="AI843" s="123"/>
      <c r="AJ843" s="123"/>
      <c r="AK843" s="123"/>
    </row>
    <row r="844" spans="1:37" ht="14.25" customHeight="1" x14ac:dyDescent="0.2">
      <c r="A844" s="123"/>
      <c r="C844" s="123"/>
      <c r="AB844" s="123"/>
      <c r="AC844" s="123"/>
      <c r="AD844" s="125"/>
      <c r="AE844" s="123"/>
      <c r="AF844" s="123"/>
      <c r="AG844" s="123"/>
      <c r="AH844" s="123"/>
      <c r="AI844" s="123"/>
      <c r="AJ844" s="123"/>
      <c r="AK844" s="123"/>
    </row>
    <row r="845" spans="1:37" ht="14.25" customHeight="1" x14ac:dyDescent="0.2">
      <c r="A845" s="123"/>
      <c r="C845" s="123"/>
      <c r="AB845" s="123"/>
      <c r="AC845" s="123"/>
      <c r="AD845" s="125"/>
      <c r="AE845" s="123"/>
      <c r="AF845" s="123"/>
      <c r="AG845" s="123"/>
      <c r="AH845" s="123"/>
      <c r="AI845" s="123"/>
      <c r="AJ845" s="123"/>
      <c r="AK845" s="123"/>
    </row>
    <row r="846" spans="1:37" ht="14.25" customHeight="1" x14ac:dyDescent="0.2">
      <c r="A846" s="123"/>
      <c r="C846" s="123"/>
      <c r="AB846" s="123"/>
      <c r="AC846" s="123"/>
      <c r="AD846" s="125"/>
      <c r="AE846" s="123"/>
      <c r="AF846" s="123"/>
      <c r="AG846" s="123"/>
      <c r="AH846" s="123"/>
      <c r="AI846" s="123"/>
      <c r="AJ846" s="123"/>
      <c r="AK846" s="123"/>
    </row>
    <row r="847" spans="1:37" ht="14.25" customHeight="1" x14ac:dyDescent="0.2">
      <c r="A847" s="123"/>
      <c r="C847" s="123"/>
      <c r="AB847" s="123"/>
      <c r="AC847" s="123"/>
      <c r="AD847" s="125"/>
      <c r="AE847" s="123"/>
      <c r="AF847" s="123"/>
      <c r="AG847" s="123"/>
      <c r="AH847" s="123"/>
      <c r="AI847" s="123"/>
      <c r="AJ847" s="123"/>
      <c r="AK847" s="123"/>
    </row>
    <row r="848" spans="1:37" ht="14.25" customHeight="1" x14ac:dyDescent="0.2">
      <c r="A848" s="123"/>
      <c r="C848" s="123"/>
      <c r="AB848" s="123"/>
      <c r="AC848" s="123"/>
      <c r="AD848" s="125"/>
      <c r="AE848" s="123"/>
      <c r="AF848" s="123"/>
      <c r="AG848" s="123"/>
      <c r="AH848" s="123"/>
      <c r="AI848" s="123"/>
      <c r="AJ848" s="123"/>
      <c r="AK848" s="123"/>
    </row>
    <row r="849" spans="1:37" ht="14.25" customHeight="1" x14ac:dyDescent="0.2">
      <c r="A849" s="123"/>
      <c r="C849" s="123"/>
      <c r="AB849" s="123"/>
      <c r="AC849" s="123"/>
      <c r="AD849" s="125"/>
      <c r="AE849" s="123"/>
      <c r="AF849" s="123"/>
      <c r="AG849" s="123"/>
      <c r="AH849" s="123"/>
      <c r="AI849" s="123"/>
      <c r="AJ849" s="123"/>
      <c r="AK849" s="123"/>
    </row>
    <row r="850" spans="1:37" ht="14.25" customHeight="1" x14ac:dyDescent="0.2">
      <c r="A850" s="123"/>
      <c r="C850" s="123"/>
      <c r="AB850" s="123"/>
      <c r="AC850" s="123"/>
      <c r="AD850" s="125"/>
      <c r="AE850" s="123"/>
      <c r="AF850" s="123"/>
      <c r="AG850" s="123"/>
      <c r="AH850" s="123"/>
      <c r="AI850" s="123"/>
      <c r="AJ850" s="123"/>
      <c r="AK850" s="123"/>
    </row>
    <row r="851" spans="1:37" ht="14.25" customHeight="1" x14ac:dyDescent="0.2">
      <c r="A851" s="123"/>
      <c r="C851" s="123"/>
      <c r="AB851" s="123"/>
      <c r="AC851" s="123"/>
      <c r="AD851" s="125"/>
      <c r="AE851" s="123"/>
      <c r="AF851" s="123"/>
      <c r="AG851" s="123"/>
      <c r="AH851" s="123"/>
      <c r="AI851" s="123"/>
      <c r="AJ851" s="123"/>
      <c r="AK851" s="123"/>
    </row>
    <row r="852" spans="1:37" ht="14.25" customHeight="1" x14ac:dyDescent="0.2">
      <c r="A852" s="123"/>
      <c r="C852" s="123"/>
      <c r="AB852" s="123"/>
      <c r="AC852" s="123"/>
      <c r="AD852" s="125"/>
      <c r="AE852" s="123"/>
      <c r="AF852" s="123"/>
      <c r="AG852" s="123"/>
      <c r="AH852" s="123"/>
      <c r="AI852" s="123"/>
      <c r="AJ852" s="123"/>
      <c r="AK852" s="123"/>
    </row>
    <row r="853" spans="1:37" ht="14.25" customHeight="1" x14ac:dyDescent="0.2">
      <c r="A853" s="123"/>
      <c r="C853" s="123"/>
      <c r="AB853" s="123"/>
      <c r="AC853" s="123"/>
      <c r="AD853" s="125"/>
      <c r="AE853" s="123"/>
      <c r="AF853" s="123"/>
      <c r="AG853" s="123"/>
      <c r="AH853" s="123"/>
      <c r="AI853" s="123"/>
      <c r="AJ853" s="123"/>
      <c r="AK853" s="123"/>
    </row>
    <row r="854" spans="1:37" ht="14.25" customHeight="1" x14ac:dyDescent="0.2">
      <c r="A854" s="123"/>
      <c r="C854" s="123"/>
      <c r="AB854" s="123"/>
      <c r="AC854" s="123"/>
      <c r="AD854" s="125"/>
      <c r="AE854" s="123"/>
      <c r="AF854" s="123"/>
      <c r="AG854" s="123"/>
      <c r="AH854" s="123"/>
      <c r="AI854" s="123"/>
      <c r="AJ854" s="123"/>
      <c r="AK854" s="123"/>
    </row>
    <row r="855" spans="1:37" ht="14.25" customHeight="1" x14ac:dyDescent="0.2">
      <c r="A855" s="123"/>
      <c r="C855" s="123"/>
      <c r="AB855" s="123"/>
      <c r="AC855" s="123"/>
      <c r="AD855" s="125"/>
      <c r="AE855" s="123"/>
      <c r="AF855" s="123"/>
      <c r="AG855" s="123"/>
      <c r="AH855" s="123"/>
      <c r="AI855" s="123"/>
      <c r="AJ855" s="123"/>
      <c r="AK855" s="123"/>
    </row>
    <row r="856" spans="1:37" ht="14.25" customHeight="1" x14ac:dyDescent="0.2">
      <c r="A856" s="123"/>
      <c r="C856" s="123"/>
      <c r="AB856" s="123"/>
      <c r="AC856" s="123"/>
      <c r="AD856" s="125"/>
      <c r="AE856" s="123"/>
      <c r="AF856" s="123"/>
      <c r="AG856" s="123"/>
      <c r="AH856" s="123"/>
      <c r="AI856" s="123"/>
      <c r="AJ856" s="123"/>
      <c r="AK856" s="123"/>
    </row>
    <row r="857" spans="1:37" ht="14.25" customHeight="1" x14ac:dyDescent="0.2">
      <c r="A857" s="123"/>
      <c r="C857" s="123"/>
      <c r="AB857" s="123"/>
      <c r="AC857" s="123"/>
      <c r="AD857" s="125"/>
      <c r="AE857" s="123"/>
      <c r="AF857" s="123"/>
      <c r="AG857" s="123"/>
      <c r="AH857" s="123"/>
      <c r="AI857" s="123"/>
      <c r="AJ857" s="123"/>
      <c r="AK857" s="123"/>
    </row>
    <row r="858" spans="1:37" ht="14.25" customHeight="1" x14ac:dyDescent="0.2">
      <c r="A858" s="123"/>
      <c r="C858" s="123"/>
      <c r="AB858" s="123"/>
      <c r="AC858" s="123"/>
      <c r="AD858" s="125"/>
      <c r="AE858" s="123"/>
      <c r="AF858" s="123"/>
      <c r="AG858" s="123"/>
      <c r="AH858" s="123"/>
      <c r="AI858" s="123"/>
      <c r="AJ858" s="123"/>
      <c r="AK858" s="123"/>
    </row>
    <row r="859" spans="1:37" ht="14.25" customHeight="1" x14ac:dyDescent="0.2">
      <c r="A859" s="123"/>
      <c r="C859" s="123"/>
      <c r="AB859" s="123"/>
      <c r="AC859" s="123"/>
      <c r="AD859" s="125"/>
      <c r="AE859" s="123"/>
      <c r="AF859" s="123"/>
      <c r="AG859" s="123"/>
      <c r="AH859" s="123"/>
      <c r="AI859" s="123"/>
      <c r="AJ859" s="123"/>
      <c r="AK859" s="123"/>
    </row>
    <row r="860" spans="1:37" ht="14.25" customHeight="1" x14ac:dyDescent="0.2">
      <c r="A860" s="123"/>
      <c r="C860" s="123"/>
      <c r="AB860" s="123"/>
      <c r="AC860" s="123"/>
      <c r="AD860" s="125"/>
      <c r="AE860" s="123"/>
      <c r="AF860" s="123"/>
      <c r="AG860" s="123"/>
      <c r="AH860" s="123"/>
      <c r="AI860" s="123"/>
      <c r="AJ860" s="123"/>
      <c r="AK860" s="123"/>
    </row>
    <row r="861" spans="1:37" ht="14.25" customHeight="1" x14ac:dyDescent="0.2">
      <c r="A861" s="123"/>
      <c r="C861" s="123"/>
      <c r="AB861" s="123"/>
      <c r="AC861" s="123"/>
      <c r="AD861" s="125"/>
      <c r="AE861" s="123"/>
      <c r="AF861" s="123"/>
      <c r="AG861" s="123"/>
      <c r="AH861" s="123"/>
      <c r="AI861" s="123"/>
      <c r="AJ861" s="123"/>
      <c r="AK861" s="123"/>
    </row>
    <row r="862" spans="1:37" ht="14.25" customHeight="1" x14ac:dyDescent="0.2">
      <c r="A862" s="123"/>
      <c r="C862" s="123"/>
      <c r="AB862" s="123"/>
      <c r="AC862" s="123"/>
      <c r="AD862" s="125"/>
      <c r="AE862" s="123"/>
      <c r="AF862" s="123"/>
      <c r="AG862" s="123"/>
      <c r="AH862" s="123"/>
      <c r="AI862" s="123"/>
      <c r="AJ862" s="123"/>
      <c r="AK862" s="123"/>
    </row>
    <row r="863" spans="1:37" ht="14.25" customHeight="1" x14ac:dyDescent="0.2">
      <c r="A863" s="123"/>
      <c r="C863" s="123"/>
      <c r="AB863" s="123"/>
      <c r="AC863" s="123"/>
      <c r="AD863" s="125"/>
      <c r="AE863" s="123"/>
      <c r="AF863" s="123"/>
      <c r="AG863" s="123"/>
      <c r="AH863" s="123"/>
      <c r="AI863" s="123"/>
      <c r="AJ863" s="123"/>
      <c r="AK863" s="123"/>
    </row>
    <row r="864" spans="1:37" ht="14.25" customHeight="1" x14ac:dyDescent="0.2">
      <c r="A864" s="123"/>
      <c r="C864" s="123"/>
      <c r="AB864" s="123"/>
      <c r="AC864" s="123"/>
      <c r="AD864" s="125"/>
      <c r="AE864" s="123"/>
      <c r="AF864" s="123"/>
      <c r="AG864" s="123"/>
      <c r="AH864" s="123"/>
      <c r="AI864" s="123"/>
      <c r="AJ864" s="123"/>
      <c r="AK864" s="123"/>
    </row>
    <row r="865" spans="1:37" ht="14.25" customHeight="1" x14ac:dyDescent="0.2">
      <c r="A865" s="123"/>
      <c r="C865" s="123"/>
      <c r="AB865" s="123"/>
      <c r="AC865" s="123"/>
      <c r="AD865" s="125"/>
      <c r="AE865" s="123"/>
      <c r="AF865" s="123"/>
      <c r="AG865" s="123"/>
      <c r="AH865" s="123"/>
      <c r="AI865" s="123"/>
      <c r="AJ865" s="123"/>
      <c r="AK865" s="123"/>
    </row>
    <row r="866" spans="1:37" ht="14.25" customHeight="1" x14ac:dyDescent="0.2">
      <c r="A866" s="123"/>
      <c r="C866" s="123"/>
      <c r="AB866" s="123"/>
      <c r="AC866" s="123"/>
      <c r="AD866" s="125"/>
      <c r="AE866" s="123"/>
      <c r="AF866" s="123"/>
      <c r="AG866" s="123"/>
      <c r="AH866" s="123"/>
      <c r="AI866" s="123"/>
      <c r="AJ866" s="123"/>
      <c r="AK866" s="123"/>
    </row>
    <row r="867" spans="1:37" ht="14.25" customHeight="1" x14ac:dyDescent="0.2">
      <c r="A867" s="123"/>
      <c r="C867" s="123"/>
      <c r="AB867" s="123"/>
      <c r="AC867" s="123"/>
      <c r="AD867" s="125"/>
      <c r="AE867" s="123"/>
      <c r="AF867" s="123"/>
      <c r="AG867" s="123"/>
      <c r="AH867" s="123"/>
      <c r="AI867" s="123"/>
      <c r="AJ867" s="123"/>
      <c r="AK867" s="123"/>
    </row>
    <row r="868" spans="1:37" ht="14.25" customHeight="1" x14ac:dyDescent="0.2">
      <c r="A868" s="123"/>
      <c r="C868" s="123"/>
      <c r="AB868" s="123"/>
      <c r="AC868" s="123"/>
      <c r="AD868" s="125"/>
      <c r="AE868" s="123"/>
      <c r="AF868" s="123"/>
      <c r="AG868" s="123"/>
      <c r="AH868" s="123"/>
      <c r="AI868" s="123"/>
      <c r="AJ868" s="123"/>
      <c r="AK868" s="123"/>
    </row>
    <row r="869" spans="1:37" ht="14.25" customHeight="1" x14ac:dyDescent="0.2">
      <c r="A869" s="123"/>
      <c r="C869" s="123"/>
      <c r="AB869" s="123"/>
      <c r="AC869" s="123"/>
      <c r="AD869" s="125"/>
      <c r="AE869" s="123"/>
      <c r="AF869" s="123"/>
      <c r="AG869" s="123"/>
      <c r="AH869" s="123"/>
      <c r="AI869" s="123"/>
      <c r="AJ869" s="123"/>
      <c r="AK869" s="123"/>
    </row>
    <row r="870" spans="1:37" ht="14.25" customHeight="1" x14ac:dyDescent="0.2">
      <c r="A870" s="123"/>
      <c r="C870" s="123"/>
      <c r="AB870" s="123"/>
      <c r="AC870" s="123"/>
      <c r="AD870" s="125"/>
      <c r="AE870" s="123"/>
      <c r="AF870" s="123"/>
      <c r="AG870" s="123"/>
      <c r="AH870" s="123"/>
      <c r="AI870" s="123"/>
      <c r="AJ870" s="123"/>
      <c r="AK870" s="123"/>
    </row>
    <row r="871" spans="1:37" ht="14.25" customHeight="1" x14ac:dyDescent="0.2">
      <c r="A871" s="123"/>
      <c r="C871" s="123"/>
      <c r="AB871" s="123"/>
      <c r="AC871" s="123"/>
      <c r="AD871" s="125"/>
      <c r="AE871" s="123"/>
      <c r="AF871" s="123"/>
      <c r="AG871" s="123"/>
      <c r="AH871" s="123"/>
      <c r="AI871" s="123"/>
      <c r="AJ871" s="123"/>
      <c r="AK871" s="123"/>
    </row>
    <row r="872" spans="1:37" ht="14.25" customHeight="1" x14ac:dyDescent="0.2">
      <c r="A872" s="123"/>
      <c r="C872" s="123"/>
      <c r="AB872" s="123"/>
      <c r="AC872" s="123"/>
      <c r="AD872" s="125"/>
      <c r="AE872" s="123"/>
      <c r="AF872" s="123"/>
      <c r="AG872" s="123"/>
      <c r="AH872" s="123"/>
      <c r="AI872" s="123"/>
      <c r="AJ872" s="123"/>
      <c r="AK872" s="123"/>
    </row>
    <row r="873" spans="1:37" ht="14.25" customHeight="1" x14ac:dyDescent="0.2">
      <c r="A873" s="123"/>
      <c r="C873" s="123"/>
      <c r="AB873" s="123"/>
      <c r="AC873" s="123"/>
      <c r="AD873" s="125"/>
      <c r="AE873" s="123"/>
      <c r="AF873" s="123"/>
      <c r="AG873" s="123"/>
      <c r="AH873" s="123"/>
      <c r="AI873" s="123"/>
      <c r="AJ873" s="123"/>
      <c r="AK873" s="123"/>
    </row>
    <row r="874" spans="1:37" ht="14.25" customHeight="1" x14ac:dyDescent="0.2">
      <c r="A874" s="123"/>
      <c r="C874" s="123"/>
      <c r="AB874" s="123"/>
      <c r="AC874" s="123"/>
      <c r="AD874" s="125"/>
      <c r="AE874" s="123"/>
      <c r="AF874" s="123"/>
      <c r="AG874" s="123"/>
      <c r="AH874" s="123"/>
      <c r="AI874" s="123"/>
      <c r="AJ874" s="123"/>
      <c r="AK874" s="123"/>
    </row>
    <row r="875" spans="1:37" ht="14.25" customHeight="1" x14ac:dyDescent="0.2">
      <c r="A875" s="123"/>
      <c r="C875" s="123"/>
      <c r="AB875" s="123"/>
      <c r="AC875" s="123"/>
      <c r="AD875" s="125"/>
      <c r="AE875" s="123"/>
      <c r="AF875" s="123"/>
      <c r="AG875" s="123"/>
      <c r="AH875" s="123"/>
      <c r="AI875" s="123"/>
      <c r="AJ875" s="123"/>
      <c r="AK875" s="123"/>
    </row>
    <row r="876" spans="1:37" ht="14.25" customHeight="1" x14ac:dyDescent="0.2">
      <c r="A876" s="123"/>
      <c r="C876" s="123"/>
      <c r="AB876" s="123"/>
      <c r="AC876" s="123"/>
      <c r="AD876" s="125"/>
      <c r="AE876" s="123"/>
      <c r="AF876" s="123"/>
      <c r="AG876" s="123"/>
      <c r="AH876" s="123"/>
      <c r="AI876" s="123"/>
      <c r="AJ876" s="123"/>
      <c r="AK876" s="123"/>
    </row>
    <row r="877" spans="1:37" ht="14.25" customHeight="1" x14ac:dyDescent="0.2">
      <c r="A877" s="123"/>
      <c r="C877" s="123"/>
      <c r="AB877" s="123"/>
      <c r="AC877" s="123"/>
      <c r="AD877" s="125"/>
      <c r="AE877" s="123"/>
      <c r="AF877" s="123"/>
      <c r="AG877" s="123"/>
      <c r="AH877" s="123"/>
      <c r="AI877" s="123"/>
      <c r="AJ877" s="123"/>
      <c r="AK877" s="123"/>
    </row>
    <row r="878" spans="1:37" ht="14.25" customHeight="1" x14ac:dyDescent="0.2">
      <c r="A878" s="123"/>
      <c r="C878" s="123"/>
      <c r="AB878" s="123"/>
      <c r="AC878" s="123"/>
      <c r="AD878" s="125"/>
      <c r="AE878" s="123"/>
      <c r="AF878" s="123"/>
      <c r="AG878" s="123"/>
      <c r="AH878" s="123"/>
      <c r="AI878" s="123"/>
      <c r="AJ878" s="123"/>
      <c r="AK878" s="123"/>
    </row>
    <row r="879" spans="1:37" ht="14.25" customHeight="1" x14ac:dyDescent="0.2">
      <c r="A879" s="123"/>
      <c r="C879" s="123"/>
      <c r="AB879" s="123"/>
      <c r="AC879" s="123"/>
      <c r="AD879" s="125"/>
      <c r="AE879" s="123"/>
      <c r="AF879" s="123"/>
      <c r="AG879" s="123"/>
      <c r="AH879" s="123"/>
      <c r="AI879" s="123"/>
      <c r="AJ879" s="123"/>
      <c r="AK879" s="123"/>
    </row>
    <row r="880" spans="1:37" ht="14.25" customHeight="1" x14ac:dyDescent="0.2">
      <c r="A880" s="123"/>
      <c r="C880" s="123"/>
      <c r="AB880" s="123"/>
      <c r="AC880" s="123"/>
      <c r="AD880" s="125"/>
      <c r="AE880" s="123"/>
      <c r="AF880" s="123"/>
      <c r="AG880" s="123"/>
      <c r="AH880" s="123"/>
      <c r="AI880" s="123"/>
      <c r="AJ880" s="123"/>
      <c r="AK880" s="123"/>
    </row>
    <row r="881" spans="1:37" ht="14.25" customHeight="1" x14ac:dyDescent="0.2">
      <c r="A881" s="123"/>
      <c r="C881" s="123"/>
      <c r="AB881" s="123"/>
      <c r="AC881" s="123"/>
      <c r="AD881" s="125"/>
      <c r="AE881" s="123"/>
      <c r="AF881" s="123"/>
      <c r="AG881" s="123"/>
      <c r="AH881" s="123"/>
      <c r="AI881" s="123"/>
      <c r="AJ881" s="123"/>
      <c r="AK881" s="123"/>
    </row>
    <row r="882" spans="1:37" ht="14.25" customHeight="1" x14ac:dyDescent="0.2">
      <c r="A882" s="123"/>
      <c r="C882" s="123"/>
      <c r="AB882" s="123"/>
      <c r="AC882" s="123"/>
      <c r="AD882" s="125"/>
      <c r="AE882" s="123"/>
      <c r="AF882" s="123"/>
      <c r="AG882" s="123"/>
      <c r="AH882" s="123"/>
      <c r="AI882" s="123"/>
      <c r="AJ882" s="123"/>
      <c r="AK882" s="123"/>
    </row>
    <row r="883" spans="1:37" ht="14.25" customHeight="1" x14ac:dyDescent="0.2">
      <c r="A883" s="123"/>
      <c r="C883" s="123"/>
      <c r="AB883" s="123"/>
      <c r="AC883" s="123"/>
      <c r="AD883" s="125"/>
      <c r="AE883" s="123"/>
      <c r="AF883" s="123"/>
      <c r="AG883" s="123"/>
      <c r="AH883" s="123"/>
      <c r="AI883" s="123"/>
      <c r="AJ883" s="123"/>
      <c r="AK883" s="123"/>
    </row>
    <row r="884" spans="1:37" ht="14.25" customHeight="1" x14ac:dyDescent="0.2">
      <c r="A884" s="123"/>
      <c r="C884" s="123"/>
      <c r="AB884" s="123"/>
      <c r="AC884" s="123"/>
      <c r="AD884" s="125"/>
      <c r="AE884" s="123"/>
      <c r="AF884" s="123"/>
      <c r="AG884" s="123"/>
      <c r="AH884" s="123"/>
      <c r="AI884" s="123"/>
      <c r="AJ884" s="123"/>
      <c r="AK884" s="123"/>
    </row>
    <row r="885" spans="1:37" ht="14.25" customHeight="1" x14ac:dyDescent="0.2">
      <c r="A885" s="123"/>
      <c r="C885" s="123"/>
      <c r="AB885" s="123"/>
      <c r="AC885" s="123"/>
      <c r="AD885" s="125"/>
      <c r="AE885" s="123"/>
      <c r="AF885" s="123"/>
      <c r="AG885" s="123"/>
      <c r="AH885" s="123"/>
      <c r="AI885" s="123"/>
      <c r="AJ885" s="123"/>
      <c r="AK885" s="123"/>
    </row>
    <row r="886" spans="1:37" ht="14.25" customHeight="1" x14ac:dyDescent="0.2">
      <c r="A886" s="123"/>
      <c r="C886" s="123"/>
      <c r="AB886" s="123"/>
      <c r="AC886" s="123"/>
      <c r="AD886" s="125"/>
      <c r="AE886" s="123"/>
      <c r="AF886" s="123"/>
      <c r="AG886" s="123"/>
      <c r="AH886" s="123"/>
      <c r="AI886" s="123"/>
      <c r="AJ886" s="123"/>
      <c r="AK886" s="123"/>
    </row>
    <row r="887" spans="1:37" ht="14.25" customHeight="1" x14ac:dyDescent="0.2">
      <c r="A887" s="123"/>
      <c r="C887" s="123"/>
      <c r="AB887" s="123"/>
      <c r="AC887" s="123"/>
      <c r="AD887" s="125"/>
      <c r="AE887" s="123"/>
      <c r="AF887" s="123"/>
      <c r="AG887" s="123"/>
      <c r="AH887" s="123"/>
      <c r="AI887" s="123"/>
      <c r="AJ887" s="123"/>
      <c r="AK887" s="123"/>
    </row>
    <row r="888" spans="1:37" ht="14.25" customHeight="1" x14ac:dyDescent="0.2">
      <c r="A888" s="123"/>
      <c r="C888" s="123"/>
      <c r="AB888" s="123"/>
      <c r="AC888" s="123"/>
      <c r="AD888" s="125"/>
      <c r="AE888" s="123"/>
      <c r="AF888" s="123"/>
      <c r="AG888" s="123"/>
      <c r="AH888" s="123"/>
      <c r="AI888" s="123"/>
      <c r="AJ888" s="123"/>
      <c r="AK888" s="123"/>
    </row>
    <row r="889" spans="1:37" ht="14.25" customHeight="1" x14ac:dyDescent="0.2">
      <c r="A889" s="123"/>
      <c r="C889" s="123"/>
      <c r="AB889" s="123"/>
      <c r="AC889" s="123"/>
      <c r="AD889" s="125"/>
      <c r="AE889" s="123"/>
      <c r="AF889" s="123"/>
      <c r="AG889" s="123"/>
      <c r="AH889" s="123"/>
      <c r="AI889" s="123"/>
      <c r="AJ889" s="123"/>
      <c r="AK889" s="123"/>
    </row>
    <row r="890" spans="1:37" ht="14.25" customHeight="1" x14ac:dyDescent="0.2">
      <c r="A890" s="123"/>
      <c r="C890" s="123"/>
      <c r="AB890" s="123"/>
      <c r="AC890" s="123"/>
      <c r="AD890" s="125"/>
      <c r="AE890" s="123"/>
      <c r="AF890" s="123"/>
      <c r="AG890" s="123"/>
      <c r="AH890" s="123"/>
      <c r="AI890" s="123"/>
      <c r="AJ890" s="123"/>
      <c r="AK890" s="123"/>
    </row>
    <row r="891" spans="1:37" ht="14.25" customHeight="1" x14ac:dyDescent="0.2">
      <c r="A891" s="123"/>
      <c r="C891" s="123"/>
      <c r="AB891" s="123"/>
      <c r="AC891" s="123"/>
      <c r="AD891" s="125"/>
      <c r="AE891" s="123"/>
      <c r="AF891" s="123"/>
      <c r="AG891" s="123"/>
      <c r="AH891" s="123"/>
      <c r="AI891" s="123"/>
      <c r="AJ891" s="123"/>
      <c r="AK891" s="123"/>
    </row>
    <row r="892" spans="1:37" ht="14.25" customHeight="1" x14ac:dyDescent="0.2">
      <c r="A892" s="123"/>
      <c r="C892" s="123"/>
      <c r="AB892" s="123"/>
      <c r="AC892" s="123"/>
      <c r="AD892" s="125"/>
      <c r="AE892" s="123"/>
      <c r="AF892" s="123"/>
      <c r="AG892" s="123"/>
      <c r="AH892" s="123"/>
      <c r="AI892" s="123"/>
      <c r="AJ892" s="123"/>
      <c r="AK892" s="123"/>
    </row>
    <row r="893" spans="1:37" ht="14.25" customHeight="1" x14ac:dyDescent="0.2">
      <c r="A893" s="123"/>
      <c r="C893" s="123"/>
      <c r="AB893" s="123"/>
      <c r="AC893" s="123"/>
      <c r="AD893" s="125"/>
      <c r="AE893" s="123"/>
      <c r="AF893" s="123"/>
      <c r="AG893" s="123"/>
      <c r="AH893" s="123"/>
      <c r="AI893" s="123"/>
      <c r="AJ893" s="123"/>
      <c r="AK893" s="123"/>
    </row>
    <row r="894" spans="1:37" ht="14.25" customHeight="1" x14ac:dyDescent="0.2">
      <c r="A894" s="123"/>
      <c r="C894" s="123"/>
      <c r="AB894" s="123"/>
      <c r="AC894" s="123"/>
      <c r="AD894" s="125"/>
      <c r="AE894" s="123"/>
      <c r="AF894" s="123"/>
      <c r="AG894" s="123"/>
      <c r="AH894" s="123"/>
      <c r="AI894" s="123"/>
      <c r="AJ894" s="123"/>
      <c r="AK894" s="123"/>
    </row>
    <row r="895" spans="1:37" ht="14.25" customHeight="1" x14ac:dyDescent="0.2">
      <c r="A895" s="123"/>
      <c r="C895" s="123"/>
      <c r="AB895" s="123"/>
      <c r="AC895" s="123"/>
      <c r="AD895" s="125"/>
      <c r="AE895" s="123"/>
      <c r="AF895" s="123"/>
      <c r="AG895" s="123"/>
      <c r="AH895" s="123"/>
      <c r="AI895" s="123"/>
      <c r="AJ895" s="123"/>
      <c r="AK895" s="123"/>
    </row>
    <row r="896" spans="1:37" ht="14.25" customHeight="1" x14ac:dyDescent="0.2">
      <c r="A896" s="123"/>
      <c r="C896" s="123"/>
      <c r="AB896" s="123"/>
      <c r="AC896" s="123"/>
      <c r="AD896" s="125"/>
      <c r="AE896" s="123"/>
      <c r="AF896" s="123"/>
      <c r="AG896" s="123"/>
      <c r="AH896" s="123"/>
      <c r="AI896" s="123"/>
      <c r="AJ896" s="123"/>
      <c r="AK896" s="123"/>
    </row>
    <row r="897" spans="1:37" ht="14.25" customHeight="1" x14ac:dyDescent="0.2">
      <c r="A897" s="123"/>
      <c r="C897" s="123"/>
      <c r="AB897" s="123"/>
      <c r="AC897" s="123"/>
      <c r="AD897" s="125"/>
      <c r="AE897" s="123"/>
      <c r="AF897" s="123"/>
      <c r="AG897" s="123"/>
      <c r="AH897" s="123"/>
      <c r="AI897" s="123"/>
      <c r="AJ897" s="123"/>
      <c r="AK897" s="123"/>
    </row>
    <row r="898" spans="1:37" ht="14.25" customHeight="1" x14ac:dyDescent="0.2">
      <c r="A898" s="123"/>
      <c r="C898" s="123"/>
      <c r="AB898" s="123"/>
      <c r="AC898" s="123"/>
      <c r="AD898" s="125"/>
      <c r="AE898" s="123"/>
      <c r="AF898" s="123"/>
      <c r="AG898" s="123"/>
      <c r="AH898" s="123"/>
      <c r="AI898" s="123"/>
      <c r="AJ898" s="123"/>
      <c r="AK898" s="123"/>
    </row>
    <row r="899" spans="1:37" ht="14.25" customHeight="1" x14ac:dyDescent="0.2">
      <c r="A899" s="123"/>
      <c r="C899" s="123"/>
      <c r="AB899" s="123"/>
      <c r="AC899" s="123"/>
      <c r="AD899" s="125"/>
      <c r="AE899" s="123"/>
      <c r="AF899" s="123"/>
      <c r="AG899" s="123"/>
      <c r="AH899" s="123"/>
      <c r="AI899" s="123"/>
      <c r="AJ899" s="123"/>
      <c r="AK899" s="123"/>
    </row>
    <row r="900" spans="1:37" ht="14.25" customHeight="1" x14ac:dyDescent="0.2">
      <c r="A900" s="123"/>
      <c r="C900" s="123"/>
      <c r="AB900" s="123"/>
      <c r="AC900" s="123"/>
      <c r="AD900" s="125"/>
      <c r="AE900" s="123"/>
      <c r="AF900" s="123"/>
      <c r="AG900" s="123"/>
      <c r="AH900" s="123"/>
      <c r="AI900" s="123"/>
      <c r="AJ900" s="123"/>
      <c r="AK900" s="123"/>
    </row>
    <row r="901" spans="1:37" ht="14.25" customHeight="1" x14ac:dyDescent="0.2">
      <c r="A901" s="123"/>
      <c r="C901" s="123"/>
      <c r="AB901" s="123"/>
      <c r="AC901" s="123"/>
      <c r="AD901" s="125"/>
      <c r="AE901" s="123"/>
      <c r="AF901" s="123"/>
      <c r="AG901" s="123"/>
      <c r="AH901" s="123"/>
      <c r="AI901" s="123"/>
      <c r="AJ901" s="123"/>
      <c r="AK901" s="123"/>
    </row>
    <row r="902" spans="1:37" ht="14.25" customHeight="1" x14ac:dyDescent="0.2">
      <c r="A902" s="123"/>
      <c r="C902" s="123"/>
      <c r="AB902" s="123"/>
      <c r="AC902" s="123"/>
      <c r="AD902" s="125"/>
      <c r="AE902" s="123"/>
      <c r="AF902" s="123"/>
      <c r="AG902" s="123"/>
      <c r="AH902" s="123"/>
      <c r="AI902" s="123"/>
      <c r="AJ902" s="123"/>
      <c r="AK902" s="123"/>
    </row>
    <row r="903" spans="1:37" ht="14.25" customHeight="1" x14ac:dyDescent="0.2">
      <c r="A903" s="123"/>
      <c r="C903" s="123"/>
      <c r="AB903" s="123"/>
      <c r="AC903" s="123"/>
      <c r="AD903" s="125"/>
      <c r="AE903" s="123"/>
      <c r="AF903" s="123"/>
      <c r="AG903" s="123"/>
      <c r="AH903" s="123"/>
      <c r="AI903" s="123"/>
      <c r="AJ903" s="123"/>
      <c r="AK903" s="123"/>
    </row>
    <row r="904" spans="1:37" ht="14.25" customHeight="1" x14ac:dyDescent="0.2">
      <c r="A904" s="123"/>
      <c r="C904" s="123"/>
      <c r="AB904" s="123"/>
      <c r="AC904" s="123"/>
      <c r="AD904" s="125"/>
      <c r="AE904" s="123"/>
      <c r="AF904" s="123"/>
      <c r="AG904" s="123"/>
      <c r="AH904" s="123"/>
      <c r="AI904" s="123"/>
      <c r="AJ904" s="123"/>
      <c r="AK904" s="123"/>
    </row>
    <row r="905" spans="1:37" ht="14.25" customHeight="1" x14ac:dyDescent="0.2">
      <c r="A905" s="123"/>
      <c r="C905" s="123"/>
      <c r="AB905" s="123"/>
      <c r="AC905" s="123"/>
      <c r="AD905" s="125"/>
      <c r="AE905" s="123"/>
      <c r="AF905" s="123"/>
      <c r="AG905" s="123"/>
      <c r="AH905" s="123"/>
      <c r="AI905" s="123"/>
      <c r="AJ905" s="123"/>
      <c r="AK905" s="123"/>
    </row>
    <row r="906" spans="1:37" ht="14.25" customHeight="1" x14ac:dyDescent="0.2">
      <c r="A906" s="123"/>
      <c r="C906" s="123"/>
      <c r="AB906" s="123"/>
      <c r="AC906" s="123"/>
      <c r="AD906" s="125"/>
      <c r="AE906" s="123"/>
      <c r="AF906" s="123"/>
      <c r="AG906" s="123"/>
      <c r="AH906" s="123"/>
      <c r="AI906" s="123"/>
      <c r="AJ906" s="123"/>
      <c r="AK906" s="123"/>
    </row>
    <row r="907" spans="1:37" ht="14.25" customHeight="1" x14ac:dyDescent="0.2">
      <c r="A907" s="123"/>
      <c r="C907" s="123"/>
      <c r="AB907" s="123"/>
      <c r="AC907" s="123"/>
      <c r="AD907" s="125"/>
      <c r="AE907" s="123"/>
      <c r="AF907" s="123"/>
      <c r="AG907" s="123"/>
      <c r="AH907" s="123"/>
      <c r="AI907" s="123"/>
      <c r="AJ907" s="123"/>
      <c r="AK907" s="123"/>
    </row>
    <row r="908" spans="1:37" ht="14.25" customHeight="1" x14ac:dyDescent="0.2">
      <c r="A908" s="123"/>
      <c r="C908" s="123"/>
      <c r="AB908" s="123"/>
      <c r="AC908" s="123"/>
      <c r="AD908" s="125"/>
      <c r="AE908" s="123"/>
      <c r="AF908" s="123"/>
      <c r="AG908" s="123"/>
      <c r="AH908" s="123"/>
      <c r="AI908" s="123"/>
      <c r="AJ908" s="123"/>
      <c r="AK908" s="123"/>
    </row>
    <row r="909" spans="1:37" ht="14.25" customHeight="1" x14ac:dyDescent="0.2">
      <c r="A909" s="123"/>
      <c r="C909" s="123"/>
      <c r="AB909" s="123"/>
      <c r="AC909" s="123"/>
      <c r="AD909" s="125"/>
      <c r="AE909" s="123"/>
      <c r="AF909" s="123"/>
      <c r="AG909" s="123"/>
      <c r="AH909" s="123"/>
      <c r="AI909" s="123"/>
      <c r="AJ909" s="123"/>
      <c r="AK909" s="123"/>
    </row>
    <row r="910" spans="1:37" ht="14.25" customHeight="1" x14ac:dyDescent="0.2">
      <c r="A910" s="123"/>
      <c r="C910" s="123"/>
      <c r="AB910" s="123"/>
      <c r="AC910" s="123"/>
      <c r="AD910" s="125"/>
      <c r="AE910" s="123"/>
      <c r="AF910" s="123"/>
      <c r="AG910" s="123"/>
      <c r="AH910" s="123"/>
      <c r="AI910" s="123"/>
      <c r="AJ910" s="123"/>
      <c r="AK910" s="123"/>
    </row>
    <row r="911" spans="1:37" ht="14.25" customHeight="1" x14ac:dyDescent="0.2">
      <c r="A911" s="123"/>
      <c r="C911" s="123"/>
      <c r="AB911" s="123"/>
      <c r="AC911" s="123"/>
      <c r="AD911" s="125"/>
      <c r="AE911" s="123"/>
      <c r="AF911" s="123"/>
      <c r="AG911" s="123"/>
      <c r="AH911" s="123"/>
      <c r="AI911" s="123"/>
      <c r="AJ911" s="123"/>
      <c r="AK911" s="123"/>
    </row>
    <row r="912" spans="1:37" ht="14.25" customHeight="1" x14ac:dyDescent="0.2">
      <c r="A912" s="123"/>
      <c r="C912" s="123"/>
      <c r="AB912" s="123"/>
      <c r="AC912" s="123"/>
      <c r="AD912" s="125"/>
      <c r="AE912" s="123"/>
      <c r="AF912" s="123"/>
      <c r="AG912" s="123"/>
      <c r="AH912" s="123"/>
      <c r="AI912" s="123"/>
      <c r="AJ912" s="123"/>
      <c r="AK912" s="123"/>
    </row>
    <row r="913" spans="1:37" ht="14.25" customHeight="1" x14ac:dyDescent="0.2">
      <c r="A913" s="123"/>
      <c r="C913" s="123"/>
      <c r="AB913" s="123"/>
      <c r="AC913" s="123"/>
      <c r="AD913" s="125"/>
      <c r="AE913" s="123"/>
      <c r="AF913" s="123"/>
      <c r="AG913" s="123"/>
      <c r="AH913" s="123"/>
      <c r="AI913" s="123"/>
      <c r="AJ913" s="123"/>
      <c r="AK913" s="123"/>
    </row>
    <row r="914" spans="1:37" ht="14.25" customHeight="1" x14ac:dyDescent="0.2">
      <c r="A914" s="123"/>
      <c r="C914" s="123"/>
      <c r="AB914" s="123"/>
      <c r="AC914" s="123"/>
      <c r="AD914" s="125"/>
      <c r="AE914" s="123"/>
      <c r="AF914" s="123"/>
      <c r="AG914" s="123"/>
      <c r="AH914" s="123"/>
      <c r="AI914" s="123"/>
      <c r="AJ914" s="123"/>
      <c r="AK914" s="123"/>
    </row>
    <row r="915" spans="1:37" ht="14.25" customHeight="1" x14ac:dyDescent="0.2">
      <c r="A915" s="123"/>
      <c r="C915" s="123"/>
      <c r="AB915" s="123"/>
      <c r="AC915" s="123"/>
      <c r="AD915" s="125"/>
      <c r="AE915" s="123"/>
      <c r="AF915" s="123"/>
      <c r="AG915" s="123"/>
      <c r="AH915" s="123"/>
      <c r="AI915" s="123"/>
      <c r="AJ915" s="123"/>
      <c r="AK915" s="123"/>
    </row>
    <row r="916" spans="1:37" ht="14.25" customHeight="1" x14ac:dyDescent="0.2">
      <c r="A916" s="123"/>
      <c r="C916" s="123"/>
      <c r="AB916" s="123"/>
      <c r="AC916" s="123"/>
      <c r="AD916" s="125"/>
      <c r="AE916" s="123"/>
      <c r="AF916" s="123"/>
      <c r="AG916" s="123"/>
      <c r="AH916" s="123"/>
      <c r="AI916" s="123"/>
      <c r="AJ916" s="123"/>
      <c r="AK916" s="123"/>
    </row>
    <row r="917" spans="1:37" ht="14.25" customHeight="1" x14ac:dyDescent="0.2">
      <c r="A917" s="123"/>
      <c r="C917" s="123"/>
      <c r="AB917" s="123"/>
      <c r="AC917" s="123"/>
      <c r="AD917" s="125"/>
      <c r="AE917" s="123"/>
      <c r="AF917" s="123"/>
      <c r="AG917" s="123"/>
      <c r="AH917" s="123"/>
      <c r="AI917" s="123"/>
      <c r="AJ917" s="123"/>
      <c r="AK917" s="123"/>
    </row>
    <row r="918" spans="1:37" ht="14.25" customHeight="1" x14ac:dyDescent="0.2">
      <c r="A918" s="123"/>
      <c r="C918" s="123"/>
      <c r="AB918" s="123"/>
      <c r="AC918" s="123"/>
      <c r="AD918" s="125"/>
      <c r="AE918" s="123"/>
      <c r="AF918" s="123"/>
      <c r="AG918" s="123"/>
      <c r="AH918" s="123"/>
      <c r="AI918" s="123"/>
      <c r="AJ918" s="123"/>
      <c r="AK918" s="123"/>
    </row>
    <row r="919" spans="1:37" ht="14.25" customHeight="1" x14ac:dyDescent="0.2">
      <c r="A919" s="123"/>
      <c r="C919" s="123"/>
      <c r="AB919" s="123"/>
      <c r="AC919" s="123"/>
      <c r="AD919" s="125"/>
      <c r="AE919" s="123"/>
      <c r="AF919" s="123"/>
      <c r="AG919" s="123"/>
      <c r="AH919" s="123"/>
      <c r="AI919" s="123"/>
      <c r="AJ919" s="123"/>
      <c r="AK919" s="123"/>
    </row>
    <row r="920" spans="1:37" ht="14.25" customHeight="1" x14ac:dyDescent="0.2">
      <c r="A920" s="123"/>
      <c r="C920" s="123"/>
      <c r="AB920" s="123"/>
      <c r="AC920" s="123"/>
      <c r="AD920" s="125"/>
      <c r="AE920" s="123"/>
      <c r="AF920" s="123"/>
      <c r="AG920" s="123"/>
      <c r="AH920" s="123"/>
      <c r="AI920" s="123"/>
      <c r="AJ920" s="123"/>
      <c r="AK920" s="123"/>
    </row>
    <row r="921" spans="1:37" ht="14.25" customHeight="1" x14ac:dyDescent="0.2">
      <c r="A921" s="123"/>
      <c r="C921" s="123"/>
      <c r="AB921" s="123"/>
      <c r="AC921" s="123"/>
      <c r="AD921" s="125"/>
      <c r="AE921" s="123"/>
      <c r="AF921" s="123"/>
      <c r="AG921" s="123"/>
      <c r="AH921" s="123"/>
      <c r="AI921" s="123"/>
      <c r="AJ921" s="123"/>
      <c r="AK921" s="123"/>
    </row>
    <row r="922" spans="1:37" ht="14.25" customHeight="1" x14ac:dyDescent="0.2">
      <c r="A922" s="123"/>
      <c r="C922" s="123"/>
      <c r="AB922" s="123"/>
      <c r="AC922" s="123"/>
      <c r="AD922" s="125"/>
      <c r="AE922" s="123"/>
      <c r="AF922" s="123"/>
      <c r="AG922" s="123"/>
      <c r="AH922" s="123"/>
      <c r="AI922" s="123"/>
      <c r="AJ922" s="123"/>
      <c r="AK922" s="123"/>
    </row>
    <row r="923" spans="1:37" ht="14.25" customHeight="1" x14ac:dyDescent="0.2">
      <c r="A923" s="123"/>
      <c r="C923" s="123"/>
      <c r="AB923" s="123"/>
      <c r="AC923" s="123"/>
      <c r="AD923" s="125"/>
      <c r="AE923" s="123"/>
      <c r="AF923" s="123"/>
      <c r="AG923" s="123"/>
      <c r="AH923" s="123"/>
      <c r="AI923" s="123"/>
      <c r="AJ923" s="123"/>
      <c r="AK923" s="123"/>
    </row>
    <row r="924" spans="1:37" ht="14.25" customHeight="1" x14ac:dyDescent="0.2">
      <c r="A924" s="123"/>
      <c r="C924" s="123"/>
      <c r="AB924" s="123"/>
      <c r="AC924" s="123"/>
      <c r="AD924" s="125"/>
      <c r="AE924" s="123"/>
      <c r="AF924" s="123"/>
      <c r="AG924" s="123"/>
      <c r="AH924" s="123"/>
      <c r="AI924" s="123"/>
      <c r="AJ924" s="123"/>
      <c r="AK924" s="123"/>
    </row>
    <row r="925" spans="1:37" ht="14.25" customHeight="1" x14ac:dyDescent="0.2">
      <c r="A925" s="123"/>
      <c r="C925" s="123"/>
      <c r="AB925" s="123"/>
      <c r="AC925" s="123"/>
      <c r="AD925" s="125"/>
      <c r="AE925" s="123"/>
      <c r="AF925" s="123"/>
      <c r="AG925" s="123"/>
      <c r="AH925" s="123"/>
      <c r="AI925" s="123"/>
      <c r="AJ925" s="123"/>
      <c r="AK925" s="123"/>
    </row>
    <row r="926" spans="1:37" ht="14.25" customHeight="1" x14ac:dyDescent="0.2">
      <c r="A926" s="123"/>
      <c r="C926" s="123"/>
      <c r="AB926" s="123"/>
      <c r="AC926" s="123"/>
      <c r="AD926" s="125"/>
      <c r="AE926" s="123"/>
      <c r="AF926" s="123"/>
      <c r="AG926" s="123"/>
      <c r="AH926" s="123"/>
      <c r="AI926" s="123"/>
      <c r="AJ926" s="123"/>
      <c r="AK926" s="123"/>
    </row>
    <row r="927" spans="1:37" ht="14.25" customHeight="1" x14ac:dyDescent="0.2">
      <c r="A927" s="123"/>
      <c r="C927" s="123"/>
      <c r="AB927" s="123"/>
      <c r="AC927" s="123"/>
      <c r="AD927" s="125"/>
      <c r="AE927" s="123"/>
      <c r="AF927" s="123"/>
      <c r="AG927" s="123"/>
      <c r="AH927" s="123"/>
      <c r="AI927" s="123"/>
      <c r="AJ927" s="123"/>
      <c r="AK927" s="123"/>
    </row>
    <row r="928" spans="1:37" ht="14.25" customHeight="1" x14ac:dyDescent="0.2">
      <c r="A928" s="123"/>
      <c r="C928" s="123"/>
      <c r="AB928" s="123"/>
      <c r="AC928" s="123"/>
      <c r="AD928" s="125"/>
      <c r="AE928" s="123"/>
      <c r="AF928" s="123"/>
      <c r="AG928" s="123"/>
      <c r="AH928" s="123"/>
      <c r="AI928" s="123"/>
      <c r="AJ928" s="123"/>
      <c r="AK928" s="123"/>
    </row>
    <row r="929" spans="1:37" ht="14.25" customHeight="1" x14ac:dyDescent="0.2">
      <c r="A929" s="123"/>
      <c r="C929" s="123"/>
      <c r="AB929" s="123"/>
      <c r="AC929" s="123"/>
      <c r="AD929" s="125"/>
      <c r="AE929" s="123"/>
      <c r="AF929" s="123"/>
      <c r="AG929" s="123"/>
      <c r="AH929" s="123"/>
      <c r="AI929" s="123"/>
      <c r="AJ929" s="123"/>
      <c r="AK929" s="123"/>
    </row>
    <row r="930" spans="1:37" ht="14.25" customHeight="1" x14ac:dyDescent="0.2">
      <c r="A930" s="123"/>
      <c r="C930" s="123"/>
      <c r="AB930" s="123"/>
      <c r="AC930" s="123"/>
      <c r="AD930" s="125"/>
      <c r="AE930" s="123"/>
      <c r="AF930" s="123"/>
      <c r="AG930" s="123"/>
      <c r="AH930" s="123"/>
      <c r="AI930" s="123"/>
      <c r="AJ930" s="123"/>
      <c r="AK930" s="123"/>
    </row>
    <row r="931" spans="1:37" ht="14.25" customHeight="1" x14ac:dyDescent="0.2">
      <c r="A931" s="123"/>
      <c r="C931" s="123"/>
      <c r="AB931" s="123"/>
      <c r="AC931" s="123"/>
      <c r="AD931" s="125"/>
      <c r="AE931" s="123"/>
      <c r="AF931" s="123"/>
      <c r="AG931" s="123"/>
      <c r="AH931" s="123"/>
      <c r="AI931" s="123"/>
      <c r="AJ931" s="123"/>
      <c r="AK931" s="123"/>
    </row>
    <row r="932" spans="1:37" ht="14.25" customHeight="1" x14ac:dyDescent="0.2">
      <c r="A932" s="123"/>
      <c r="C932" s="123"/>
      <c r="AB932" s="123"/>
      <c r="AC932" s="123"/>
      <c r="AD932" s="125"/>
      <c r="AE932" s="123"/>
      <c r="AF932" s="123"/>
      <c r="AG932" s="123"/>
      <c r="AH932" s="123"/>
      <c r="AI932" s="123"/>
      <c r="AJ932" s="123"/>
      <c r="AK932" s="123"/>
    </row>
    <row r="933" spans="1:37" ht="14.25" customHeight="1" x14ac:dyDescent="0.2">
      <c r="A933" s="123"/>
      <c r="C933" s="123"/>
      <c r="AB933" s="123"/>
      <c r="AC933" s="123"/>
      <c r="AD933" s="125"/>
      <c r="AE933" s="123"/>
      <c r="AF933" s="123"/>
      <c r="AG933" s="123"/>
      <c r="AH933" s="123"/>
      <c r="AI933" s="123"/>
      <c r="AJ933" s="123"/>
      <c r="AK933" s="123"/>
    </row>
    <row r="934" spans="1:37" ht="14.25" customHeight="1" x14ac:dyDescent="0.2">
      <c r="A934" s="123"/>
      <c r="C934" s="123"/>
      <c r="AB934" s="123"/>
      <c r="AC934" s="123"/>
      <c r="AD934" s="125"/>
      <c r="AE934" s="123"/>
      <c r="AF934" s="123"/>
      <c r="AG934" s="123"/>
      <c r="AH934" s="123"/>
      <c r="AI934" s="123"/>
      <c r="AJ934" s="123"/>
      <c r="AK934" s="123"/>
    </row>
    <row r="935" spans="1:37" ht="14.25" customHeight="1" x14ac:dyDescent="0.2">
      <c r="A935" s="123"/>
      <c r="C935" s="123"/>
      <c r="AB935" s="123"/>
      <c r="AC935" s="123"/>
      <c r="AD935" s="125"/>
      <c r="AE935" s="123"/>
      <c r="AF935" s="123"/>
      <c r="AG935" s="123"/>
      <c r="AH935" s="123"/>
      <c r="AI935" s="123"/>
      <c r="AJ935" s="123"/>
      <c r="AK935" s="123"/>
    </row>
    <row r="936" spans="1:37" ht="14.25" customHeight="1" x14ac:dyDescent="0.2">
      <c r="A936" s="123"/>
      <c r="C936" s="123"/>
      <c r="AB936" s="123"/>
      <c r="AC936" s="123"/>
      <c r="AD936" s="125"/>
      <c r="AE936" s="123"/>
      <c r="AF936" s="123"/>
      <c r="AG936" s="123"/>
      <c r="AH936" s="123"/>
      <c r="AI936" s="123"/>
      <c r="AJ936" s="123"/>
      <c r="AK936" s="123"/>
    </row>
    <row r="937" spans="1:37" ht="14.25" customHeight="1" x14ac:dyDescent="0.2">
      <c r="A937" s="123"/>
      <c r="C937" s="123"/>
      <c r="AB937" s="123"/>
      <c r="AC937" s="123"/>
      <c r="AD937" s="125"/>
      <c r="AE937" s="123"/>
      <c r="AF937" s="123"/>
      <c r="AG937" s="123"/>
      <c r="AH937" s="123"/>
      <c r="AI937" s="123"/>
      <c r="AJ937" s="123"/>
      <c r="AK937" s="123"/>
    </row>
    <row r="938" spans="1:37" ht="14.25" customHeight="1" x14ac:dyDescent="0.2">
      <c r="A938" s="123"/>
      <c r="C938" s="123"/>
      <c r="AB938" s="123"/>
      <c r="AC938" s="123"/>
      <c r="AD938" s="125"/>
      <c r="AE938" s="123"/>
      <c r="AF938" s="123"/>
      <c r="AG938" s="123"/>
      <c r="AH938" s="123"/>
      <c r="AI938" s="123"/>
      <c r="AJ938" s="123"/>
      <c r="AK938" s="123"/>
    </row>
    <row r="939" spans="1:37" ht="14.25" customHeight="1" x14ac:dyDescent="0.2">
      <c r="A939" s="123"/>
      <c r="C939" s="123"/>
      <c r="AB939" s="123"/>
      <c r="AC939" s="123"/>
      <c r="AD939" s="125"/>
      <c r="AE939" s="123"/>
      <c r="AF939" s="123"/>
      <c r="AG939" s="123"/>
      <c r="AH939" s="123"/>
      <c r="AI939" s="123"/>
      <c r="AJ939" s="123"/>
      <c r="AK939" s="123"/>
    </row>
    <row r="940" spans="1:37" ht="14.25" customHeight="1" x14ac:dyDescent="0.2">
      <c r="A940" s="123"/>
      <c r="C940" s="123"/>
      <c r="AB940" s="123"/>
      <c r="AC940" s="123"/>
      <c r="AD940" s="125"/>
      <c r="AE940" s="123"/>
      <c r="AF940" s="123"/>
      <c r="AG940" s="123"/>
      <c r="AH940" s="123"/>
      <c r="AI940" s="123"/>
      <c r="AJ940" s="123"/>
      <c r="AK940" s="123"/>
    </row>
    <row r="941" spans="1:37" ht="14.25" customHeight="1" x14ac:dyDescent="0.2">
      <c r="A941" s="123"/>
      <c r="C941" s="123"/>
      <c r="AB941" s="123"/>
      <c r="AC941" s="123"/>
      <c r="AD941" s="125"/>
      <c r="AE941" s="123"/>
      <c r="AF941" s="123"/>
      <c r="AG941" s="123"/>
      <c r="AH941" s="123"/>
      <c r="AI941" s="123"/>
      <c r="AJ941" s="123"/>
      <c r="AK941" s="123"/>
    </row>
    <row r="942" spans="1:37" ht="14.25" customHeight="1" x14ac:dyDescent="0.2">
      <c r="A942" s="123"/>
      <c r="C942" s="123"/>
      <c r="AB942" s="123"/>
      <c r="AC942" s="123"/>
      <c r="AD942" s="125"/>
      <c r="AE942" s="123"/>
      <c r="AF942" s="123"/>
      <c r="AG942" s="123"/>
      <c r="AH942" s="123"/>
      <c r="AI942" s="123"/>
      <c r="AJ942" s="123"/>
      <c r="AK942" s="123"/>
    </row>
    <row r="943" spans="1:37" ht="14.25" customHeight="1" x14ac:dyDescent="0.2">
      <c r="A943" s="123"/>
      <c r="C943" s="123"/>
      <c r="AB943" s="123"/>
      <c r="AC943" s="123"/>
      <c r="AD943" s="125"/>
      <c r="AE943" s="123"/>
      <c r="AF943" s="123"/>
      <c r="AG943" s="123"/>
      <c r="AH943" s="123"/>
      <c r="AI943" s="123"/>
      <c r="AJ943" s="123"/>
      <c r="AK943" s="123"/>
    </row>
    <row r="944" spans="1:37" ht="14.25" customHeight="1" x14ac:dyDescent="0.2">
      <c r="A944" s="123"/>
      <c r="C944" s="123"/>
      <c r="AB944" s="123"/>
      <c r="AC944" s="123"/>
      <c r="AD944" s="125"/>
      <c r="AE944" s="123"/>
      <c r="AF944" s="123"/>
      <c r="AG944" s="123"/>
      <c r="AH944" s="123"/>
      <c r="AI944" s="123"/>
      <c r="AJ944" s="123"/>
      <c r="AK944" s="123"/>
    </row>
    <row r="945" spans="1:37" ht="14.25" customHeight="1" x14ac:dyDescent="0.2">
      <c r="A945" s="123"/>
      <c r="C945" s="123"/>
      <c r="AB945" s="123"/>
      <c r="AC945" s="123"/>
      <c r="AD945" s="125"/>
      <c r="AE945" s="123"/>
      <c r="AF945" s="123"/>
      <c r="AG945" s="123"/>
      <c r="AH945" s="123"/>
      <c r="AI945" s="123"/>
      <c r="AJ945" s="123"/>
      <c r="AK945" s="123"/>
    </row>
    <row r="946" spans="1:37" ht="14.25" customHeight="1" x14ac:dyDescent="0.2">
      <c r="A946" s="123"/>
      <c r="C946" s="123"/>
      <c r="AB946" s="123"/>
      <c r="AC946" s="123"/>
      <c r="AD946" s="125"/>
      <c r="AE946" s="123"/>
      <c r="AF946" s="123"/>
      <c r="AG946" s="123"/>
      <c r="AH946" s="123"/>
      <c r="AI946" s="123"/>
      <c r="AJ946" s="123"/>
      <c r="AK946" s="123"/>
    </row>
    <row r="947" spans="1:37" ht="14.25" customHeight="1" x14ac:dyDescent="0.2">
      <c r="A947" s="123"/>
      <c r="C947" s="123"/>
      <c r="AB947" s="123"/>
      <c r="AC947" s="123"/>
      <c r="AD947" s="125"/>
      <c r="AE947" s="123"/>
      <c r="AF947" s="123"/>
      <c r="AG947" s="123"/>
      <c r="AH947" s="123"/>
      <c r="AI947" s="123"/>
      <c r="AJ947" s="123"/>
      <c r="AK947" s="123"/>
    </row>
    <row r="948" spans="1:37" ht="14.25" customHeight="1" x14ac:dyDescent="0.2">
      <c r="A948" s="123"/>
      <c r="C948" s="123"/>
      <c r="AB948" s="123"/>
      <c r="AC948" s="123"/>
      <c r="AD948" s="125"/>
      <c r="AE948" s="123"/>
      <c r="AF948" s="123"/>
      <c r="AG948" s="123"/>
      <c r="AH948" s="123"/>
      <c r="AI948" s="123"/>
      <c r="AJ948" s="123"/>
      <c r="AK948" s="123"/>
    </row>
    <row r="949" spans="1:37" ht="14.25" customHeight="1" x14ac:dyDescent="0.2">
      <c r="A949" s="123"/>
      <c r="C949" s="123"/>
      <c r="AB949" s="123"/>
      <c r="AC949" s="123"/>
      <c r="AD949" s="125"/>
      <c r="AE949" s="123"/>
      <c r="AF949" s="123"/>
      <c r="AG949" s="123"/>
      <c r="AH949" s="123"/>
      <c r="AI949" s="123"/>
      <c r="AJ949" s="123"/>
      <c r="AK949" s="123"/>
    </row>
    <row r="950" spans="1:37" ht="14.25" customHeight="1" x14ac:dyDescent="0.2">
      <c r="A950" s="123"/>
      <c r="C950" s="123"/>
      <c r="AB950" s="123"/>
      <c r="AC950" s="123"/>
      <c r="AD950" s="125"/>
      <c r="AE950" s="123"/>
      <c r="AF950" s="123"/>
      <c r="AG950" s="123"/>
      <c r="AH950" s="123"/>
      <c r="AI950" s="123"/>
      <c r="AJ950" s="123"/>
      <c r="AK950" s="123"/>
    </row>
    <row r="951" spans="1:37" ht="14.25" customHeight="1" x14ac:dyDescent="0.2">
      <c r="A951" s="123"/>
      <c r="C951" s="123"/>
      <c r="AB951" s="123"/>
      <c r="AC951" s="123"/>
      <c r="AD951" s="125"/>
      <c r="AE951" s="123"/>
      <c r="AF951" s="123"/>
      <c r="AG951" s="123"/>
      <c r="AH951" s="123"/>
      <c r="AI951" s="123"/>
      <c r="AJ951" s="123"/>
      <c r="AK951" s="123"/>
    </row>
    <row r="952" spans="1:37" ht="14.25" customHeight="1" x14ac:dyDescent="0.2">
      <c r="A952" s="123"/>
      <c r="C952" s="123"/>
      <c r="AB952" s="123"/>
      <c r="AC952" s="123"/>
      <c r="AD952" s="125"/>
      <c r="AE952" s="123"/>
      <c r="AF952" s="123"/>
      <c r="AG952" s="123"/>
      <c r="AH952" s="123"/>
      <c r="AI952" s="123"/>
      <c r="AJ952" s="123"/>
      <c r="AK952" s="123"/>
    </row>
    <row r="953" spans="1:37" ht="14.25" customHeight="1" x14ac:dyDescent="0.2">
      <c r="A953" s="123"/>
      <c r="C953" s="123"/>
      <c r="AB953" s="123"/>
      <c r="AC953" s="123"/>
      <c r="AD953" s="125"/>
      <c r="AE953" s="123"/>
      <c r="AF953" s="123"/>
      <c r="AG953" s="123"/>
      <c r="AH953" s="123"/>
      <c r="AI953" s="123"/>
      <c r="AJ953" s="123"/>
      <c r="AK953" s="123"/>
    </row>
    <row r="954" spans="1:37" ht="14.25" customHeight="1" x14ac:dyDescent="0.2">
      <c r="A954" s="123"/>
      <c r="C954" s="123"/>
      <c r="AB954" s="123"/>
      <c r="AC954" s="123"/>
      <c r="AD954" s="125"/>
      <c r="AE954" s="123"/>
      <c r="AF954" s="123"/>
      <c r="AG954" s="123"/>
      <c r="AH954" s="123"/>
      <c r="AI954" s="123"/>
      <c r="AJ954" s="123"/>
      <c r="AK954" s="123"/>
    </row>
    <row r="955" spans="1:37" ht="14.25" customHeight="1" x14ac:dyDescent="0.2">
      <c r="A955" s="123"/>
      <c r="C955" s="123"/>
      <c r="AB955" s="123"/>
      <c r="AC955" s="123"/>
      <c r="AD955" s="125"/>
      <c r="AE955" s="123"/>
      <c r="AF955" s="123"/>
      <c r="AG955" s="123"/>
      <c r="AH955" s="123"/>
      <c r="AI955" s="123"/>
      <c r="AJ955" s="123"/>
      <c r="AK955" s="123"/>
    </row>
    <row r="956" spans="1:37" ht="14.25" customHeight="1" x14ac:dyDescent="0.2">
      <c r="A956" s="123"/>
      <c r="C956" s="123"/>
      <c r="AB956" s="123"/>
      <c r="AC956" s="123"/>
      <c r="AD956" s="125"/>
      <c r="AE956" s="123"/>
      <c r="AF956" s="123"/>
      <c r="AG956" s="123"/>
      <c r="AH956" s="123"/>
      <c r="AI956" s="123"/>
      <c r="AJ956" s="123"/>
      <c r="AK956" s="123"/>
    </row>
    <row r="957" spans="1:37" ht="14.25" customHeight="1" x14ac:dyDescent="0.2">
      <c r="A957" s="123"/>
      <c r="C957" s="123"/>
      <c r="AB957" s="123"/>
      <c r="AC957" s="123"/>
      <c r="AD957" s="125"/>
      <c r="AE957" s="123"/>
      <c r="AF957" s="123"/>
      <c r="AG957" s="123"/>
      <c r="AH957" s="123"/>
      <c r="AI957" s="123"/>
      <c r="AJ957" s="123"/>
      <c r="AK957" s="123"/>
    </row>
    <row r="958" spans="1:37" ht="14.25" customHeight="1" x14ac:dyDescent="0.2">
      <c r="A958" s="123"/>
      <c r="C958" s="123"/>
      <c r="AB958" s="123"/>
      <c r="AC958" s="123"/>
      <c r="AD958" s="125"/>
      <c r="AE958" s="123"/>
      <c r="AF958" s="123"/>
      <c r="AG958" s="123"/>
      <c r="AH958" s="123"/>
      <c r="AI958" s="123"/>
      <c r="AJ958" s="123"/>
      <c r="AK958" s="123"/>
    </row>
    <row r="959" spans="1:37" ht="14.25" customHeight="1" x14ac:dyDescent="0.2">
      <c r="A959" s="123"/>
      <c r="C959" s="123"/>
      <c r="AB959" s="123"/>
      <c r="AC959" s="123"/>
      <c r="AD959" s="125"/>
      <c r="AE959" s="123"/>
      <c r="AF959" s="123"/>
      <c r="AG959" s="123"/>
      <c r="AH959" s="123"/>
      <c r="AI959" s="123"/>
      <c r="AJ959" s="123"/>
      <c r="AK959" s="123"/>
    </row>
    <row r="960" spans="1:37" ht="14.25" customHeight="1" x14ac:dyDescent="0.2">
      <c r="A960" s="123"/>
      <c r="C960" s="123"/>
      <c r="AB960" s="123"/>
      <c r="AC960" s="123"/>
      <c r="AD960" s="125"/>
      <c r="AE960" s="123"/>
      <c r="AF960" s="123"/>
      <c r="AG960" s="123"/>
      <c r="AH960" s="123"/>
      <c r="AI960" s="123"/>
      <c r="AJ960" s="123"/>
      <c r="AK960" s="123"/>
    </row>
    <row r="961" spans="1:37" ht="14.25" customHeight="1" x14ac:dyDescent="0.2">
      <c r="A961" s="123"/>
      <c r="C961" s="123"/>
      <c r="AB961" s="123"/>
      <c r="AC961" s="123"/>
      <c r="AD961" s="125"/>
      <c r="AE961" s="123"/>
      <c r="AF961" s="123"/>
      <c r="AG961" s="123"/>
      <c r="AH961" s="123"/>
      <c r="AI961" s="123"/>
      <c r="AJ961" s="123"/>
      <c r="AK961" s="123"/>
    </row>
    <row r="962" spans="1:37" ht="14.25" customHeight="1" x14ac:dyDescent="0.2">
      <c r="A962" s="123"/>
      <c r="C962" s="123"/>
      <c r="AB962" s="123"/>
      <c r="AC962" s="123"/>
      <c r="AD962" s="125"/>
      <c r="AE962" s="123"/>
      <c r="AF962" s="123"/>
      <c r="AG962" s="123"/>
      <c r="AH962" s="123"/>
      <c r="AI962" s="123"/>
      <c r="AJ962" s="123"/>
      <c r="AK962" s="123"/>
    </row>
    <row r="963" spans="1:37" ht="14.25" customHeight="1" x14ac:dyDescent="0.2">
      <c r="A963" s="123"/>
      <c r="C963" s="123"/>
      <c r="AB963" s="123"/>
      <c r="AC963" s="123"/>
      <c r="AD963" s="125"/>
      <c r="AE963" s="123"/>
      <c r="AF963" s="123"/>
      <c r="AG963" s="123"/>
      <c r="AH963" s="123"/>
      <c r="AI963" s="123"/>
      <c r="AJ963" s="123"/>
      <c r="AK963" s="123"/>
    </row>
    <row r="964" spans="1:37" ht="14.25" customHeight="1" x14ac:dyDescent="0.2">
      <c r="A964" s="123"/>
      <c r="C964" s="123"/>
      <c r="AB964" s="123"/>
      <c r="AC964" s="123"/>
      <c r="AD964" s="125"/>
      <c r="AE964" s="123"/>
      <c r="AF964" s="123"/>
      <c r="AG964" s="123"/>
      <c r="AH964" s="123"/>
      <c r="AI964" s="123"/>
      <c r="AJ964" s="123"/>
      <c r="AK964" s="123"/>
    </row>
    <row r="965" spans="1:37" ht="14.25" customHeight="1" x14ac:dyDescent="0.2">
      <c r="A965" s="123"/>
      <c r="C965" s="123"/>
      <c r="AB965" s="123"/>
      <c r="AC965" s="123"/>
      <c r="AD965" s="125"/>
      <c r="AE965" s="123"/>
      <c r="AF965" s="123"/>
      <c r="AG965" s="123"/>
      <c r="AH965" s="123"/>
      <c r="AI965" s="123"/>
      <c r="AJ965" s="123"/>
      <c r="AK965" s="123"/>
    </row>
    <row r="966" spans="1:37" ht="14.25" customHeight="1" x14ac:dyDescent="0.2">
      <c r="A966" s="123"/>
      <c r="C966" s="123"/>
      <c r="AB966" s="123"/>
      <c r="AC966" s="123"/>
      <c r="AD966" s="125"/>
      <c r="AE966" s="123"/>
      <c r="AF966" s="123"/>
      <c r="AG966" s="123"/>
      <c r="AH966" s="123"/>
      <c r="AI966" s="123"/>
      <c r="AJ966" s="123"/>
      <c r="AK966" s="123"/>
    </row>
    <row r="967" spans="1:37" ht="14.25" customHeight="1" x14ac:dyDescent="0.2">
      <c r="A967" s="123"/>
      <c r="C967" s="123"/>
      <c r="AB967" s="123"/>
      <c r="AC967" s="123"/>
      <c r="AD967" s="125"/>
      <c r="AE967" s="123"/>
      <c r="AF967" s="123"/>
      <c r="AG967" s="123"/>
      <c r="AH967" s="123"/>
      <c r="AI967" s="123"/>
      <c r="AJ967" s="123"/>
      <c r="AK967" s="123"/>
    </row>
    <row r="968" spans="1:37" ht="14.25" customHeight="1" x14ac:dyDescent="0.2">
      <c r="A968" s="123"/>
      <c r="C968" s="123"/>
      <c r="AB968" s="123"/>
      <c r="AC968" s="123"/>
      <c r="AD968" s="125"/>
      <c r="AE968" s="123"/>
      <c r="AF968" s="123"/>
      <c r="AG968" s="123"/>
      <c r="AH968" s="123"/>
      <c r="AI968" s="123"/>
      <c r="AJ968" s="123"/>
      <c r="AK968" s="123"/>
    </row>
    <row r="969" spans="1:37" ht="14.25" customHeight="1" x14ac:dyDescent="0.2">
      <c r="A969" s="123"/>
      <c r="C969" s="123"/>
      <c r="AB969" s="123"/>
      <c r="AC969" s="123"/>
      <c r="AD969" s="125"/>
      <c r="AE969" s="123"/>
      <c r="AF969" s="123"/>
      <c r="AG969" s="123"/>
      <c r="AH969" s="123"/>
      <c r="AI969" s="123"/>
      <c r="AJ969" s="123"/>
      <c r="AK969" s="123"/>
    </row>
    <row r="970" spans="1:37" ht="14.25" customHeight="1" x14ac:dyDescent="0.2">
      <c r="A970" s="123"/>
      <c r="C970" s="123"/>
      <c r="AB970" s="123"/>
      <c r="AC970" s="123"/>
      <c r="AD970" s="125"/>
      <c r="AE970" s="123"/>
      <c r="AF970" s="123"/>
      <c r="AG970" s="123"/>
      <c r="AH970" s="123"/>
      <c r="AI970" s="123"/>
      <c r="AJ970" s="123"/>
      <c r="AK970" s="123"/>
    </row>
    <row r="971" spans="1:37" ht="14.25" customHeight="1" x14ac:dyDescent="0.2">
      <c r="A971" s="123"/>
      <c r="C971" s="123"/>
      <c r="AB971" s="123"/>
      <c r="AC971" s="123"/>
      <c r="AD971" s="125"/>
      <c r="AE971" s="123"/>
      <c r="AF971" s="123"/>
      <c r="AG971" s="123"/>
      <c r="AH971" s="123"/>
      <c r="AI971" s="123"/>
      <c r="AJ971" s="123"/>
      <c r="AK971" s="123"/>
    </row>
    <row r="972" spans="1:37" ht="14.25" customHeight="1" x14ac:dyDescent="0.2">
      <c r="A972" s="123"/>
      <c r="C972" s="123"/>
      <c r="AB972" s="123"/>
      <c r="AC972" s="123"/>
      <c r="AD972" s="125"/>
      <c r="AE972" s="123"/>
      <c r="AF972" s="123"/>
      <c r="AG972" s="123"/>
      <c r="AH972" s="123"/>
      <c r="AI972" s="123"/>
      <c r="AJ972" s="123"/>
      <c r="AK972" s="123"/>
    </row>
    <row r="973" spans="1:37" ht="14.25" customHeight="1" x14ac:dyDescent="0.2">
      <c r="A973" s="123"/>
      <c r="C973" s="123"/>
      <c r="AB973" s="123"/>
      <c r="AC973" s="123"/>
      <c r="AD973" s="125"/>
      <c r="AE973" s="123"/>
      <c r="AF973" s="123"/>
      <c r="AG973" s="123"/>
      <c r="AH973" s="123"/>
      <c r="AI973" s="123"/>
      <c r="AJ973" s="123"/>
      <c r="AK973" s="123"/>
    </row>
    <row r="974" spans="1:37" ht="14.25" customHeight="1" x14ac:dyDescent="0.2">
      <c r="A974" s="123"/>
      <c r="C974" s="123"/>
      <c r="AB974" s="123"/>
      <c r="AC974" s="123"/>
      <c r="AD974" s="125"/>
      <c r="AE974" s="123"/>
      <c r="AF974" s="123"/>
      <c r="AG974" s="123"/>
      <c r="AH974" s="123"/>
      <c r="AI974" s="123"/>
      <c r="AJ974" s="123"/>
      <c r="AK974" s="123"/>
    </row>
    <row r="975" spans="1:37" ht="14.25" customHeight="1" x14ac:dyDescent="0.2">
      <c r="A975" s="123"/>
      <c r="C975" s="123"/>
      <c r="AB975" s="123"/>
      <c r="AC975" s="123"/>
      <c r="AD975" s="125"/>
      <c r="AE975" s="123"/>
      <c r="AF975" s="123"/>
      <c r="AG975" s="123"/>
      <c r="AH975" s="123"/>
      <c r="AI975" s="123"/>
      <c r="AJ975" s="123"/>
      <c r="AK975" s="123"/>
    </row>
    <row r="976" spans="1:37" ht="14.25" customHeight="1" x14ac:dyDescent="0.2">
      <c r="A976" s="123"/>
      <c r="C976" s="123"/>
      <c r="AB976" s="123"/>
      <c r="AC976" s="123"/>
      <c r="AD976" s="125"/>
      <c r="AE976" s="123"/>
      <c r="AF976" s="123"/>
      <c r="AG976" s="123"/>
      <c r="AH976" s="123"/>
      <c r="AI976" s="123"/>
      <c r="AJ976" s="123"/>
      <c r="AK976" s="123"/>
    </row>
    <row r="977" spans="1:37" ht="14.25" customHeight="1" x14ac:dyDescent="0.2">
      <c r="A977" s="123"/>
      <c r="C977" s="123"/>
      <c r="AB977" s="123"/>
      <c r="AC977" s="123"/>
      <c r="AD977" s="125"/>
      <c r="AE977" s="123"/>
      <c r="AF977" s="123"/>
      <c r="AG977" s="123"/>
      <c r="AH977" s="123"/>
      <c r="AI977" s="123"/>
      <c r="AJ977" s="123"/>
      <c r="AK977" s="123"/>
    </row>
    <row r="978" spans="1:37" ht="14.25" customHeight="1" x14ac:dyDescent="0.2">
      <c r="A978" s="123"/>
      <c r="C978" s="123"/>
      <c r="AB978" s="123"/>
      <c r="AC978" s="123"/>
      <c r="AD978" s="125"/>
      <c r="AE978" s="123"/>
      <c r="AF978" s="123"/>
      <c r="AG978" s="123"/>
      <c r="AH978" s="123"/>
      <c r="AI978" s="123"/>
      <c r="AJ978" s="123"/>
      <c r="AK978" s="123"/>
    </row>
    <row r="979" spans="1:37" ht="14.25" customHeight="1" x14ac:dyDescent="0.2">
      <c r="A979" s="123"/>
      <c r="C979" s="123"/>
      <c r="AB979" s="123"/>
      <c r="AC979" s="123"/>
      <c r="AD979" s="125"/>
      <c r="AE979" s="123"/>
      <c r="AF979" s="123"/>
      <c r="AG979" s="123"/>
      <c r="AH979" s="123"/>
      <c r="AI979" s="123"/>
      <c r="AJ979" s="123"/>
      <c r="AK979" s="123"/>
    </row>
    <row r="980" spans="1:37" ht="14.25" customHeight="1" x14ac:dyDescent="0.2">
      <c r="A980" s="123"/>
      <c r="C980" s="123"/>
      <c r="AB980" s="123"/>
      <c r="AC980" s="123"/>
      <c r="AD980" s="125"/>
      <c r="AE980" s="123"/>
      <c r="AF980" s="123"/>
      <c r="AG980" s="123"/>
      <c r="AH980" s="123"/>
      <c r="AI980" s="123"/>
      <c r="AJ980" s="123"/>
      <c r="AK980" s="123"/>
    </row>
    <row r="981" spans="1:37" ht="14.25" customHeight="1" x14ac:dyDescent="0.2">
      <c r="A981" s="123"/>
      <c r="C981" s="123"/>
      <c r="AB981" s="123"/>
      <c r="AC981" s="123"/>
      <c r="AD981" s="125"/>
      <c r="AE981" s="123"/>
      <c r="AF981" s="123"/>
      <c r="AG981" s="123"/>
      <c r="AH981" s="123"/>
      <c r="AI981" s="123"/>
      <c r="AJ981" s="123"/>
      <c r="AK981" s="123"/>
    </row>
    <row r="982" spans="1:37" ht="14.25" customHeight="1" x14ac:dyDescent="0.2">
      <c r="A982" s="123"/>
      <c r="C982" s="123"/>
      <c r="AB982" s="123"/>
      <c r="AC982" s="123"/>
      <c r="AD982" s="125"/>
      <c r="AE982" s="123"/>
      <c r="AF982" s="123"/>
      <c r="AG982" s="123"/>
      <c r="AH982" s="123"/>
      <c r="AI982" s="123"/>
      <c r="AJ982" s="123"/>
      <c r="AK982" s="123"/>
    </row>
    <row r="983" spans="1:37" ht="14.25" customHeight="1" x14ac:dyDescent="0.2">
      <c r="A983" s="123"/>
      <c r="C983" s="123"/>
      <c r="AB983" s="123"/>
      <c r="AC983" s="123"/>
      <c r="AD983" s="125"/>
      <c r="AE983" s="123"/>
      <c r="AF983" s="123"/>
      <c r="AG983" s="123"/>
      <c r="AH983" s="123"/>
      <c r="AI983" s="123"/>
      <c r="AJ983" s="123"/>
      <c r="AK983" s="123"/>
    </row>
    <row r="984" spans="1:37" ht="14.25" customHeight="1" x14ac:dyDescent="0.2">
      <c r="A984" s="123"/>
      <c r="C984" s="123"/>
      <c r="AB984" s="123"/>
      <c r="AC984" s="123"/>
      <c r="AD984" s="125"/>
      <c r="AE984" s="123"/>
      <c r="AF984" s="123"/>
      <c r="AG984" s="123"/>
      <c r="AH984" s="123"/>
      <c r="AI984" s="123"/>
      <c r="AJ984" s="123"/>
      <c r="AK984" s="123"/>
    </row>
    <row r="985" spans="1:37" ht="14.25" customHeight="1" x14ac:dyDescent="0.2">
      <c r="A985" s="123"/>
      <c r="C985" s="123"/>
      <c r="AB985" s="123"/>
      <c r="AC985" s="123"/>
      <c r="AD985" s="125"/>
      <c r="AE985" s="123"/>
      <c r="AF985" s="123"/>
      <c r="AG985" s="123"/>
      <c r="AH985" s="123"/>
      <c r="AI985" s="123"/>
      <c r="AJ985" s="123"/>
      <c r="AK985" s="123"/>
    </row>
    <row r="986" spans="1:37" ht="14.25" customHeight="1" x14ac:dyDescent="0.2">
      <c r="A986" s="123"/>
      <c r="C986" s="123"/>
      <c r="AB986" s="123"/>
      <c r="AC986" s="123"/>
      <c r="AD986" s="125"/>
      <c r="AE986" s="123"/>
      <c r="AF986" s="123"/>
      <c r="AG986" s="123"/>
      <c r="AH986" s="123"/>
      <c r="AI986" s="123"/>
      <c r="AJ986" s="123"/>
      <c r="AK986" s="123"/>
    </row>
    <row r="987" spans="1:37" ht="14.25" customHeight="1" x14ac:dyDescent="0.2">
      <c r="A987" s="123"/>
      <c r="C987" s="123"/>
      <c r="AB987" s="123"/>
      <c r="AC987" s="123"/>
      <c r="AD987" s="125"/>
      <c r="AE987" s="123"/>
      <c r="AF987" s="123"/>
      <c r="AG987" s="123"/>
      <c r="AH987" s="123"/>
      <c r="AI987" s="123"/>
      <c r="AJ987" s="123"/>
      <c r="AK987" s="123"/>
    </row>
    <row r="988" spans="1:37" ht="14.25" customHeight="1" x14ac:dyDescent="0.2">
      <c r="A988" s="123"/>
      <c r="C988" s="123"/>
      <c r="AB988" s="123"/>
      <c r="AC988" s="123"/>
      <c r="AD988" s="125"/>
      <c r="AE988" s="123"/>
      <c r="AF988" s="123"/>
      <c r="AG988" s="123"/>
      <c r="AH988" s="123"/>
      <c r="AI988" s="123"/>
      <c r="AJ988" s="123"/>
      <c r="AK988" s="123"/>
    </row>
    <row r="989" spans="1:37" ht="14.25" customHeight="1" x14ac:dyDescent="0.2">
      <c r="A989" s="123"/>
      <c r="C989" s="123"/>
      <c r="AB989" s="123"/>
      <c r="AC989" s="123"/>
      <c r="AD989" s="125"/>
      <c r="AE989" s="123"/>
      <c r="AF989" s="123"/>
      <c r="AG989" s="123"/>
      <c r="AH989" s="123"/>
      <c r="AI989" s="123"/>
      <c r="AJ989" s="123"/>
      <c r="AK989" s="123"/>
    </row>
    <row r="990" spans="1:37" ht="14.25" customHeight="1" x14ac:dyDescent="0.2">
      <c r="A990" s="123"/>
      <c r="C990" s="123"/>
      <c r="AB990" s="123"/>
      <c r="AC990" s="123"/>
      <c r="AD990" s="125"/>
      <c r="AE990" s="123"/>
      <c r="AF990" s="123"/>
      <c r="AG990" s="123"/>
      <c r="AH990" s="123"/>
      <c r="AI990" s="123"/>
      <c r="AJ990" s="123"/>
      <c r="AK990" s="123"/>
    </row>
    <row r="991" spans="1:37" ht="14.25" customHeight="1" x14ac:dyDescent="0.2">
      <c r="A991" s="123"/>
      <c r="C991" s="123"/>
      <c r="AB991" s="123"/>
      <c r="AC991" s="123"/>
      <c r="AD991" s="125"/>
      <c r="AE991" s="123"/>
      <c r="AF991" s="123"/>
      <c r="AG991" s="123"/>
      <c r="AH991" s="123"/>
      <c r="AI991" s="123"/>
      <c r="AJ991" s="123"/>
      <c r="AK991" s="123"/>
    </row>
    <row r="992" spans="1:37" ht="14.25" customHeight="1" x14ac:dyDescent="0.2">
      <c r="A992" s="123"/>
      <c r="C992" s="123"/>
      <c r="AB992" s="123"/>
      <c r="AC992" s="123"/>
      <c r="AD992" s="125"/>
      <c r="AE992" s="123"/>
      <c r="AF992" s="123"/>
      <c r="AG992" s="123"/>
      <c r="AH992" s="123"/>
      <c r="AI992" s="123"/>
      <c r="AJ992" s="123"/>
      <c r="AK992" s="123"/>
    </row>
    <row r="993" spans="1:37" ht="14.25" customHeight="1" x14ac:dyDescent="0.2">
      <c r="A993" s="123"/>
      <c r="C993" s="123"/>
      <c r="AB993" s="123"/>
      <c r="AC993" s="123"/>
      <c r="AD993" s="125"/>
      <c r="AE993" s="123"/>
      <c r="AF993" s="123"/>
      <c r="AG993" s="123"/>
      <c r="AH993" s="123"/>
      <c r="AI993" s="123"/>
      <c r="AJ993" s="123"/>
      <c r="AK993" s="123"/>
    </row>
    <row r="994" spans="1:37" ht="14.25" customHeight="1" x14ac:dyDescent="0.2">
      <c r="A994" s="123"/>
      <c r="C994" s="123"/>
      <c r="AB994" s="123"/>
      <c r="AC994" s="123"/>
      <c r="AD994" s="125"/>
      <c r="AE994" s="123"/>
      <c r="AF994" s="123"/>
      <c r="AG994" s="123"/>
      <c r="AH994" s="123"/>
      <c r="AI994" s="123"/>
      <c r="AJ994" s="123"/>
      <c r="AK994" s="123"/>
    </row>
    <row r="995" spans="1:37" ht="14.25" customHeight="1" x14ac:dyDescent="0.2">
      <c r="A995" s="123"/>
      <c r="C995" s="123"/>
      <c r="AB995" s="123"/>
      <c r="AC995" s="123"/>
      <c r="AD995" s="125"/>
      <c r="AE995" s="123"/>
      <c r="AF995" s="123"/>
      <c r="AG995" s="123"/>
      <c r="AH995" s="123"/>
      <c r="AI995" s="123"/>
      <c r="AJ995" s="123"/>
      <c r="AK995" s="123"/>
    </row>
    <row r="996" spans="1:37" ht="14.25" customHeight="1" x14ac:dyDescent="0.2">
      <c r="A996" s="123"/>
      <c r="C996" s="123"/>
      <c r="AB996" s="123"/>
      <c r="AC996" s="123"/>
      <c r="AD996" s="125"/>
      <c r="AE996" s="123"/>
      <c r="AF996" s="123"/>
      <c r="AG996" s="123"/>
      <c r="AH996" s="123"/>
      <c r="AI996" s="123"/>
      <c r="AJ996" s="123"/>
      <c r="AK996" s="123"/>
    </row>
    <row r="997" spans="1:37" ht="14.25" customHeight="1" x14ac:dyDescent="0.2">
      <c r="A997" s="123"/>
      <c r="C997" s="123"/>
      <c r="AB997" s="123"/>
      <c r="AC997" s="123"/>
      <c r="AD997" s="125"/>
      <c r="AE997" s="123"/>
      <c r="AF997" s="123"/>
      <c r="AG997" s="123"/>
      <c r="AH997" s="123"/>
      <c r="AI997" s="123"/>
      <c r="AJ997" s="123"/>
      <c r="AK997" s="123"/>
    </row>
    <row r="998" spans="1:37" ht="14.25" customHeight="1" x14ac:dyDescent="0.2">
      <c r="A998" s="123"/>
      <c r="C998" s="123"/>
      <c r="AB998" s="123"/>
      <c r="AC998" s="123"/>
      <c r="AD998" s="125"/>
      <c r="AE998" s="123"/>
      <c r="AF998" s="123"/>
      <c r="AG998" s="123"/>
      <c r="AH998" s="123"/>
      <c r="AI998" s="123"/>
      <c r="AJ998" s="123"/>
      <c r="AK998" s="123"/>
    </row>
    <row r="999" spans="1:37" ht="14.25" customHeight="1" x14ac:dyDescent="0.2">
      <c r="A999" s="123"/>
      <c r="C999" s="123"/>
      <c r="AB999" s="123"/>
      <c r="AC999" s="123"/>
      <c r="AD999" s="125"/>
      <c r="AE999" s="123"/>
      <c r="AF999" s="123"/>
      <c r="AG999" s="123"/>
      <c r="AH999" s="123"/>
      <c r="AI999" s="123"/>
      <c r="AJ999" s="123"/>
      <c r="AK999" s="123"/>
    </row>
    <row r="1000" spans="1:37" ht="14.25" customHeight="1" x14ac:dyDescent="0.2">
      <c r="A1000" s="123"/>
      <c r="C1000" s="123"/>
      <c r="AB1000" s="123"/>
      <c r="AC1000" s="123"/>
      <c r="AD1000" s="125"/>
      <c r="AE1000" s="123"/>
      <c r="AF1000" s="123"/>
      <c r="AG1000" s="123"/>
      <c r="AH1000" s="123"/>
      <c r="AI1000" s="123"/>
      <c r="AJ1000" s="123"/>
      <c r="AK1000" s="123"/>
    </row>
  </sheetData>
  <mergeCells count="3">
    <mergeCell ref="B3:AF3"/>
    <mergeCell ref="D5:O6"/>
    <mergeCell ref="P5:AA6"/>
  </mergeCells>
  <pageMargins left="0.7" right="0.7" top="0.75" bottom="0.75" header="0" footer="0"/>
  <pageSetup orientation="landscape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4FA2-124C-E443-A28D-BD8671C9ED11}">
  <dimension ref="B2:Q4"/>
  <sheetViews>
    <sheetView workbookViewId="0">
      <selection activeCell="H16" sqref="H16"/>
    </sheetView>
  </sheetViews>
  <sheetFormatPr baseColWidth="10" defaultRowHeight="15" x14ac:dyDescent="0.2"/>
  <sheetData>
    <row r="2" spans="2:17" x14ac:dyDescent="0.2">
      <c r="C2" s="228" t="s">
        <v>200</v>
      </c>
      <c r="D2" s="228" t="s">
        <v>189</v>
      </c>
      <c r="E2" s="228" t="s">
        <v>190</v>
      </c>
      <c r="F2" s="228" t="s">
        <v>191</v>
      </c>
      <c r="G2" s="228" t="s">
        <v>192</v>
      </c>
      <c r="H2" s="228" t="s">
        <v>193</v>
      </c>
      <c r="I2" s="228" t="s">
        <v>194</v>
      </c>
      <c r="J2" s="228" t="s">
        <v>195</v>
      </c>
      <c r="K2" s="228" t="s">
        <v>196</v>
      </c>
      <c r="L2" s="228" t="s">
        <v>197</v>
      </c>
      <c r="M2" s="228" t="s">
        <v>198</v>
      </c>
      <c r="N2" s="228" t="s">
        <v>199</v>
      </c>
      <c r="O2" s="228"/>
      <c r="P2" s="228"/>
      <c r="Q2" s="228"/>
    </row>
    <row r="3" spans="2:17" x14ac:dyDescent="0.2">
      <c r="B3" s="228" t="s">
        <v>211</v>
      </c>
      <c r="C3" s="256">
        <v>43350.862168250002</v>
      </c>
      <c r="D3" s="256">
        <v>45378.702486671245</v>
      </c>
      <c r="E3" s="256">
        <v>45378.702486671245</v>
      </c>
      <c r="F3" s="256">
        <v>45670.492542686254</v>
      </c>
      <c r="G3" s="256">
        <v>46363.179278977499</v>
      </c>
      <c r="H3" s="256">
        <v>46363.179278977499</v>
      </c>
      <c r="I3" s="256">
        <v>46363.179278977499</v>
      </c>
      <c r="J3" s="256">
        <v>47795.809146708751</v>
      </c>
      <c r="K3" s="256">
        <v>46370.245407599999</v>
      </c>
      <c r="L3" s="256"/>
      <c r="M3" s="256"/>
      <c r="N3" s="256"/>
    </row>
    <row r="4" spans="2:17" x14ac:dyDescent="0.2">
      <c r="B4" t="s">
        <v>213</v>
      </c>
      <c r="C4" s="256">
        <v>165183.73375625003</v>
      </c>
      <c r="D4" s="256">
        <v>177735.06977788871</v>
      </c>
      <c r="E4" s="256">
        <v>177735.06977788871</v>
      </c>
      <c r="F4" s="256">
        <v>184414.26437198624</v>
      </c>
      <c r="G4" s="256">
        <v>182503.42094488873</v>
      </c>
      <c r="H4" s="280">
        <v>201207.14722164749</v>
      </c>
      <c r="I4" s="280">
        <v>201207.14722164749</v>
      </c>
      <c r="J4" s="280">
        <v>201207.14722164749</v>
      </c>
      <c r="K4" s="256">
        <v>200549.19978932245</v>
      </c>
      <c r="L4" s="256"/>
      <c r="M4" s="256"/>
      <c r="N4" s="256"/>
    </row>
  </sheetData>
  <phoneticPr fontId="42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Z1000"/>
  <sheetViews>
    <sheetView workbookViewId="0">
      <selection activeCell="I25" sqref="I25"/>
    </sheetView>
  </sheetViews>
  <sheetFormatPr baseColWidth="10" defaultColWidth="14.5" defaultRowHeight="15" customHeight="1" x14ac:dyDescent="0.2"/>
  <cols>
    <col min="1" max="1" width="10.6640625" customWidth="1"/>
    <col min="2" max="2" width="27.1640625" customWidth="1"/>
    <col min="3" max="3" width="11.1640625" customWidth="1"/>
    <col min="4" max="4" width="11.83203125" customWidth="1"/>
    <col min="5" max="10" width="11.1640625" customWidth="1"/>
    <col min="11" max="26" width="10.6640625" customWidth="1"/>
  </cols>
  <sheetData>
    <row r="1" spans="2:14" ht="14.25" customHeight="1" x14ac:dyDescent="0.2">
      <c r="B1" s="1"/>
    </row>
    <row r="2" spans="2:14" ht="14.25" customHeight="1" x14ac:dyDescent="0.2">
      <c r="B2" s="188" t="s">
        <v>9</v>
      </c>
      <c r="C2" s="189" t="s">
        <v>189</v>
      </c>
      <c r="D2" s="189" t="s">
        <v>190</v>
      </c>
      <c r="E2" s="189" t="s">
        <v>191</v>
      </c>
      <c r="F2" s="189" t="s">
        <v>192</v>
      </c>
      <c r="G2" s="189" t="s">
        <v>193</v>
      </c>
      <c r="H2" s="189" t="s">
        <v>194</v>
      </c>
      <c r="I2" s="189" t="s">
        <v>195</v>
      </c>
      <c r="J2" s="189" t="s">
        <v>196</v>
      </c>
      <c r="K2" s="189" t="s">
        <v>197</v>
      </c>
      <c r="L2" s="189" t="s">
        <v>198</v>
      </c>
      <c r="M2" s="189" t="s">
        <v>199</v>
      </c>
      <c r="N2" s="189" t="s">
        <v>200</v>
      </c>
    </row>
    <row r="3" spans="2:14" ht="14.25" customHeight="1" x14ac:dyDescent="0.2">
      <c r="B3" s="1" t="s">
        <v>201</v>
      </c>
      <c r="C3" s="4">
        <v>95798.720000000001</v>
      </c>
      <c r="D3" s="4">
        <v>93042.974044824237</v>
      </c>
      <c r="E3" s="4">
        <v>98991.301023250009</v>
      </c>
      <c r="F3" s="4">
        <v>132073.23688822502</v>
      </c>
      <c r="G3" s="4">
        <v>162154.31027059001</v>
      </c>
      <c r="H3" s="4">
        <v>162154.31027059001</v>
      </c>
      <c r="I3" s="4">
        <v>162154.31027059001</v>
      </c>
      <c r="J3" s="4"/>
      <c r="K3" s="4"/>
      <c r="L3" s="4"/>
      <c r="M3" s="4"/>
      <c r="N3" s="4"/>
    </row>
    <row r="4" spans="2:14" ht="14.25" customHeight="1" x14ac:dyDescent="0.2">
      <c r="B4" s="1" t="s">
        <v>202</v>
      </c>
      <c r="C4" s="4">
        <v>3150</v>
      </c>
      <c r="D4" s="4">
        <v>3150</v>
      </c>
      <c r="E4" s="4">
        <v>3150</v>
      </c>
      <c r="F4" s="4">
        <v>3150</v>
      </c>
      <c r="G4" s="4">
        <v>3150</v>
      </c>
      <c r="H4" s="4">
        <v>3150</v>
      </c>
      <c r="I4" s="4">
        <v>3150</v>
      </c>
      <c r="J4" s="4"/>
      <c r="K4" s="4"/>
      <c r="L4" s="4"/>
      <c r="M4" s="4"/>
      <c r="N4" s="4"/>
    </row>
    <row r="5" spans="2:14" ht="14.25" customHeight="1" x14ac:dyDescent="0.2">
      <c r="B5" s="1" t="s">
        <v>203</v>
      </c>
      <c r="C5" s="4">
        <v>3150</v>
      </c>
      <c r="D5" s="4">
        <v>3150</v>
      </c>
      <c r="E5" s="4">
        <v>3150</v>
      </c>
      <c r="F5" s="4">
        <v>3150</v>
      </c>
      <c r="G5" s="4">
        <v>3150</v>
      </c>
      <c r="H5" s="4">
        <v>3150</v>
      </c>
      <c r="I5" s="4">
        <v>3150</v>
      </c>
      <c r="J5" s="4"/>
      <c r="K5" s="4"/>
      <c r="L5" s="4"/>
      <c r="M5" s="4"/>
      <c r="N5" s="4"/>
    </row>
    <row r="6" spans="2:14" ht="14.25" customHeight="1" x14ac:dyDescent="0.2">
      <c r="B6" s="1" t="s">
        <v>18</v>
      </c>
      <c r="C6" s="4">
        <v>21000</v>
      </c>
      <c r="D6" s="4">
        <v>23000</v>
      </c>
      <c r="E6" s="4">
        <v>23000</v>
      </c>
      <c r="F6" s="4">
        <v>23000</v>
      </c>
      <c r="G6" s="4">
        <v>23000</v>
      </c>
      <c r="H6" s="4">
        <v>23000</v>
      </c>
      <c r="I6" s="4">
        <v>23610</v>
      </c>
      <c r="J6" s="4"/>
      <c r="K6" s="4"/>
      <c r="L6" s="4"/>
      <c r="M6" s="4"/>
      <c r="N6" s="4"/>
    </row>
    <row r="7" spans="2:14" ht="14.25" customHeight="1" x14ac:dyDescent="0.2">
      <c r="B7" s="1" t="s">
        <v>204</v>
      </c>
      <c r="C7" s="4">
        <v>10500</v>
      </c>
      <c r="D7" s="4">
        <v>10500</v>
      </c>
      <c r="E7" s="4">
        <v>10500</v>
      </c>
      <c r="F7" s="4">
        <v>10500</v>
      </c>
      <c r="G7" s="4">
        <v>10500</v>
      </c>
      <c r="H7" s="4">
        <v>11500</v>
      </c>
      <c r="I7" s="4">
        <v>11000</v>
      </c>
      <c r="J7" s="4"/>
      <c r="K7" s="4"/>
      <c r="L7" s="4"/>
      <c r="M7" s="4"/>
      <c r="N7" s="4"/>
    </row>
    <row r="8" spans="2:14" ht="14.25" customHeight="1" x14ac:dyDescent="0.2">
      <c r="B8" s="1" t="s">
        <v>12</v>
      </c>
      <c r="C8" s="4">
        <v>562.5</v>
      </c>
      <c r="D8" s="4">
        <v>575</v>
      </c>
      <c r="E8" s="4">
        <v>575</v>
      </c>
      <c r="F8" s="4">
        <v>575</v>
      </c>
      <c r="G8" s="4">
        <v>587.5</v>
      </c>
      <c r="H8" s="4">
        <v>587.5</v>
      </c>
      <c r="I8" s="4">
        <v>587.5</v>
      </c>
      <c r="J8" s="4"/>
      <c r="K8" s="4"/>
      <c r="L8" s="4"/>
      <c r="M8" s="4"/>
      <c r="N8" s="4"/>
    </row>
    <row r="9" spans="2:14" ht="14.25" customHeight="1" x14ac:dyDescent="0.2">
      <c r="B9" s="1" t="s">
        <v>16</v>
      </c>
      <c r="C9" s="4">
        <v>500</v>
      </c>
      <c r="D9" s="4">
        <v>500</v>
      </c>
      <c r="E9" s="4">
        <v>500</v>
      </c>
      <c r="F9" s="4">
        <v>500</v>
      </c>
      <c r="G9" s="4">
        <v>500</v>
      </c>
      <c r="H9" s="4">
        <v>500</v>
      </c>
      <c r="I9" s="4">
        <v>500</v>
      </c>
      <c r="J9" s="4"/>
      <c r="K9" s="4"/>
      <c r="L9" s="4"/>
      <c r="M9" s="4"/>
      <c r="N9" s="4"/>
    </row>
    <row r="10" spans="2:14" ht="14.25" customHeight="1" x14ac:dyDescent="0.2">
      <c r="B10" s="1" t="s">
        <v>14</v>
      </c>
      <c r="C10" s="4">
        <v>3539</v>
      </c>
      <c r="D10" s="4">
        <v>3539</v>
      </c>
      <c r="E10" s="4">
        <v>3539</v>
      </c>
      <c r="F10" s="4">
        <v>3539</v>
      </c>
      <c r="G10" s="4">
        <v>3539</v>
      </c>
      <c r="H10" s="4">
        <v>3539</v>
      </c>
      <c r="I10" s="4">
        <v>3539</v>
      </c>
      <c r="J10" s="4"/>
      <c r="K10" s="4"/>
      <c r="L10" s="4"/>
      <c r="M10" s="4"/>
      <c r="N10" s="4"/>
    </row>
    <row r="11" spans="2:14" ht="14.25" customHeight="1" x14ac:dyDescent="0.2">
      <c r="B11" s="1" t="s">
        <v>20</v>
      </c>
      <c r="C11" s="4">
        <v>105</v>
      </c>
      <c r="D11" s="4">
        <v>105</v>
      </c>
      <c r="E11" s="4">
        <v>105</v>
      </c>
      <c r="F11" s="4">
        <v>105</v>
      </c>
      <c r="G11" s="4">
        <v>105</v>
      </c>
      <c r="H11" s="4">
        <f>105*2</f>
        <v>210</v>
      </c>
      <c r="I11" s="4">
        <v>105</v>
      </c>
      <c r="J11" s="4"/>
      <c r="K11" s="4"/>
      <c r="L11" s="4"/>
      <c r="M11" s="4"/>
      <c r="N11" s="4"/>
    </row>
    <row r="12" spans="2:14" ht="14.25" customHeight="1" x14ac:dyDescent="0.2">
      <c r="B12" s="1" t="s">
        <v>22</v>
      </c>
      <c r="C12" s="4">
        <v>87.5</v>
      </c>
      <c r="D12" s="4">
        <v>87.5</v>
      </c>
      <c r="E12" s="4">
        <v>87.5</v>
      </c>
      <c r="F12" s="4">
        <v>87.5</v>
      </c>
      <c r="G12" s="4">
        <v>87.5</v>
      </c>
      <c r="H12" s="4">
        <f>87.5*2</f>
        <v>175</v>
      </c>
      <c r="I12" s="4">
        <v>87.5</v>
      </c>
      <c r="J12" s="4"/>
      <c r="K12" s="4"/>
      <c r="L12" s="4"/>
      <c r="M12" s="4"/>
      <c r="N12" s="4"/>
    </row>
    <row r="13" spans="2:14" ht="14.25" customHeight="1" x14ac:dyDescent="0.2">
      <c r="B13" s="1" t="s">
        <v>24</v>
      </c>
      <c r="C13" s="4">
        <v>350</v>
      </c>
      <c r="D13" s="4">
        <v>350</v>
      </c>
      <c r="E13" s="4">
        <v>350</v>
      </c>
      <c r="F13" s="4">
        <v>350</v>
      </c>
      <c r="G13" s="4">
        <v>350</v>
      </c>
      <c r="H13" s="4">
        <f>350*2</f>
        <v>700</v>
      </c>
      <c r="I13" s="4">
        <v>350</v>
      </c>
      <c r="J13" s="4"/>
      <c r="K13" s="4"/>
      <c r="L13" s="4"/>
      <c r="M13" s="4"/>
      <c r="N13" s="4"/>
    </row>
    <row r="14" spans="2:14" ht="14.25" customHeight="1" x14ac:dyDescent="0.2">
      <c r="B14" s="1" t="s">
        <v>25</v>
      </c>
      <c r="C14" s="4">
        <v>1324.2922365122395</v>
      </c>
      <c r="D14" s="4">
        <v>1023.3681815166868</v>
      </c>
      <c r="E14" s="4">
        <v>0</v>
      </c>
      <c r="F14" s="4">
        <v>0</v>
      </c>
      <c r="G14" s="4"/>
      <c r="H14" s="4"/>
      <c r="I14" s="4">
        <v>75.555446864186024</v>
      </c>
      <c r="J14" s="4"/>
      <c r="K14" s="4"/>
      <c r="L14" s="4"/>
      <c r="M14" s="4"/>
      <c r="N14" s="4"/>
    </row>
    <row r="15" spans="2:14" ht="14.25" customHeight="1" x14ac:dyDescent="0.2">
      <c r="B15" s="1" t="s">
        <v>30</v>
      </c>
      <c r="C15" s="4">
        <v>-18965</v>
      </c>
      <c r="D15" s="4">
        <v>-19243</v>
      </c>
      <c r="E15" s="4">
        <v>-19243</v>
      </c>
      <c r="F15" s="4">
        <v>-19243</v>
      </c>
      <c r="G15" s="4">
        <v>-19243</v>
      </c>
      <c r="H15" s="4">
        <v>-19243</v>
      </c>
      <c r="I15" s="4">
        <v>-19243</v>
      </c>
      <c r="J15" s="4"/>
      <c r="K15" s="4"/>
      <c r="L15" s="4"/>
      <c r="M15" s="4"/>
      <c r="N15" s="4"/>
    </row>
    <row r="16" spans="2:14" ht="14.25" customHeight="1" x14ac:dyDescent="0.2">
      <c r="B16" s="1" t="s">
        <v>35</v>
      </c>
      <c r="C16" s="4">
        <v>-3679.38</v>
      </c>
      <c r="D16" s="4">
        <v>-3679.38</v>
      </c>
      <c r="E16" s="4">
        <v>-3679.38</v>
      </c>
      <c r="F16" s="4">
        <v>-3679.38</v>
      </c>
      <c r="G16" s="4">
        <v>-3679.38</v>
      </c>
      <c r="H16" s="4">
        <v>-3679.38</v>
      </c>
      <c r="I16" s="4">
        <v>-3679.38</v>
      </c>
      <c r="J16" s="4"/>
      <c r="K16" s="4"/>
      <c r="L16" s="4"/>
      <c r="M16" s="4"/>
      <c r="N16" s="4"/>
    </row>
    <row r="17" spans="1:26" ht="14.25" customHeight="1" x14ac:dyDescent="0.2">
      <c r="B17" s="1" t="s">
        <v>205</v>
      </c>
      <c r="C17" s="4">
        <v>-2995.63</v>
      </c>
      <c r="D17" s="4">
        <v>-2995.63</v>
      </c>
      <c r="E17" s="4">
        <v>-2995.63</v>
      </c>
      <c r="F17" s="4">
        <v>-2995.63</v>
      </c>
      <c r="G17" s="4">
        <v>-2995.63</v>
      </c>
      <c r="H17" s="4">
        <v>-2995.63</v>
      </c>
      <c r="I17" s="4">
        <v>-2995.63</v>
      </c>
      <c r="J17" s="4"/>
      <c r="K17" s="4"/>
      <c r="L17" s="4"/>
      <c r="M17" s="4"/>
      <c r="N17" s="4"/>
    </row>
    <row r="18" spans="1:26" ht="14.25" customHeight="1" x14ac:dyDescent="0.2">
      <c r="B18" s="1" t="s">
        <v>32</v>
      </c>
      <c r="C18" s="4"/>
      <c r="D18" s="4"/>
      <c r="E18" s="4"/>
      <c r="F18" s="4"/>
      <c r="G18" s="4">
        <v>-2252</v>
      </c>
      <c r="H18" s="4">
        <v>-2252</v>
      </c>
      <c r="I18" s="4">
        <v>-2252</v>
      </c>
      <c r="J18" s="4"/>
      <c r="K18" s="4"/>
      <c r="L18" s="4"/>
      <c r="M18" s="4"/>
      <c r="N18" s="4"/>
    </row>
    <row r="19" spans="1:26" ht="14.25" customHeight="1" x14ac:dyDescent="0.2">
      <c r="B19" s="1" t="s">
        <v>74</v>
      </c>
      <c r="C19" s="4"/>
      <c r="D19" s="4"/>
      <c r="E19" s="4"/>
      <c r="F19" s="4"/>
      <c r="G19" s="4">
        <v>-187.5</v>
      </c>
      <c r="H19" s="4">
        <v>-187.5</v>
      </c>
      <c r="I19" s="4">
        <v>-187.5</v>
      </c>
      <c r="J19" s="4"/>
      <c r="K19" s="4"/>
      <c r="L19" s="4"/>
      <c r="M19" s="4"/>
      <c r="N19" s="4"/>
    </row>
    <row r="20" spans="1:26" ht="14.25" customHeight="1" x14ac:dyDescent="0.2">
      <c r="B20" s="1" t="s">
        <v>34</v>
      </c>
      <c r="C20" s="4"/>
      <c r="D20" s="4"/>
      <c r="E20" s="4"/>
      <c r="F20" s="4"/>
      <c r="G20" s="4">
        <v>-861.79</v>
      </c>
      <c r="H20" s="4">
        <v>-861.79</v>
      </c>
      <c r="I20" s="4">
        <v>-861.79</v>
      </c>
      <c r="J20" s="4"/>
      <c r="K20" s="4"/>
      <c r="L20" s="4"/>
      <c r="M20" s="4"/>
      <c r="N20" s="4"/>
    </row>
    <row r="21" spans="1:26" ht="14.25" customHeight="1" x14ac:dyDescent="0.2">
      <c r="B21" s="1" t="s">
        <v>37</v>
      </c>
      <c r="C21" s="4"/>
      <c r="D21" s="4"/>
      <c r="E21" s="4"/>
      <c r="F21" s="4"/>
      <c r="G21" s="4">
        <v>0</v>
      </c>
      <c r="H21" s="4">
        <v>0</v>
      </c>
      <c r="I21" s="4"/>
      <c r="J21" s="4"/>
      <c r="K21" s="4"/>
      <c r="L21" s="4"/>
      <c r="M21" s="4"/>
      <c r="N21" s="4"/>
    </row>
    <row r="22" spans="1:26" ht="14.25" customHeight="1" x14ac:dyDescent="0.2">
      <c r="B22" s="1" t="s">
        <v>38</v>
      </c>
      <c r="C22" s="4"/>
      <c r="D22" s="4"/>
      <c r="E22" s="4"/>
      <c r="F22" s="4"/>
      <c r="G22" s="4">
        <v>-6400.3413787179488</v>
      </c>
      <c r="H22" s="4">
        <v>-8803.44</v>
      </c>
      <c r="I22" s="4">
        <v>-8588.26</v>
      </c>
      <c r="J22" s="4"/>
      <c r="K22" s="4"/>
      <c r="L22" s="4"/>
      <c r="M22" s="4"/>
      <c r="N22" s="4"/>
    </row>
    <row r="23" spans="1:26" ht="14.25" customHeight="1" x14ac:dyDescent="0.2">
      <c r="B23" s="1" t="s">
        <v>40</v>
      </c>
      <c r="C23" s="4"/>
      <c r="D23" s="4"/>
      <c r="E23" s="4"/>
      <c r="F23" s="4"/>
      <c r="G23" s="4">
        <v>-4248.2653333333328</v>
      </c>
      <c r="H23" s="4">
        <v>-4248.2653333333328</v>
      </c>
      <c r="I23" s="4">
        <v>-4248.2653333333328</v>
      </c>
      <c r="J23" s="4"/>
      <c r="K23" s="4"/>
      <c r="L23" s="4"/>
      <c r="M23" s="4"/>
      <c r="N23" s="4"/>
    </row>
    <row r="24" spans="1:26" ht="14.25" customHeight="1" x14ac:dyDescent="0.2">
      <c r="B24" s="1" t="s">
        <v>206</v>
      </c>
      <c r="C24" s="4"/>
      <c r="D24" s="4"/>
      <c r="E24" s="4"/>
      <c r="F24" s="4">
        <v>18902.43</v>
      </c>
      <c r="G24" s="4"/>
      <c r="H24" s="4">
        <v>22079</v>
      </c>
      <c r="I24" s="4"/>
      <c r="J24" s="4"/>
      <c r="K24" s="4"/>
      <c r="L24" s="4"/>
      <c r="M24" s="4"/>
      <c r="N24" s="4"/>
    </row>
    <row r="25" spans="1:26" ht="14.25" customHeight="1" x14ac:dyDescent="0.2">
      <c r="B25" s="1" t="s">
        <v>207</v>
      </c>
      <c r="C25" s="4"/>
      <c r="D25" s="4"/>
      <c r="E25" s="4"/>
      <c r="F25" s="4"/>
      <c r="G25" s="4"/>
      <c r="H25" s="4">
        <v>5383</v>
      </c>
      <c r="I25" s="4">
        <v>1176.32</v>
      </c>
      <c r="J25" s="4"/>
      <c r="K25" s="4"/>
      <c r="L25" s="4"/>
      <c r="M25" s="4"/>
      <c r="N25" s="4"/>
    </row>
    <row r="26" spans="1:26" ht="14.25" customHeight="1" x14ac:dyDescent="0.2">
      <c r="A26" s="1"/>
      <c r="B26" s="190" t="s">
        <v>42</v>
      </c>
      <c r="C26" s="191">
        <f t="shared" ref="C26:N26" si="0">SUM(C3:C25)</f>
        <v>114427.00223651223</v>
      </c>
      <c r="D26" s="191">
        <f t="shared" si="0"/>
        <v>113104.83222634092</v>
      </c>
      <c r="E26" s="191">
        <f t="shared" si="0"/>
        <v>118029.79102325</v>
      </c>
      <c r="F26" s="191">
        <f t="shared" si="0"/>
        <v>170014.156888225</v>
      </c>
      <c r="G26" s="191">
        <f t="shared" si="0"/>
        <v>167255.4035585387</v>
      </c>
      <c r="H26" s="191">
        <f t="shared" si="0"/>
        <v>193856.80493725665</v>
      </c>
      <c r="I26" s="191">
        <f t="shared" si="0"/>
        <v>167429.36038412084</v>
      </c>
      <c r="J26" s="191">
        <f t="shared" si="0"/>
        <v>0</v>
      </c>
      <c r="K26" s="191">
        <f t="shared" si="0"/>
        <v>0</v>
      </c>
      <c r="L26" s="191">
        <f t="shared" si="0"/>
        <v>0</v>
      </c>
      <c r="M26" s="191">
        <f t="shared" si="0"/>
        <v>0</v>
      </c>
      <c r="N26" s="191">
        <f t="shared" si="0"/>
        <v>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">
      <c r="A27" s="1"/>
      <c r="B27" s="190" t="s">
        <v>208</v>
      </c>
      <c r="C27" s="191"/>
      <c r="D27" s="192">
        <v>11120</v>
      </c>
      <c r="E27" s="192">
        <v>11120</v>
      </c>
      <c r="F27" s="192">
        <v>11120</v>
      </c>
      <c r="G27" s="191">
        <v>17051</v>
      </c>
      <c r="H27" s="191">
        <v>17051</v>
      </c>
      <c r="I27" s="191"/>
      <c r="J27" s="191"/>
      <c r="K27" s="191"/>
      <c r="L27" s="191"/>
      <c r="M27" s="191"/>
      <c r="N27" s="19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">
      <c r="B28" s="1"/>
      <c r="C28" s="4"/>
      <c r="E28" s="4"/>
      <c r="F28" s="4"/>
      <c r="G28" s="4"/>
      <c r="H28" s="4"/>
      <c r="I28" s="4"/>
      <c r="J28" s="4"/>
    </row>
    <row r="29" spans="1:26" ht="14.25" customHeight="1" x14ac:dyDescent="0.2">
      <c r="B29" s="188" t="s">
        <v>209</v>
      </c>
      <c r="C29" s="189" t="s">
        <v>189</v>
      </c>
      <c r="D29" s="189" t="s">
        <v>190</v>
      </c>
      <c r="E29" s="189" t="s">
        <v>191</v>
      </c>
      <c r="F29" s="189" t="s">
        <v>192</v>
      </c>
      <c r="G29" s="189" t="s">
        <v>193</v>
      </c>
      <c r="H29" s="189" t="s">
        <v>194</v>
      </c>
      <c r="I29" s="189" t="s">
        <v>195</v>
      </c>
      <c r="J29" s="189" t="s">
        <v>196</v>
      </c>
      <c r="K29" s="189" t="s">
        <v>197</v>
      </c>
      <c r="L29" s="189" t="s">
        <v>198</v>
      </c>
      <c r="M29" s="189" t="s">
        <v>199</v>
      </c>
      <c r="N29" s="189" t="s">
        <v>200</v>
      </c>
    </row>
    <row r="30" spans="1:26" ht="14.25" customHeight="1" x14ac:dyDescent="0.2">
      <c r="B30" s="1" t="s">
        <v>201</v>
      </c>
      <c r="C30" s="4">
        <v>16398.382142550916</v>
      </c>
      <c r="D30" s="4">
        <v>15918.646056451249</v>
      </c>
      <c r="E30" s="4">
        <v>16482.572636249999</v>
      </c>
      <c r="F30" s="4">
        <v>0</v>
      </c>
      <c r="G30" s="4">
        <v>0</v>
      </c>
      <c r="H30" s="4">
        <v>0</v>
      </c>
      <c r="I30" s="4"/>
      <c r="J30" s="4"/>
      <c r="K30" s="4"/>
      <c r="L30" s="4"/>
      <c r="M30" s="4"/>
      <c r="N30" s="4"/>
    </row>
    <row r="31" spans="1:26" ht="14.25" customHeight="1" x14ac:dyDescent="0.2">
      <c r="A31" s="1"/>
      <c r="B31" s="190" t="s">
        <v>42</v>
      </c>
      <c r="C31" s="191">
        <f t="shared" ref="C31:N31" si="1">SUM(C30)</f>
        <v>16398.382142550916</v>
      </c>
      <c r="D31" s="191">
        <f t="shared" si="1"/>
        <v>15918.646056451249</v>
      </c>
      <c r="E31" s="191">
        <f t="shared" si="1"/>
        <v>16482.572636249999</v>
      </c>
      <c r="F31" s="191">
        <f t="shared" si="1"/>
        <v>0</v>
      </c>
      <c r="G31" s="191">
        <f t="shared" si="1"/>
        <v>0</v>
      </c>
      <c r="H31" s="191">
        <f t="shared" si="1"/>
        <v>0</v>
      </c>
      <c r="I31" s="191">
        <f t="shared" si="1"/>
        <v>0</v>
      </c>
      <c r="J31" s="191">
        <f t="shared" si="1"/>
        <v>0</v>
      </c>
      <c r="K31" s="191">
        <f t="shared" si="1"/>
        <v>0</v>
      </c>
      <c r="L31" s="191">
        <f t="shared" si="1"/>
        <v>0</v>
      </c>
      <c r="M31" s="191">
        <f t="shared" si="1"/>
        <v>0</v>
      </c>
      <c r="N31" s="191">
        <f t="shared" si="1"/>
        <v>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">
      <c r="B32" s="1"/>
    </row>
    <row r="33" spans="1:26" ht="14.25" customHeight="1" x14ac:dyDescent="0.2">
      <c r="B33" s="188" t="s">
        <v>11</v>
      </c>
      <c r="C33" s="189" t="s">
        <v>189</v>
      </c>
      <c r="D33" s="189" t="s">
        <v>190</v>
      </c>
      <c r="E33" s="189" t="s">
        <v>191</v>
      </c>
      <c r="F33" s="189" t="s">
        <v>192</v>
      </c>
      <c r="G33" s="189" t="s">
        <v>193</v>
      </c>
      <c r="H33" s="189" t="s">
        <v>194</v>
      </c>
      <c r="I33" s="189" t="s">
        <v>195</v>
      </c>
      <c r="J33" s="189" t="s">
        <v>196</v>
      </c>
      <c r="K33" s="189" t="s">
        <v>197</v>
      </c>
      <c r="L33" s="189" t="s">
        <v>198</v>
      </c>
      <c r="M33" s="189" t="s">
        <v>199</v>
      </c>
      <c r="N33" s="189" t="s">
        <v>200</v>
      </c>
    </row>
    <row r="34" spans="1:26" ht="14.25" customHeight="1" x14ac:dyDescent="0.2">
      <c r="B34" s="1" t="s">
        <v>201</v>
      </c>
      <c r="C34" s="4">
        <v>57737.4709963758</v>
      </c>
      <c r="D34" s="4">
        <v>57307.125803224502</v>
      </c>
      <c r="E34" s="4">
        <v>59337.261490500008</v>
      </c>
      <c r="F34" s="4">
        <v>49931.464250525001</v>
      </c>
      <c r="G34" s="4">
        <v>39452.059099160004</v>
      </c>
      <c r="H34" s="4">
        <v>50344.909707900006</v>
      </c>
      <c r="I34" s="4">
        <v>50007.167312150006</v>
      </c>
      <c r="J34" s="4"/>
      <c r="K34" s="4"/>
      <c r="L34" s="4"/>
      <c r="M34" s="4"/>
      <c r="N34" s="4"/>
    </row>
    <row r="35" spans="1:26" ht="14.25" customHeight="1" x14ac:dyDescent="0.2">
      <c r="B35" s="1" t="s">
        <v>32</v>
      </c>
      <c r="C35" s="4">
        <v>-2252</v>
      </c>
      <c r="D35" s="4">
        <v>-2252</v>
      </c>
      <c r="E35" s="4">
        <v>-2252</v>
      </c>
      <c r="F35" s="4">
        <v>-2252</v>
      </c>
      <c r="G35" s="4"/>
      <c r="H35" s="4"/>
      <c r="I35" s="4"/>
      <c r="J35" s="4"/>
      <c r="K35" s="4"/>
      <c r="L35" s="4"/>
      <c r="M35" s="4"/>
      <c r="N35" s="4"/>
    </row>
    <row r="36" spans="1:26" ht="14.25" customHeight="1" x14ac:dyDescent="0.2">
      <c r="B36" s="1" t="s">
        <v>74</v>
      </c>
      <c r="C36" s="4">
        <v>-187.5</v>
      </c>
      <c r="D36" s="4">
        <v>-187.5</v>
      </c>
      <c r="E36" s="4">
        <v>-187.5</v>
      </c>
      <c r="F36" s="4">
        <v>-187.5</v>
      </c>
      <c r="G36" s="4"/>
      <c r="H36" s="4"/>
      <c r="I36" s="4"/>
      <c r="J36" s="4"/>
      <c r="K36" s="4"/>
      <c r="L36" s="4"/>
      <c r="M36" s="4"/>
      <c r="N36" s="4"/>
    </row>
    <row r="37" spans="1:26" ht="14.25" customHeight="1" x14ac:dyDescent="0.2">
      <c r="B37" s="1" t="s">
        <v>34</v>
      </c>
      <c r="C37" s="4">
        <v>-861.79</v>
      </c>
      <c r="D37" s="4">
        <v>-861.79</v>
      </c>
      <c r="E37" s="4">
        <v>-861.79</v>
      </c>
      <c r="F37" s="4">
        <v>-861.79</v>
      </c>
      <c r="G37" s="4"/>
      <c r="H37" s="4"/>
      <c r="I37" s="4"/>
      <c r="J37" s="4"/>
      <c r="K37" s="4"/>
      <c r="L37" s="4"/>
      <c r="M37" s="4"/>
      <c r="N37" s="4"/>
    </row>
    <row r="38" spans="1:26" ht="14.25" customHeight="1" x14ac:dyDescent="0.2">
      <c r="B38" s="1" t="s">
        <v>37</v>
      </c>
      <c r="C38" s="4"/>
      <c r="D38" s="4"/>
      <c r="E38" s="4">
        <v>-1447.76</v>
      </c>
      <c r="F38" s="4">
        <v>0</v>
      </c>
      <c r="G38" s="4"/>
      <c r="H38" s="4"/>
      <c r="I38" s="4"/>
      <c r="J38" s="4"/>
      <c r="K38" s="4"/>
      <c r="L38" s="4"/>
      <c r="M38" s="4"/>
      <c r="N38" s="4"/>
    </row>
    <row r="39" spans="1:26" ht="14.25" customHeight="1" x14ac:dyDescent="0.2">
      <c r="B39" s="1" t="s">
        <v>40</v>
      </c>
      <c r="C39" s="4"/>
      <c r="D39" s="4"/>
      <c r="E39" s="4">
        <v>-4248.2653333333328</v>
      </c>
      <c r="F39" s="4">
        <v>-4248.2653333333328</v>
      </c>
      <c r="G39" s="4"/>
      <c r="H39" s="4"/>
      <c r="I39" s="4"/>
      <c r="J39" s="4"/>
      <c r="K39" s="4"/>
      <c r="L39" s="4"/>
      <c r="M39" s="4"/>
      <c r="N39" s="4"/>
    </row>
    <row r="40" spans="1:26" ht="14.25" customHeight="1" x14ac:dyDescent="0.2">
      <c r="A40" s="1"/>
      <c r="B40" s="190" t="s">
        <v>42</v>
      </c>
      <c r="C40" s="191">
        <f t="shared" ref="C40:N40" si="2">SUM(C34:C39)</f>
        <v>54436.180996375799</v>
      </c>
      <c r="D40" s="191">
        <f t="shared" si="2"/>
        <v>54005.835803224501</v>
      </c>
      <c r="E40" s="191">
        <f t="shared" si="2"/>
        <v>50339.946157166676</v>
      </c>
      <c r="F40" s="191">
        <f t="shared" si="2"/>
        <v>42381.908917191671</v>
      </c>
      <c r="G40" s="191">
        <f t="shared" si="2"/>
        <v>39452.059099160004</v>
      </c>
      <c r="H40" s="191">
        <f t="shared" si="2"/>
        <v>50344.909707900006</v>
      </c>
      <c r="I40" s="191">
        <f t="shared" si="2"/>
        <v>50007.167312150006</v>
      </c>
      <c r="J40" s="191">
        <f t="shared" si="2"/>
        <v>0</v>
      </c>
      <c r="K40" s="191">
        <f t="shared" si="2"/>
        <v>0</v>
      </c>
      <c r="L40" s="191">
        <f t="shared" si="2"/>
        <v>0</v>
      </c>
      <c r="M40" s="191">
        <f t="shared" si="2"/>
        <v>0</v>
      </c>
      <c r="N40" s="191">
        <f t="shared" si="2"/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">
      <c r="B41" s="1"/>
    </row>
    <row r="42" spans="1:26" ht="14.25" customHeight="1" x14ac:dyDescent="0.2">
      <c r="B42" s="1"/>
      <c r="E42" s="4"/>
    </row>
    <row r="43" spans="1:26" ht="14.25" customHeight="1" x14ac:dyDescent="0.2">
      <c r="B43" s="1"/>
      <c r="C43" s="4"/>
      <c r="D43" s="4"/>
    </row>
    <row r="44" spans="1:26" ht="14.25" customHeight="1" x14ac:dyDescent="0.2">
      <c r="B44" s="1"/>
    </row>
    <row r="45" spans="1:26" ht="14.25" customHeight="1" x14ac:dyDescent="0.2">
      <c r="B45" s="1"/>
    </row>
    <row r="46" spans="1:26" ht="14.25" customHeight="1" x14ac:dyDescent="0.2">
      <c r="B46" s="1"/>
    </row>
    <row r="47" spans="1:26" ht="14.25" customHeight="1" x14ac:dyDescent="0.2">
      <c r="B47" s="1"/>
    </row>
    <row r="48" spans="1:26" ht="14.25" customHeight="1" x14ac:dyDescent="0.2">
      <c r="B48" s="1"/>
    </row>
    <row r="49" spans="2:2" ht="14.25" customHeight="1" x14ac:dyDescent="0.2">
      <c r="B49" s="1"/>
    </row>
    <row r="50" spans="2:2" ht="14.25" customHeight="1" x14ac:dyDescent="0.2">
      <c r="B50" s="1"/>
    </row>
    <row r="51" spans="2:2" ht="14.25" customHeight="1" x14ac:dyDescent="0.2">
      <c r="B51" s="1"/>
    </row>
    <row r="52" spans="2:2" ht="14.25" customHeight="1" x14ac:dyDescent="0.2">
      <c r="B52" s="1"/>
    </row>
    <row r="53" spans="2:2" ht="14.25" customHeight="1" x14ac:dyDescent="0.2">
      <c r="B53" s="1"/>
    </row>
    <row r="54" spans="2:2" ht="14.25" customHeight="1" x14ac:dyDescent="0.2">
      <c r="B54" s="1"/>
    </row>
    <row r="55" spans="2:2" ht="14.25" customHeight="1" x14ac:dyDescent="0.2">
      <c r="B55" s="1"/>
    </row>
    <row r="56" spans="2:2" ht="14.25" customHeight="1" x14ac:dyDescent="0.2">
      <c r="B56" s="1"/>
    </row>
    <row r="57" spans="2:2" ht="14.25" customHeight="1" x14ac:dyDescent="0.2">
      <c r="B57" s="1"/>
    </row>
    <row r="58" spans="2:2" ht="14.25" customHeight="1" x14ac:dyDescent="0.2">
      <c r="B58" s="1"/>
    </row>
    <row r="59" spans="2:2" ht="14.25" customHeight="1" x14ac:dyDescent="0.2">
      <c r="B59" s="1"/>
    </row>
    <row r="60" spans="2:2" ht="14.25" customHeight="1" x14ac:dyDescent="0.2">
      <c r="B60" s="1"/>
    </row>
    <row r="61" spans="2:2" ht="14.25" customHeight="1" x14ac:dyDescent="0.2">
      <c r="B61" s="1"/>
    </row>
    <row r="62" spans="2:2" ht="14.25" customHeight="1" x14ac:dyDescent="0.2">
      <c r="B62" s="1"/>
    </row>
    <row r="63" spans="2:2" ht="14.25" customHeight="1" x14ac:dyDescent="0.2">
      <c r="B63" s="1"/>
    </row>
    <row r="64" spans="2:2" ht="14.25" customHeight="1" x14ac:dyDescent="0.2">
      <c r="B64" s="1"/>
    </row>
    <row r="65" spans="2:2" ht="14.25" customHeight="1" x14ac:dyDescent="0.2">
      <c r="B65" s="1"/>
    </row>
    <row r="66" spans="2:2" ht="14.25" customHeight="1" x14ac:dyDescent="0.2">
      <c r="B66" s="1"/>
    </row>
    <row r="67" spans="2:2" ht="14.25" customHeight="1" x14ac:dyDescent="0.2">
      <c r="B67" s="1"/>
    </row>
    <row r="68" spans="2:2" ht="14.25" customHeight="1" x14ac:dyDescent="0.2">
      <c r="B68" s="1"/>
    </row>
    <row r="69" spans="2:2" ht="14.25" customHeight="1" x14ac:dyDescent="0.2">
      <c r="B69" s="1"/>
    </row>
    <row r="70" spans="2:2" ht="14.25" customHeight="1" x14ac:dyDescent="0.2">
      <c r="B70" s="1"/>
    </row>
    <row r="71" spans="2:2" ht="14.25" customHeight="1" x14ac:dyDescent="0.2">
      <c r="B71" s="1"/>
    </row>
    <row r="72" spans="2:2" ht="14.25" customHeight="1" x14ac:dyDescent="0.2">
      <c r="B72" s="1"/>
    </row>
    <row r="73" spans="2:2" ht="14.25" customHeight="1" x14ac:dyDescent="0.2">
      <c r="B73" s="1"/>
    </row>
    <row r="74" spans="2:2" ht="14.25" customHeight="1" x14ac:dyDescent="0.2">
      <c r="B74" s="1"/>
    </row>
    <row r="75" spans="2:2" ht="14.25" customHeight="1" x14ac:dyDescent="0.2">
      <c r="B75" s="1"/>
    </row>
    <row r="76" spans="2:2" ht="14.25" customHeight="1" x14ac:dyDescent="0.2">
      <c r="B76" s="1"/>
    </row>
    <row r="77" spans="2:2" ht="14.25" customHeight="1" x14ac:dyDescent="0.2">
      <c r="B77" s="1"/>
    </row>
    <row r="78" spans="2:2" ht="14.25" customHeight="1" x14ac:dyDescent="0.2">
      <c r="B78" s="1"/>
    </row>
    <row r="79" spans="2:2" ht="14.25" customHeight="1" x14ac:dyDescent="0.2">
      <c r="B79" s="1"/>
    </row>
    <row r="80" spans="2:2" ht="14.25" customHeight="1" x14ac:dyDescent="0.2">
      <c r="B80" s="1"/>
    </row>
    <row r="81" spans="2:2" ht="14.25" customHeight="1" x14ac:dyDescent="0.2">
      <c r="B81" s="1"/>
    </row>
    <row r="82" spans="2:2" ht="14.25" customHeight="1" x14ac:dyDescent="0.2">
      <c r="B82" s="1"/>
    </row>
    <row r="83" spans="2:2" ht="14.25" customHeight="1" x14ac:dyDescent="0.2">
      <c r="B83" s="1"/>
    </row>
    <row r="84" spans="2:2" ht="14.25" customHeight="1" x14ac:dyDescent="0.2">
      <c r="B84" s="1"/>
    </row>
    <row r="85" spans="2:2" ht="14.25" customHeight="1" x14ac:dyDescent="0.2">
      <c r="B85" s="1"/>
    </row>
    <row r="86" spans="2:2" ht="14.25" customHeight="1" x14ac:dyDescent="0.2">
      <c r="B86" s="1"/>
    </row>
    <row r="87" spans="2:2" ht="14.25" customHeight="1" x14ac:dyDescent="0.2">
      <c r="B87" s="1"/>
    </row>
    <row r="88" spans="2:2" ht="14.25" customHeight="1" x14ac:dyDescent="0.2">
      <c r="B88" s="1"/>
    </row>
    <row r="89" spans="2:2" ht="14.25" customHeight="1" x14ac:dyDescent="0.2">
      <c r="B89" s="1"/>
    </row>
    <row r="90" spans="2:2" ht="14.25" customHeight="1" x14ac:dyDescent="0.2">
      <c r="B90" s="1"/>
    </row>
    <row r="91" spans="2:2" ht="14.25" customHeight="1" x14ac:dyDescent="0.2">
      <c r="B91" s="1"/>
    </row>
    <row r="92" spans="2:2" ht="14.25" customHeight="1" x14ac:dyDescent="0.2">
      <c r="B92" s="1"/>
    </row>
    <row r="93" spans="2:2" ht="14.25" customHeight="1" x14ac:dyDescent="0.2">
      <c r="B93" s="1"/>
    </row>
    <row r="94" spans="2:2" ht="14.25" customHeight="1" x14ac:dyDescent="0.2">
      <c r="B94" s="1"/>
    </row>
    <row r="95" spans="2:2" ht="14.25" customHeight="1" x14ac:dyDescent="0.2">
      <c r="B95" s="1"/>
    </row>
    <row r="96" spans="2:2" ht="14.25" customHeight="1" x14ac:dyDescent="0.2">
      <c r="B96" s="1"/>
    </row>
    <row r="97" spans="2:2" ht="14.25" customHeight="1" x14ac:dyDescent="0.2">
      <c r="B97" s="1"/>
    </row>
    <row r="98" spans="2:2" ht="14.25" customHeight="1" x14ac:dyDescent="0.2">
      <c r="B98" s="1"/>
    </row>
    <row r="99" spans="2:2" ht="14.25" customHeight="1" x14ac:dyDescent="0.2">
      <c r="B99" s="1"/>
    </row>
    <row r="100" spans="2:2" ht="14.25" customHeight="1" x14ac:dyDescent="0.2">
      <c r="B100" s="1"/>
    </row>
    <row r="101" spans="2:2" ht="14.25" customHeight="1" x14ac:dyDescent="0.2">
      <c r="B101" s="1"/>
    </row>
    <row r="102" spans="2:2" ht="14.25" customHeight="1" x14ac:dyDescent="0.2">
      <c r="B102" s="1"/>
    </row>
    <row r="103" spans="2:2" ht="14.25" customHeight="1" x14ac:dyDescent="0.2">
      <c r="B103" s="1"/>
    </row>
    <row r="104" spans="2:2" ht="14.25" customHeight="1" x14ac:dyDescent="0.2">
      <c r="B104" s="1"/>
    </row>
    <row r="105" spans="2:2" ht="14.25" customHeight="1" x14ac:dyDescent="0.2">
      <c r="B105" s="1"/>
    </row>
    <row r="106" spans="2:2" ht="14.25" customHeight="1" x14ac:dyDescent="0.2">
      <c r="B106" s="1"/>
    </row>
    <row r="107" spans="2:2" ht="14.25" customHeight="1" x14ac:dyDescent="0.2">
      <c r="B107" s="1"/>
    </row>
    <row r="108" spans="2:2" ht="14.25" customHeight="1" x14ac:dyDescent="0.2">
      <c r="B108" s="1"/>
    </row>
    <row r="109" spans="2:2" ht="14.25" customHeight="1" x14ac:dyDescent="0.2">
      <c r="B109" s="1"/>
    </row>
    <row r="110" spans="2:2" ht="14.25" customHeight="1" x14ac:dyDescent="0.2">
      <c r="B110" s="1"/>
    </row>
    <row r="111" spans="2:2" ht="14.25" customHeight="1" x14ac:dyDescent="0.2">
      <c r="B111" s="1"/>
    </row>
    <row r="112" spans="2:2" ht="14.25" customHeight="1" x14ac:dyDescent="0.2">
      <c r="B112" s="1"/>
    </row>
    <row r="113" spans="2:2" ht="14.25" customHeight="1" x14ac:dyDescent="0.2">
      <c r="B113" s="1"/>
    </row>
    <row r="114" spans="2:2" ht="14.25" customHeight="1" x14ac:dyDescent="0.2">
      <c r="B114" s="1"/>
    </row>
    <row r="115" spans="2:2" ht="14.25" customHeight="1" x14ac:dyDescent="0.2">
      <c r="B115" s="1"/>
    </row>
    <row r="116" spans="2:2" ht="14.25" customHeight="1" x14ac:dyDescent="0.2">
      <c r="B116" s="1"/>
    </row>
    <row r="117" spans="2:2" ht="14.25" customHeight="1" x14ac:dyDescent="0.2">
      <c r="B117" s="1"/>
    </row>
    <row r="118" spans="2:2" ht="14.25" customHeight="1" x14ac:dyDescent="0.2">
      <c r="B118" s="1"/>
    </row>
    <row r="119" spans="2:2" ht="14.25" customHeight="1" x14ac:dyDescent="0.2">
      <c r="B119" s="1"/>
    </row>
    <row r="120" spans="2:2" ht="14.25" customHeight="1" x14ac:dyDescent="0.2">
      <c r="B120" s="1"/>
    </row>
    <row r="121" spans="2:2" ht="14.25" customHeight="1" x14ac:dyDescent="0.2">
      <c r="B121" s="1"/>
    </row>
    <row r="122" spans="2:2" ht="14.25" customHeight="1" x14ac:dyDescent="0.2">
      <c r="B122" s="1"/>
    </row>
    <row r="123" spans="2:2" ht="14.25" customHeight="1" x14ac:dyDescent="0.2">
      <c r="B123" s="1"/>
    </row>
    <row r="124" spans="2:2" ht="14.25" customHeight="1" x14ac:dyDescent="0.2">
      <c r="B124" s="1"/>
    </row>
    <row r="125" spans="2:2" ht="14.25" customHeight="1" x14ac:dyDescent="0.2">
      <c r="B125" s="1"/>
    </row>
    <row r="126" spans="2:2" ht="14.25" customHeight="1" x14ac:dyDescent="0.2">
      <c r="B126" s="1"/>
    </row>
    <row r="127" spans="2:2" ht="14.25" customHeight="1" x14ac:dyDescent="0.2">
      <c r="B127" s="1"/>
    </row>
    <row r="128" spans="2:2" ht="14.25" customHeight="1" x14ac:dyDescent="0.2">
      <c r="B128" s="1"/>
    </row>
    <row r="129" spans="2:2" ht="14.25" customHeight="1" x14ac:dyDescent="0.2">
      <c r="B129" s="1"/>
    </row>
    <row r="130" spans="2:2" ht="14.25" customHeight="1" x14ac:dyDescent="0.2">
      <c r="B130" s="1"/>
    </row>
    <row r="131" spans="2:2" ht="14.25" customHeight="1" x14ac:dyDescent="0.2">
      <c r="B131" s="1"/>
    </row>
    <row r="132" spans="2:2" ht="14.25" customHeight="1" x14ac:dyDescent="0.2">
      <c r="B132" s="1"/>
    </row>
    <row r="133" spans="2:2" ht="14.25" customHeight="1" x14ac:dyDescent="0.2">
      <c r="B133" s="1"/>
    </row>
    <row r="134" spans="2:2" ht="14.25" customHeight="1" x14ac:dyDescent="0.2">
      <c r="B134" s="1"/>
    </row>
    <row r="135" spans="2:2" ht="14.25" customHeight="1" x14ac:dyDescent="0.2">
      <c r="B135" s="1"/>
    </row>
    <row r="136" spans="2:2" ht="14.25" customHeight="1" x14ac:dyDescent="0.2">
      <c r="B136" s="1"/>
    </row>
    <row r="137" spans="2:2" ht="14.25" customHeight="1" x14ac:dyDescent="0.2">
      <c r="B137" s="1"/>
    </row>
    <row r="138" spans="2:2" ht="14.25" customHeight="1" x14ac:dyDescent="0.2">
      <c r="B138" s="1"/>
    </row>
    <row r="139" spans="2:2" ht="14.25" customHeight="1" x14ac:dyDescent="0.2">
      <c r="B139" s="1"/>
    </row>
    <row r="140" spans="2:2" ht="14.25" customHeight="1" x14ac:dyDescent="0.2">
      <c r="B140" s="1"/>
    </row>
    <row r="141" spans="2:2" ht="14.25" customHeight="1" x14ac:dyDescent="0.2">
      <c r="B141" s="1"/>
    </row>
    <row r="142" spans="2:2" ht="14.25" customHeight="1" x14ac:dyDescent="0.2">
      <c r="B142" s="1"/>
    </row>
    <row r="143" spans="2:2" ht="14.25" customHeight="1" x14ac:dyDescent="0.2">
      <c r="B143" s="1"/>
    </row>
    <row r="144" spans="2:2" ht="14.25" customHeight="1" x14ac:dyDescent="0.2">
      <c r="B144" s="1"/>
    </row>
    <row r="145" spans="2:2" ht="14.25" customHeight="1" x14ac:dyDescent="0.2">
      <c r="B145" s="1"/>
    </row>
    <row r="146" spans="2:2" ht="14.25" customHeight="1" x14ac:dyDescent="0.2">
      <c r="B146" s="1"/>
    </row>
    <row r="147" spans="2:2" ht="14.25" customHeight="1" x14ac:dyDescent="0.2">
      <c r="B147" s="1"/>
    </row>
    <row r="148" spans="2:2" ht="14.25" customHeight="1" x14ac:dyDescent="0.2">
      <c r="B148" s="1"/>
    </row>
    <row r="149" spans="2:2" ht="14.25" customHeight="1" x14ac:dyDescent="0.2">
      <c r="B149" s="1"/>
    </row>
    <row r="150" spans="2:2" ht="14.25" customHeight="1" x14ac:dyDescent="0.2">
      <c r="B150" s="1"/>
    </row>
    <row r="151" spans="2:2" ht="14.25" customHeight="1" x14ac:dyDescent="0.2">
      <c r="B151" s="1"/>
    </row>
    <row r="152" spans="2:2" ht="14.25" customHeight="1" x14ac:dyDescent="0.2">
      <c r="B152" s="1"/>
    </row>
    <row r="153" spans="2:2" ht="14.25" customHeight="1" x14ac:dyDescent="0.2">
      <c r="B153" s="1"/>
    </row>
    <row r="154" spans="2:2" ht="14.25" customHeight="1" x14ac:dyDescent="0.2">
      <c r="B154" s="1"/>
    </row>
    <row r="155" spans="2:2" ht="14.25" customHeight="1" x14ac:dyDescent="0.2">
      <c r="B155" s="1"/>
    </row>
    <row r="156" spans="2:2" ht="14.25" customHeight="1" x14ac:dyDescent="0.2">
      <c r="B156" s="1"/>
    </row>
    <row r="157" spans="2:2" ht="14.25" customHeight="1" x14ac:dyDescent="0.2">
      <c r="B157" s="1"/>
    </row>
    <row r="158" spans="2:2" ht="14.25" customHeight="1" x14ac:dyDescent="0.2">
      <c r="B158" s="1"/>
    </row>
    <row r="159" spans="2:2" ht="14.25" customHeight="1" x14ac:dyDescent="0.2">
      <c r="B159" s="1"/>
    </row>
    <row r="160" spans="2:2" ht="14.25" customHeight="1" x14ac:dyDescent="0.2">
      <c r="B160" s="1"/>
    </row>
    <row r="161" spans="2:2" ht="14.25" customHeight="1" x14ac:dyDescent="0.2">
      <c r="B161" s="1"/>
    </row>
    <row r="162" spans="2:2" ht="14.25" customHeight="1" x14ac:dyDescent="0.2">
      <c r="B162" s="1"/>
    </row>
    <row r="163" spans="2:2" ht="14.25" customHeight="1" x14ac:dyDescent="0.2">
      <c r="B163" s="1"/>
    </row>
    <row r="164" spans="2:2" ht="14.25" customHeight="1" x14ac:dyDescent="0.2">
      <c r="B164" s="1"/>
    </row>
    <row r="165" spans="2:2" ht="14.25" customHeight="1" x14ac:dyDescent="0.2">
      <c r="B165" s="1"/>
    </row>
    <row r="166" spans="2:2" ht="14.25" customHeight="1" x14ac:dyDescent="0.2">
      <c r="B166" s="1"/>
    </row>
    <row r="167" spans="2:2" ht="14.25" customHeight="1" x14ac:dyDescent="0.2">
      <c r="B167" s="1"/>
    </row>
    <row r="168" spans="2:2" ht="14.25" customHeight="1" x14ac:dyDescent="0.2">
      <c r="B168" s="1"/>
    </row>
    <row r="169" spans="2:2" ht="14.25" customHeight="1" x14ac:dyDescent="0.2">
      <c r="B169" s="1"/>
    </row>
    <row r="170" spans="2:2" ht="14.25" customHeight="1" x14ac:dyDescent="0.2">
      <c r="B170" s="1"/>
    </row>
    <row r="171" spans="2:2" ht="14.25" customHeight="1" x14ac:dyDescent="0.2">
      <c r="B171" s="1"/>
    </row>
    <row r="172" spans="2:2" ht="14.25" customHeight="1" x14ac:dyDescent="0.2">
      <c r="B172" s="1"/>
    </row>
    <row r="173" spans="2:2" ht="14.25" customHeight="1" x14ac:dyDescent="0.2">
      <c r="B173" s="1"/>
    </row>
    <row r="174" spans="2:2" ht="14.25" customHeight="1" x14ac:dyDescent="0.2">
      <c r="B174" s="1"/>
    </row>
    <row r="175" spans="2:2" ht="14.25" customHeight="1" x14ac:dyDescent="0.2">
      <c r="B175" s="1"/>
    </row>
    <row r="176" spans="2:2" ht="14.25" customHeight="1" x14ac:dyDescent="0.2">
      <c r="B176" s="1"/>
    </row>
    <row r="177" spans="2:2" ht="14.25" customHeight="1" x14ac:dyDescent="0.2">
      <c r="B177" s="1"/>
    </row>
    <row r="178" spans="2:2" ht="14.25" customHeight="1" x14ac:dyDescent="0.2">
      <c r="B178" s="1"/>
    </row>
    <row r="179" spans="2:2" ht="14.25" customHeight="1" x14ac:dyDescent="0.2">
      <c r="B179" s="1"/>
    </row>
    <row r="180" spans="2:2" ht="14.25" customHeight="1" x14ac:dyDescent="0.2">
      <c r="B180" s="1"/>
    </row>
    <row r="181" spans="2:2" ht="14.25" customHeight="1" x14ac:dyDescent="0.2">
      <c r="B181" s="1"/>
    </row>
    <row r="182" spans="2:2" ht="14.25" customHeight="1" x14ac:dyDescent="0.2">
      <c r="B182" s="1"/>
    </row>
    <row r="183" spans="2:2" ht="14.25" customHeight="1" x14ac:dyDescent="0.2">
      <c r="B183" s="1"/>
    </row>
    <row r="184" spans="2:2" ht="14.25" customHeight="1" x14ac:dyDescent="0.2">
      <c r="B184" s="1"/>
    </row>
    <row r="185" spans="2:2" ht="14.25" customHeight="1" x14ac:dyDescent="0.2">
      <c r="B185" s="1"/>
    </row>
    <row r="186" spans="2:2" ht="14.25" customHeight="1" x14ac:dyDescent="0.2">
      <c r="B186" s="1"/>
    </row>
    <row r="187" spans="2:2" ht="14.25" customHeight="1" x14ac:dyDescent="0.2">
      <c r="B187" s="1"/>
    </row>
    <row r="188" spans="2:2" ht="14.25" customHeight="1" x14ac:dyDescent="0.2">
      <c r="B188" s="1"/>
    </row>
    <row r="189" spans="2:2" ht="14.25" customHeight="1" x14ac:dyDescent="0.2">
      <c r="B189" s="1"/>
    </row>
    <row r="190" spans="2:2" ht="14.25" customHeight="1" x14ac:dyDescent="0.2">
      <c r="B190" s="1"/>
    </row>
    <row r="191" spans="2:2" ht="14.25" customHeight="1" x14ac:dyDescent="0.2">
      <c r="B191" s="1"/>
    </row>
    <row r="192" spans="2:2" ht="14.25" customHeight="1" x14ac:dyDescent="0.2">
      <c r="B192" s="1"/>
    </row>
    <row r="193" spans="2:2" ht="14.25" customHeight="1" x14ac:dyDescent="0.2">
      <c r="B193" s="1"/>
    </row>
    <row r="194" spans="2:2" ht="14.25" customHeight="1" x14ac:dyDescent="0.2">
      <c r="B194" s="1"/>
    </row>
    <row r="195" spans="2:2" ht="14.25" customHeight="1" x14ac:dyDescent="0.2">
      <c r="B195" s="1"/>
    </row>
    <row r="196" spans="2:2" ht="14.25" customHeight="1" x14ac:dyDescent="0.2">
      <c r="B196" s="1"/>
    </row>
    <row r="197" spans="2:2" ht="14.25" customHeight="1" x14ac:dyDescent="0.2">
      <c r="B197" s="1"/>
    </row>
    <row r="198" spans="2:2" ht="14.25" customHeight="1" x14ac:dyDescent="0.2">
      <c r="B198" s="1"/>
    </row>
    <row r="199" spans="2:2" ht="14.25" customHeight="1" x14ac:dyDescent="0.2">
      <c r="B199" s="1"/>
    </row>
    <row r="200" spans="2:2" ht="14.25" customHeight="1" x14ac:dyDescent="0.2">
      <c r="B200" s="1"/>
    </row>
    <row r="201" spans="2:2" ht="14.25" customHeight="1" x14ac:dyDescent="0.2">
      <c r="B201" s="1"/>
    </row>
    <row r="202" spans="2:2" ht="14.25" customHeight="1" x14ac:dyDescent="0.2">
      <c r="B202" s="1"/>
    </row>
    <row r="203" spans="2:2" ht="14.25" customHeight="1" x14ac:dyDescent="0.2">
      <c r="B203" s="1"/>
    </row>
    <row r="204" spans="2:2" ht="14.25" customHeight="1" x14ac:dyDescent="0.2">
      <c r="B204" s="1"/>
    </row>
    <row r="205" spans="2:2" ht="14.25" customHeight="1" x14ac:dyDescent="0.2">
      <c r="B205" s="1"/>
    </row>
    <row r="206" spans="2:2" ht="14.25" customHeight="1" x14ac:dyDescent="0.2">
      <c r="B206" s="1"/>
    </row>
    <row r="207" spans="2:2" ht="14.25" customHeight="1" x14ac:dyDescent="0.2">
      <c r="B207" s="1"/>
    </row>
    <row r="208" spans="2:2" ht="14.25" customHeight="1" x14ac:dyDescent="0.2">
      <c r="B208" s="1"/>
    </row>
    <row r="209" spans="2:2" ht="14.25" customHeight="1" x14ac:dyDescent="0.2">
      <c r="B209" s="1"/>
    </row>
    <row r="210" spans="2:2" ht="14.25" customHeight="1" x14ac:dyDescent="0.2">
      <c r="B210" s="1"/>
    </row>
    <row r="211" spans="2:2" ht="14.25" customHeight="1" x14ac:dyDescent="0.2">
      <c r="B211" s="1"/>
    </row>
    <row r="212" spans="2:2" ht="14.25" customHeight="1" x14ac:dyDescent="0.2">
      <c r="B212" s="1"/>
    </row>
    <row r="213" spans="2:2" ht="14.25" customHeight="1" x14ac:dyDescent="0.2">
      <c r="B213" s="1"/>
    </row>
    <row r="214" spans="2:2" ht="14.25" customHeight="1" x14ac:dyDescent="0.2">
      <c r="B214" s="1"/>
    </row>
    <row r="215" spans="2:2" ht="14.25" customHeight="1" x14ac:dyDescent="0.2">
      <c r="B215" s="1"/>
    </row>
    <row r="216" spans="2:2" ht="14.25" customHeight="1" x14ac:dyDescent="0.2">
      <c r="B216" s="1"/>
    </row>
    <row r="217" spans="2:2" ht="14.25" customHeight="1" x14ac:dyDescent="0.2">
      <c r="B217" s="1"/>
    </row>
    <row r="218" spans="2:2" ht="14.25" customHeight="1" x14ac:dyDescent="0.2">
      <c r="B218" s="1"/>
    </row>
    <row r="219" spans="2:2" ht="14.25" customHeight="1" x14ac:dyDescent="0.2">
      <c r="B219" s="1"/>
    </row>
    <row r="220" spans="2:2" ht="14.25" customHeight="1" x14ac:dyDescent="0.2">
      <c r="B220" s="1"/>
    </row>
    <row r="221" spans="2:2" ht="14.25" customHeight="1" x14ac:dyDescent="0.2">
      <c r="B221" s="1"/>
    </row>
    <row r="222" spans="2:2" ht="14.25" customHeight="1" x14ac:dyDescent="0.2">
      <c r="B222" s="1"/>
    </row>
    <row r="223" spans="2:2" ht="14.25" customHeight="1" x14ac:dyDescent="0.2">
      <c r="B223" s="1"/>
    </row>
    <row r="224" spans="2:2" ht="14.25" customHeight="1" x14ac:dyDescent="0.2">
      <c r="B224" s="1"/>
    </row>
    <row r="225" spans="2:2" ht="14.25" customHeight="1" x14ac:dyDescent="0.2">
      <c r="B225" s="1"/>
    </row>
    <row r="226" spans="2:2" ht="14.25" customHeight="1" x14ac:dyDescent="0.2">
      <c r="B226" s="1"/>
    </row>
    <row r="227" spans="2:2" ht="14.25" customHeight="1" x14ac:dyDescent="0.2">
      <c r="B227" s="1"/>
    </row>
    <row r="228" spans="2:2" ht="14.25" customHeight="1" x14ac:dyDescent="0.2">
      <c r="B228" s="1"/>
    </row>
    <row r="229" spans="2:2" ht="14.25" customHeight="1" x14ac:dyDescent="0.2">
      <c r="B229" s="1"/>
    </row>
    <row r="230" spans="2:2" ht="14.25" customHeight="1" x14ac:dyDescent="0.2">
      <c r="B230" s="1"/>
    </row>
    <row r="231" spans="2:2" ht="14.25" customHeight="1" x14ac:dyDescent="0.2">
      <c r="B231" s="1"/>
    </row>
    <row r="232" spans="2:2" ht="14.25" customHeight="1" x14ac:dyDescent="0.2">
      <c r="B232" s="1"/>
    </row>
    <row r="233" spans="2:2" ht="14.25" customHeight="1" x14ac:dyDescent="0.2">
      <c r="B233" s="1"/>
    </row>
    <row r="234" spans="2:2" ht="14.25" customHeight="1" x14ac:dyDescent="0.2">
      <c r="B234" s="1"/>
    </row>
    <row r="235" spans="2:2" ht="14.25" customHeight="1" x14ac:dyDescent="0.2">
      <c r="B235" s="1"/>
    </row>
    <row r="236" spans="2:2" ht="14.25" customHeight="1" x14ac:dyDescent="0.2">
      <c r="B236" s="1"/>
    </row>
    <row r="237" spans="2:2" ht="14.25" customHeight="1" x14ac:dyDescent="0.2">
      <c r="B237" s="1"/>
    </row>
    <row r="238" spans="2:2" ht="14.25" customHeight="1" x14ac:dyDescent="0.2">
      <c r="B238" s="1"/>
    </row>
    <row r="239" spans="2:2" ht="14.25" customHeight="1" x14ac:dyDescent="0.2">
      <c r="B239" s="1"/>
    </row>
    <row r="240" spans="2:2" ht="14.25" customHeight="1" x14ac:dyDescent="0.2">
      <c r="B240" s="1"/>
    </row>
    <row r="241" spans="2:2" ht="14.25" customHeight="1" x14ac:dyDescent="0.2">
      <c r="B241" s="1"/>
    </row>
    <row r="242" spans="2:2" ht="14.25" customHeight="1" x14ac:dyDescent="0.2">
      <c r="B242" s="1"/>
    </row>
    <row r="243" spans="2:2" ht="14.25" customHeight="1" x14ac:dyDescent="0.2">
      <c r="B243" s="1"/>
    </row>
    <row r="244" spans="2:2" ht="14.25" customHeight="1" x14ac:dyDescent="0.2">
      <c r="B244" s="1"/>
    </row>
    <row r="245" spans="2:2" ht="14.25" customHeight="1" x14ac:dyDescent="0.2">
      <c r="B245" s="1"/>
    </row>
    <row r="246" spans="2:2" ht="14.25" customHeight="1" x14ac:dyDescent="0.2">
      <c r="B246" s="1"/>
    </row>
    <row r="247" spans="2:2" ht="14.25" customHeight="1" x14ac:dyDescent="0.2">
      <c r="B247" s="1"/>
    </row>
    <row r="248" spans="2:2" ht="14.25" customHeight="1" x14ac:dyDescent="0.2">
      <c r="B248" s="1"/>
    </row>
    <row r="249" spans="2:2" ht="14.25" customHeight="1" x14ac:dyDescent="0.2">
      <c r="B249" s="1"/>
    </row>
    <row r="250" spans="2:2" ht="14.25" customHeight="1" x14ac:dyDescent="0.2">
      <c r="B250" s="1"/>
    </row>
    <row r="251" spans="2:2" ht="14.25" customHeight="1" x14ac:dyDescent="0.2">
      <c r="B251" s="1"/>
    </row>
    <row r="252" spans="2:2" ht="14.25" customHeight="1" x14ac:dyDescent="0.2">
      <c r="B252" s="1"/>
    </row>
    <row r="253" spans="2:2" ht="14.25" customHeight="1" x14ac:dyDescent="0.2">
      <c r="B253" s="1"/>
    </row>
    <row r="254" spans="2:2" ht="14.25" customHeight="1" x14ac:dyDescent="0.2">
      <c r="B254" s="1"/>
    </row>
    <row r="255" spans="2:2" ht="14.25" customHeight="1" x14ac:dyDescent="0.2">
      <c r="B255" s="1"/>
    </row>
    <row r="256" spans="2:2" ht="14.25" customHeight="1" x14ac:dyDescent="0.2">
      <c r="B256" s="1"/>
    </row>
    <row r="257" spans="2:2" ht="14.25" customHeight="1" x14ac:dyDescent="0.2">
      <c r="B257" s="1"/>
    </row>
    <row r="258" spans="2:2" ht="14.25" customHeight="1" x14ac:dyDescent="0.2">
      <c r="B258" s="1"/>
    </row>
    <row r="259" spans="2:2" ht="14.25" customHeight="1" x14ac:dyDescent="0.2">
      <c r="B259" s="1"/>
    </row>
    <row r="260" spans="2:2" ht="14.25" customHeight="1" x14ac:dyDescent="0.2">
      <c r="B260" s="1"/>
    </row>
    <row r="261" spans="2:2" ht="14.25" customHeight="1" x14ac:dyDescent="0.2">
      <c r="B261" s="1"/>
    </row>
    <row r="262" spans="2:2" ht="14.25" customHeight="1" x14ac:dyDescent="0.2">
      <c r="B262" s="1"/>
    </row>
    <row r="263" spans="2:2" ht="14.25" customHeight="1" x14ac:dyDescent="0.2">
      <c r="B263" s="1"/>
    </row>
    <row r="264" spans="2:2" ht="14.25" customHeight="1" x14ac:dyDescent="0.2">
      <c r="B264" s="1"/>
    </row>
    <row r="265" spans="2:2" ht="14.25" customHeight="1" x14ac:dyDescent="0.2">
      <c r="B265" s="1"/>
    </row>
    <row r="266" spans="2:2" ht="14.25" customHeight="1" x14ac:dyDescent="0.2">
      <c r="B266" s="1"/>
    </row>
    <row r="267" spans="2:2" ht="14.25" customHeight="1" x14ac:dyDescent="0.2">
      <c r="B267" s="1"/>
    </row>
    <row r="268" spans="2:2" ht="14.25" customHeight="1" x14ac:dyDescent="0.2">
      <c r="B268" s="1"/>
    </row>
    <row r="269" spans="2:2" ht="14.25" customHeight="1" x14ac:dyDescent="0.2">
      <c r="B269" s="1"/>
    </row>
    <row r="270" spans="2:2" ht="14.25" customHeight="1" x14ac:dyDescent="0.2">
      <c r="B270" s="1"/>
    </row>
    <row r="271" spans="2:2" ht="14.25" customHeight="1" x14ac:dyDescent="0.2">
      <c r="B271" s="1"/>
    </row>
    <row r="272" spans="2:2" ht="14.25" customHeight="1" x14ac:dyDescent="0.2">
      <c r="B272" s="1"/>
    </row>
    <row r="273" spans="2:2" ht="14.25" customHeight="1" x14ac:dyDescent="0.2">
      <c r="B273" s="1"/>
    </row>
    <row r="274" spans="2:2" ht="14.25" customHeight="1" x14ac:dyDescent="0.2">
      <c r="B274" s="1"/>
    </row>
    <row r="275" spans="2:2" ht="14.25" customHeight="1" x14ac:dyDescent="0.2">
      <c r="B275" s="1"/>
    </row>
    <row r="276" spans="2:2" ht="14.25" customHeight="1" x14ac:dyDescent="0.2">
      <c r="B276" s="1"/>
    </row>
    <row r="277" spans="2:2" ht="14.25" customHeight="1" x14ac:dyDescent="0.2">
      <c r="B277" s="1"/>
    </row>
    <row r="278" spans="2:2" ht="14.25" customHeight="1" x14ac:dyDescent="0.2">
      <c r="B278" s="1"/>
    </row>
    <row r="279" spans="2:2" ht="14.25" customHeight="1" x14ac:dyDescent="0.2">
      <c r="B279" s="1"/>
    </row>
    <row r="280" spans="2:2" ht="14.25" customHeight="1" x14ac:dyDescent="0.2">
      <c r="B280" s="1"/>
    </row>
    <row r="281" spans="2:2" ht="14.25" customHeight="1" x14ac:dyDescent="0.2">
      <c r="B281" s="1"/>
    </row>
    <row r="282" spans="2:2" ht="14.25" customHeight="1" x14ac:dyDescent="0.2">
      <c r="B282" s="1"/>
    </row>
    <row r="283" spans="2:2" ht="14.25" customHeight="1" x14ac:dyDescent="0.2">
      <c r="B283" s="1"/>
    </row>
    <row r="284" spans="2:2" ht="14.25" customHeight="1" x14ac:dyDescent="0.2">
      <c r="B284" s="1"/>
    </row>
    <row r="285" spans="2:2" ht="14.25" customHeight="1" x14ac:dyDescent="0.2">
      <c r="B285" s="1"/>
    </row>
    <row r="286" spans="2:2" ht="14.25" customHeight="1" x14ac:dyDescent="0.2">
      <c r="B286" s="1"/>
    </row>
    <row r="287" spans="2:2" ht="14.25" customHeight="1" x14ac:dyDescent="0.2">
      <c r="B287" s="1"/>
    </row>
    <row r="288" spans="2:2" ht="14.25" customHeight="1" x14ac:dyDescent="0.2">
      <c r="B288" s="1"/>
    </row>
    <row r="289" spans="2:2" ht="14.25" customHeight="1" x14ac:dyDescent="0.2">
      <c r="B289" s="1"/>
    </row>
    <row r="290" spans="2:2" ht="14.25" customHeight="1" x14ac:dyDescent="0.2">
      <c r="B290" s="1"/>
    </row>
    <row r="291" spans="2:2" ht="14.25" customHeight="1" x14ac:dyDescent="0.2">
      <c r="B291" s="1"/>
    </row>
    <row r="292" spans="2:2" ht="14.25" customHeight="1" x14ac:dyDescent="0.2">
      <c r="B292" s="1"/>
    </row>
    <row r="293" spans="2:2" ht="14.25" customHeight="1" x14ac:dyDescent="0.2">
      <c r="B293" s="1"/>
    </row>
    <row r="294" spans="2:2" ht="14.25" customHeight="1" x14ac:dyDescent="0.2">
      <c r="B294" s="1"/>
    </row>
    <row r="295" spans="2:2" ht="14.25" customHeight="1" x14ac:dyDescent="0.2">
      <c r="B295" s="1"/>
    </row>
    <row r="296" spans="2:2" ht="14.25" customHeight="1" x14ac:dyDescent="0.2">
      <c r="B296" s="1"/>
    </row>
    <row r="297" spans="2:2" ht="14.25" customHeight="1" x14ac:dyDescent="0.2">
      <c r="B297" s="1"/>
    </row>
    <row r="298" spans="2:2" ht="14.25" customHeight="1" x14ac:dyDescent="0.2">
      <c r="B298" s="1"/>
    </row>
    <row r="299" spans="2:2" ht="14.25" customHeight="1" x14ac:dyDescent="0.2">
      <c r="B299" s="1"/>
    </row>
    <row r="300" spans="2:2" ht="14.25" customHeight="1" x14ac:dyDescent="0.2">
      <c r="B300" s="1"/>
    </row>
    <row r="301" spans="2:2" ht="14.25" customHeight="1" x14ac:dyDescent="0.2">
      <c r="B301" s="1"/>
    </row>
    <row r="302" spans="2:2" ht="14.25" customHeight="1" x14ac:dyDescent="0.2">
      <c r="B302" s="1"/>
    </row>
    <row r="303" spans="2:2" ht="14.25" customHeight="1" x14ac:dyDescent="0.2">
      <c r="B303" s="1"/>
    </row>
    <row r="304" spans="2:2" ht="14.25" customHeight="1" x14ac:dyDescent="0.2">
      <c r="B304" s="1"/>
    </row>
    <row r="305" spans="2:2" ht="14.25" customHeight="1" x14ac:dyDescent="0.2">
      <c r="B305" s="1"/>
    </row>
    <row r="306" spans="2:2" ht="14.25" customHeight="1" x14ac:dyDescent="0.2">
      <c r="B306" s="1"/>
    </row>
    <row r="307" spans="2:2" ht="14.25" customHeight="1" x14ac:dyDescent="0.2">
      <c r="B307" s="1"/>
    </row>
    <row r="308" spans="2:2" ht="14.25" customHeight="1" x14ac:dyDescent="0.2">
      <c r="B308" s="1"/>
    </row>
    <row r="309" spans="2:2" ht="14.25" customHeight="1" x14ac:dyDescent="0.2">
      <c r="B309" s="1"/>
    </row>
    <row r="310" spans="2:2" ht="14.25" customHeight="1" x14ac:dyDescent="0.2">
      <c r="B310" s="1"/>
    </row>
    <row r="311" spans="2:2" ht="14.25" customHeight="1" x14ac:dyDescent="0.2">
      <c r="B311" s="1"/>
    </row>
    <row r="312" spans="2:2" ht="14.25" customHeight="1" x14ac:dyDescent="0.2">
      <c r="B312" s="1"/>
    </row>
    <row r="313" spans="2:2" ht="14.25" customHeight="1" x14ac:dyDescent="0.2">
      <c r="B313" s="1"/>
    </row>
    <row r="314" spans="2:2" ht="14.25" customHeight="1" x14ac:dyDescent="0.2">
      <c r="B314" s="1"/>
    </row>
    <row r="315" spans="2:2" ht="14.25" customHeight="1" x14ac:dyDescent="0.2">
      <c r="B315" s="1"/>
    </row>
    <row r="316" spans="2:2" ht="14.25" customHeight="1" x14ac:dyDescent="0.2">
      <c r="B316" s="1"/>
    </row>
    <row r="317" spans="2:2" ht="14.25" customHeight="1" x14ac:dyDescent="0.2">
      <c r="B317" s="1"/>
    </row>
    <row r="318" spans="2:2" ht="14.25" customHeight="1" x14ac:dyDescent="0.2">
      <c r="B318" s="1"/>
    </row>
    <row r="319" spans="2:2" ht="14.25" customHeight="1" x14ac:dyDescent="0.2">
      <c r="B319" s="1"/>
    </row>
    <row r="320" spans="2:2" ht="14.25" customHeight="1" x14ac:dyDescent="0.2">
      <c r="B320" s="1"/>
    </row>
    <row r="321" spans="2:2" ht="14.25" customHeight="1" x14ac:dyDescent="0.2">
      <c r="B321" s="1"/>
    </row>
    <row r="322" spans="2:2" ht="14.25" customHeight="1" x14ac:dyDescent="0.2">
      <c r="B322" s="1"/>
    </row>
    <row r="323" spans="2:2" ht="14.25" customHeight="1" x14ac:dyDescent="0.2">
      <c r="B323" s="1"/>
    </row>
    <row r="324" spans="2:2" ht="14.25" customHeight="1" x14ac:dyDescent="0.2">
      <c r="B324" s="1"/>
    </row>
    <row r="325" spans="2:2" ht="14.25" customHeight="1" x14ac:dyDescent="0.2">
      <c r="B325" s="1"/>
    </row>
    <row r="326" spans="2:2" ht="14.25" customHeight="1" x14ac:dyDescent="0.2">
      <c r="B326" s="1"/>
    </row>
    <row r="327" spans="2:2" ht="14.25" customHeight="1" x14ac:dyDescent="0.2">
      <c r="B327" s="1"/>
    </row>
    <row r="328" spans="2:2" ht="14.25" customHeight="1" x14ac:dyDescent="0.2">
      <c r="B328" s="1"/>
    </row>
    <row r="329" spans="2:2" ht="14.25" customHeight="1" x14ac:dyDescent="0.2">
      <c r="B329" s="1"/>
    </row>
    <row r="330" spans="2:2" ht="14.25" customHeight="1" x14ac:dyDescent="0.2">
      <c r="B330" s="1"/>
    </row>
    <row r="331" spans="2:2" ht="14.25" customHeight="1" x14ac:dyDescent="0.2">
      <c r="B331" s="1"/>
    </row>
    <row r="332" spans="2:2" ht="14.25" customHeight="1" x14ac:dyDescent="0.2">
      <c r="B332" s="1"/>
    </row>
    <row r="333" spans="2:2" ht="14.25" customHeight="1" x14ac:dyDescent="0.2">
      <c r="B333" s="1"/>
    </row>
    <row r="334" spans="2:2" ht="14.25" customHeight="1" x14ac:dyDescent="0.2">
      <c r="B334" s="1"/>
    </row>
    <row r="335" spans="2:2" ht="14.25" customHeight="1" x14ac:dyDescent="0.2">
      <c r="B335" s="1"/>
    </row>
    <row r="336" spans="2:2" ht="14.25" customHeight="1" x14ac:dyDescent="0.2">
      <c r="B336" s="1"/>
    </row>
    <row r="337" spans="2:2" ht="14.25" customHeight="1" x14ac:dyDescent="0.2">
      <c r="B337" s="1"/>
    </row>
    <row r="338" spans="2:2" ht="14.25" customHeight="1" x14ac:dyDescent="0.2">
      <c r="B338" s="1"/>
    </row>
    <row r="339" spans="2:2" ht="14.25" customHeight="1" x14ac:dyDescent="0.2">
      <c r="B339" s="1"/>
    </row>
    <row r="340" spans="2:2" ht="14.25" customHeight="1" x14ac:dyDescent="0.2">
      <c r="B340" s="1"/>
    </row>
    <row r="341" spans="2:2" ht="14.25" customHeight="1" x14ac:dyDescent="0.2">
      <c r="B341" s="1"/>
    </row>
    <row r="342" spans="2:2" ht="14.25" customHeight="1" x14ac:dyDescent="0.2">
      <c r="B342" s="1"/>
    </row>
    <row r="343" spans="2:2" ht="14.25" customHeight="1" x14ac:dyDescent="0.2">
      <c r="B343" s="1"/>
    </row>
    <row r="344" spans="2:2" ht="14.25" customHeight="1" x14ac:dyDescent="0.2">
      <c r="B344" s="1"/>
    </row>
    <row r="345" spans="2:2" ht="14.25" customHeight="1" x14ac:dyDescent="0.2">
      <c r="B345" s="1"/>
    </row>
    <row r="346" spans="2:2" ht="14.25" customHeight="1" x14ac:dyDescent="0.2">
      <c r="B346" s="1"/>
    </row>
    <row r="347" spans="2:2" ht="14.25" customHeight="1" x14ac:dyDescent="0.2">
      <c r="B347" s="1"/>
    </row>
    <row r="348" spans="2:2" ht="14.25" customHeight="1" x14ac:dyDescent="0.2">
      <c r="B348" s="1"/>
    </row>
    <row r="349" spans="2:2" ht="14.25" customHeight="1" x14ac:dyDescent="0.2">
      <c r="B349" s="1"/>
    </row>
    <row r="350" spans="2:2" ht="14.25" customHeight="1" x14ac:dyDescent="0.2">
      <c r="B350" s="1"/>
    </row>
    <row r="351" spans="2:2" ht="14.25" customHeight="1" x14ac:dyDescent="0.2">
      <c r="B351" s="1"/>
    </row>
    <row r="352" spans="2:2" ht="14.25" customHeight="1" x14ac:dyDescent="0.2">
      <c r="B352" s="1"/>
    </row>
    <row r="353" spans="2:2" ht="14.25" customHeight="1" x14ac:dyDescent="0.2">
      <c r="B353" s="1"/>
    </row>
    <row r="354" spans="2:2" ht="14.25" customHeight="1" x14ac:dyDescent="0.2">
      <c r="B354" s="1"/>
    </row>
    <row r="355" spans="2:2" ht="14.25" customHeight="1" x14ac:dyDescent="0.2">
      <c r="B355" s="1"/>
    </row>
    <row r="356" spans="2:2" ht="14.25" customHeight="1" x14ac:dyDescent="0.2">
      <c r="B356" s="1"/>
    </row>
    <row r="357" spans="2:2" ht="14.25" customHeight="1" x14ac:dyDescent="0.2">
      <c r="B357" s="1"/>
    </row>
    <row r="358" spans="2:2" ht="14.25" customHeight="1" x14ac:dyDescent="0.2">
      <c r="B358" s="1"/>
    </row>
    <row r="359" spans="2:2" ht="14.25" customHeight="1" x14ac:dyDescent="0.2">
      <c r="B359" s="1"/>
    </row>
    <row r="360" spans="2:2" ht="14.25" customHeight="1" x14ac:dyDescent="0.2">
      <c r="B360" s="1"/>
    </row>
    <row r="361" spans="2:2" ht="14.25" customHeight="1" x14ac:dyDescent="0.2">
      <c r="B361" s="1"/>
    </row>
    <row r="362" spans="2:2" ht="14.25" customHeight="1" x14ac:dyDescent="0.2">
      <c r="B362" s="1"/>
    </row>
    <row r="363" spans="2:2" ht="14.25" customHeight="1" x14ac:dyDescent="0.2">
      <c r="B363" s="1"/>
    </row>
    <row r="364" spans="2:2" ht="14.25" customHeight="1" x14ac:dyDescent="0.2">
      <c r="B364" s="1"/>
    </row>
    <row r="365" spans="2:2" ht="14.25" customHeight="1" x14ac:dyDescent="0.2">
      <c r="B365" s="1"/>
    </row>
    <row r="366" spans="2:2" ht="14.25" customHeight="1" x14ac:dyDescent="0.2">
      <c r="B366" s="1"/>
    </row>
    <row r="367" spans="2:2" ht="14.25" customHeight="1" x14ac:dyDescent="0.2">
      <c r="B367" s="1"/>
    </row>
    <row r="368" spans="2:2" ht="14.25" customHeight="1" x14ac:dyDescent="0.2">
      <c r="B368" s="1"/>
    </row>
    <row r="369" spans="2:2" ht="14.25" customHeight="1" x14ac:dyDescent="0.2">
      <c r="B369" s="1"/>
    </row>
    <row r="370" spans="2:2" ht="14.25" customHeight="1" x14ac:dyDescent="0.2">
      <c r="B370" s="1"/>
    </row>
    <row r="371" spans="2:2" ht="14.25" customHeight="1" x14ac:dyDescent="0.2">
      <c r="B371" s="1"/>
    </row>
    <row r="372" spans="2:2" ht="14.25" customHeight="1" x14ac:dyDescent="0.2">
      <c r="B372" s="1"/>
    </row>
    <row r="373" spans="2:2" ht="14.25" customHeight="1" x14ac:dyDescent="0.2">
      <c r="B373" s="1"/>
    </row>
    <row r="374" spans="2:2" ht="14.25" customHeight="1" x14ac:dyDescent="0.2">
      <c r="B374" s="1"/>
    </row>
    <row r="375" spans="2:2" ht="14.25" customHeight="1" x14ac:dyDescent="0.2">
      <c r="B375" s="1"/>
    </row>
    <row r="376" spans="2:2" ht="14.25" customHeight="1" x14ac:dyDescent="0.2">
      <c r="B376" s="1"/>
    </row>
    <row r="377" spans="2:2" ht="14.25" customHeight="1" x14ac:dyDescent="0.2">
      <c r="B377" s="1"/>
    </row>
    <row r="378" spans="2:2" ht="14.25" customHeight="1" x14ac:dyDescent="0.2">
      <c r="B378" s="1"/>
    </row>
    <row r="379" spans="2:2" ht="14.25" customHeight="1" x14ac:dyDescent="0.2">
      <c r="B379" s="1"/>
    </row>
    <row r="380" spans="2:2" ht="14.25" customHeight="1" x14ac:dyDescent="0.2">
      <c r="B380" s="1"/>
    </row>
    <row r="381" spans="2:2" ht="14.25" customHeight="1" x14ac:dyDescent="0.2">
      <c r="B381" s="1"/>
    </row>
    <row r="382" spans="2:2" ht="14.25" customHeight="1" x14ac:dyDescent="0.2">
      <c r="B382" s="1"/>
    </row>
    <row r="383" spans="2:2" ht="14.25" customHeight="1" x14ac:dyDescent="0.2">
      <c r="B383" s="1"/>
    </row>
    <row r="384" spans="2:2" ht="14.25" customHeight="1" x14ac:dyDescent="0.2">
      <c r="B384" s="1"/>
    </row>
    <row r="385" spans="2:2" ht="14.25" customHeight="1" x14ac:dyDescent="0.2">
      <c r="B385" s="1"/>
    </row>
    <row r="386" spans="2:2" ht="14.25" customHeight="1" x14ac:dyDescent="0.2">
      <c r="B386" s="1"/>
    </row>
    <row r="387" spans="2:2" ht="14.25" customHeight="1" x14ac:dyDescent="0.2">
      <c r="B387" s="1"/>
    </row>
    <row r="388" spans="2:2" ht="14.25" customHeight="1" x14ac:dyDescent="0.2">
      <c r="B388" s="1"/>
    </row>
    <row r="389" spans="2:2" ht="14.25" customHeight="1" x14ac:dyDescent="0.2">
      <c r="B389" s="1"/>
    </row>
    <row r="390" spans="2:2" ht="14.25" customHeight="1" x14ac:dyDescent="0.2">
      <c r="B390" s="1"/>
    </row>
    <row r="391" spans="2:2" ht="14.25" customHeight="1" x14ac:dyDescent="0.2">
      <c r="B391" s="1"/>
    </row>
    <row r="392" spans="2:2" ht="14.25" customHeight="1" x14ac:dyDescent="0.2">
      <c r="B392" s="1"/>
    </row>
    <row r="393" spans="2:2" ht="14.25" customHeight="1" x14ac:dyDescent="0.2">
      <c r="B393" s="1"/>
    </row>
    <row r="394" spans="2:2" ht="14.25" customHeight="1" x14ac:dyDescent="0.2">
      <c r="B394" s="1"/>
    </row>
    <row r="395" spans="2:2" ht="14.25" customHeight="1" x14ac:dyDescent="0.2">
      <c r="B395" s="1"/>
    </row>
    <row r="396" spans="2:2" ht="14.25" customHeight="1" x14ac:dyDescent="0.2">
      <c r="B396" s="1"/>
    </row>
    <row r="397" spans="2:2" ht="14.25" customHeight="1" x14ac:dyDescent="0.2">
      <c r="B397" s="1"/>
    </row>
    <row r="398" spans="2:2" ht="14.25" customHeight="1" x14ac:dyDescent="0.2">
      <c r="B398" s="1"/>
    </row>
    <row r="399" spans="2:2" ht="14.25" customHeight="1" x14ac:dyDescent="0.2">
      <c r="B399" s="1"/>
    </row>
    <row r="400" spans="2:2" ht="14.25" customHeight="1" x14ac:dyDescent="0.2">
      <c r="B400" s="1"/>
    </row>
    <row r="401" spans="2:2" ht="14.25" customHeight="1" x14ac:dyDescent="0.2">
      <c r="B401" s="1"/>
    </row>
    <row r="402" spans="2:2" ht="14.25" customHeight="1" x14ac:dyDescent="0.2">
      <c r="B402" s="1"/>
    </row>
    <row r="403" spans="2:2" ht="14.25" customHeight="1" x14ac:dyDescent="0.2">
      <c r="B403" s="1"/>
    </row>
    <row r="404" spans="2:2" ht="14.25" customHeight="1" x14ac:dyDescent="0.2">
      <c r="B404" s="1"/>
    </row>
    <row r="405" spans="2:2" ht="14.25" customHeight="1" x14ac:dyDescent="0.2">
      <c r="B405" s="1"/>
    </row>
    <row r="406" spans="2:2" ht="14.25" customHeight="1" x14ac:dyDescent="0.2">
      <c r="B406" s="1"/>
    </row>
    <row r="407" spans="2:2" ht="14.25" customHeight="1" x14ac:dyDescent="0.2">
      <c r="B407" s="1"/>
    </row>
    <row r="408" spans="2:2" ht="14.25" customHeight="1" x14ac:dyDescent="0.2">
      <c r="B408" s="1"/>
    </row>
    <row r="409" spans="2:2" ht="14.25" customHeight="1" x14ac:dyDescent="0.2">
      <c r="B409" s="1"/>
    </row>
    <row r="410" spans="2:2" ht="14.25" customHeight="1" x14ac:dyDescent="0.2">
      <c r="B410" s="1"/>
    </row>
    <row r="411" spans="2:2" ht="14.25" customHeight="1" x14ac:dyDescent="0.2">
      <c r="B411" s="1"/>
    </row>
    <row r="412" spans="2:2" ht="14.25" customHeight="1" x14ac:dyDescent="0.2">
      <c r="B412" s="1"/>
    </row>
    <row r="413" spans="2:2" ht="14.25" customHeight="1" x14ac:dyDescent="0.2">
      <c r="B413" s="1"/>
    </row>
    <row r="414" spans="2:2" ht="14.25" customHeight="1" x14ac:dyDescent="0.2">
      <c r="B414" s="1"/>
    </row>
    <row r="415" spans="2:2" ht="14.25" customHeight="1" x14ac:dyDescent="0.2">
      <c r="B415" s="1"/>
    </row>
    <row r="416" spans="2:2" ht="14.25" customHeight="1" x14ac:dyDescent="0.2">
      <c r="B416" s="1"/>
    </row>
    <row r="417" spans="2:2" ht="14.25" customHeight="1" x14ac:dyDescent="0.2">
      <c r="B417" s="1"/>
    </row>
    <row r="418" spans="2:2" ht="14.25" customHeight="1" x14ac:dyDescent="0.2">
      <c r="B418" s="1"/>
    </row>
    <row r="419" spans="2:2" ht="14.25" customHeight="1" x14ac:dyDescent="0.2">
      <c r="B419" s="1"/>
    </row>
    <row r="420" spans="2:2" ht="14.25" customHeight="1" x14ac:dyDescent="0.2">
      <c r="B420" s="1"/>
    </row>
    <row r="421" spans="2:2" ht="14.25" customHeight="1" x14ac:dyDescent="0.2">
      <c r="B421" s="1"/>
    </row>
    <row r="422" spans="2:2" ht="14.25" customHeight="1" x14ac:dyDescent="0.2">
      <c r="B422" s="1"/>
    </row>
    <row r="423" spans="2:2" ht="14.25" customHeight="1" x14ac:dyDescent="0.2">
      <c r="B423" s="1"/>
    </row>
    <row r="424" spans="2:2" ht="14.25" customHeight="1" x14ac:dyDescent="0.2">
      <c r="B424" s="1"/>
    </row>
    <row r="425" spans="2:2" ht="14.25" customHeight="1" x14ac:dyDescent="0.2">
      <c r="B425" s="1"/>
    </row>
    <row r="426" spans="2:2" ht="14.25" customHeight="1" x14ac:dyDescent="0.2">
      <c r="B426" s="1"/>
    </row>
    <row r="427" spans="2:2" ht="14.25" customHeight="1" x14ac:dyDescent="0.2">
      <c r="B427" s="1"/>
    </row>
    <row r="428" spans="2:2" ht="14.25" customHeight="1" x14ac:dyDescent="0.2">
      <c r="B428" s="1"/>
    </row>
    <row r="429" spans="2:2" ht="14.25" customHeight="1" x14ac:dyDescent="0.2">
      <c r="B429" s="1"/>
    </row>
    <row r="430" spans="2:2" ht="14.25" customHeight="1" x14ac:dyDescent="0.2">
      <c r="B430" s="1"/>
    </row>
    <row r="431" spans="2:2" ht="14.25" customHeight="1" x14ac:dyDescent="0.2">
      <c r="B431" s="1"/>
    </row>
    <row r="432" spans="2:2" ht="14.25" customHeight="1" x14ac:dyDescent="0.2">
      <c r="B432" s="1"/>
    </row>
    <row r="433" spans="2:2" ht="14.25" customHeight="1" x14ac:dyDescent="0.2">
      <c r="B433" s="1"/>
    </row>
    <row r="434" spans="2:2" ht="14.25" customHeight="1" x14ac:dyDescent="0.2">
      <c r="B434" s="1"/>
    </row>
    <row r="435" spans="2:2" ht="14.25" customHeight="1" x14ac:dyDescent="0.2">
      <c r="B435" s="1"/>
    </row>
    <row r="436" spans="2:2" ht="14.25" customHeight="1" x14ac:dyDescent="0.2">
      <c r="B436" s="1"/>
    </row>
    <row r="437" spans="2:2" ht="14.25" customHeight="1" x14ac:dyDescent="0.2">
      <c r="B437" s="1"/>
    </row>
    <row r="438" spans="2:2" ht="14.25" customHeight="1" x14ac:dyDescent="0.2">
      <c r="B438" s="1"/>
    </row>
    <row r="439" spans="2:2" ht="14.25" customHeight="1" x14ac:dyDescent="0.2">
      <c r="B439" s="1"/>
    </row>
    <row r="440" spans="2:2" ht="14.25" customHeight="1" x14ac:dyDescent="0.2">
      <c r="B440" s="1"/>
    </row>
    <row r="441" spans="2:2" ht="14.25" customHeight="1" x14ac:dyDescent="0.2">
      <c r="B441" s="1"/>
    </row>
    <row r="442" spans="2:2" ht="14.25" customHeight="1" x14ac:dyDescent="0.2">
      <c r="B442" s="1"/>
    </row>
    <row r="443" spans="2:2" ht="14.25" customHeight="1" x14ac:dyDescent="0.2">
      <c r="B443" s="1"/>
    </row>
    <row r="444" spans="2:2" ht="14.25" customHeight="1" x14ac:dyDescent="0.2">
      <c r="B444" s="1"/>
    </row>
    <row r="445" spans="2:2" ht="14.25" customHeight="1" x14ac:dyDescent="0.2">
      <c r="B445" s="1"/>
    </row>
    <row r="446" spans="2:2" ht="14.25" customHeight="1" x14ac:dyDescent="0.2">
      <c r="B446" s="1"/>
    </row>
    <row r="447" spans="2:2" ht="14.25" customHeight="1" x14ac:dyDescent="0.2">
      <c r="B447" s="1"/>
    </row>
    <row r="448" spans="2:2" ht="14.25" customHeight="1" x14ac:dyDescent="0.2">
      <c r="B448" s="1"/>
    </row>
    <row r="449" spans="2:2" ht="14.25" customHeight="1" x14ac:dyDescent="0.2">
      <c r="B449" s="1"/>
    </row>
    <row r="450" spans="2:2" ht="14.25" customHeight="1" x14ac:dyDescent="0.2">
      <c r="B450" s="1"/>
    </row>
    <row r="451" spans="2:2" ht="14.25" customHeight="1" x14ac:dyDescent="0.2">
      <c r="B451" s="1"/>
    </row>
    <row r="452" spans="2:2" ht="14.25" customHeight="1" x14ac:dyDescent="0.2">
      <c r="B452" s="1"/>
    </row>
    <row r="453" spans="2:2" ht="14.25" customHeight="1" x14ac:dyDescent="0.2">
      <c r="B453" s="1"/>
    </row>
    <row r="454" spans="2:2" ht="14.25" customHeight="1" x14ac:dyDescent="0.2">
      <c r="B454" s="1"/>
    </row>
    <row r="455" spans="2:2" ht="14.25" customHeight="1" x14ac:dyDescent="0.2">
      <c r="B455" s="1"/>
    </row>
    <row r="456" spans="2:2" ht="14.25" customHeight="1" x14ac:dyDescent="0.2">
      <c r="B456" s="1"/>
    </row>
    <row r="457" spans="2:2" ht="14.25" customHeight="1" x14ac:dyDescent="0.2">
      <c r="B457" s="1"/>
    </row>
    <row r="458" spans="2:2" ht="14.25" customHeight="1" x14ac:dyDescent="0.2">
      <c r="B458" s="1"/>
    </row>
    <row r="459" spans="2:2" ht="14.25" customHeight="1" x14ac:dyDescent="0.2">
      <c r="B459" s="1"/>
    </row>
    <row r="460" spans="2:2" ht="14.25" customHeight="1" x14ac:dyDescent="0.2">
      <c r="B460" s="1"/>
    </row>
    <row r="461" spans="2:2" ht="14.25" customHeight="1" x14ac:dyDescent="0.2">
      <c r="B461" s="1"/>
    </row>
    <row r="462" spans="2:2" ht="14.25" customHeight="1" x14ac:dyDescent="0.2">
      <c r="B462" s="1"/>
    </row>
    <row r="463" spans="2:2" ht="14.25" customHeight="1" x14ac:dyDescent="0.2">
      <c r="B463" s="1"/>
    </row>
    <row r="464" spans="2:2" ht="14.25" customHeight="1" x14ac:dyDescent="0.2">
      <c r="B464" s="1"/>
    </row>
    <row r="465" spans="2:2" ht="14.25" customHeight="1" x14ac:dyDescent="0.2">
      <c r="B465" s="1"/>
    </row>
    <row r="466" spans="2:2" ht="14.25" customHeight="1" x14ac:dyDescent="0.2">
      <c r="B466" s="1"/>
    </row>
    <row r="467" spans="2:2" ht="14.25" customHeight="1" x14ac:dyDescent="0.2">
      <c r="B467" s="1"/>
    </row>
    <row r="468" spans="2:2" ht="14.25" customHeight="1" x14ac:dyDescent="0.2">
      <c r="B468" s="1"/>
    </row>
    <row r="469" spans="2:2" ht="14.25" customHeight="1" x14ac:dyDescent="0.2">
      <c r="B469" s="1"/>
    </row>
    <row r="470" spans="2:2" ht="14.25" customHeight="1" x14ac:dyDescent="0.2">
      <c r="B470" s="1"/>
    </row>
    <row r="471" spans="2:2" ht="14.25" customHeight="1" x14ac:dyDescent="0.2">
      <c r="B471" s="1"/>
    </row>
    <row r="472" spans="2:2" ht="14.25" customHeight="1" x14ac:dyDescent="0.2">
      <c r="B472" s="1"/>
    </row>
    <row r="473" spans="2:2" ht="14.25" customHeight="1" x14ac:dyDescent="0.2">
      <c r="B473" s="1"/>
    </row>
    <row r="474" spans="2:2" ht="14.25" customHeight="1" x14ac:dyDescent="0.2">
      <c r="B474" s="1"/>
    </row>
    <row r="475" spans="2:2" ht="14.25" customHeight="1" x14ac:dyDescent="0.2">
      <c r="B475" s="1"/>
    </row>
    <row r="476" spans="2:2" ht="14.25" customHeight="1" x14ac:dyDescent="0.2">
      <c r="B476" s="1"/>
    </row>
    <row r="477" spans="2:2" ht="14.25" customHeight="1" x14ac:dyDescent="0.2">
      <c r="B477" s="1"/>
    </row>
    <row r="478" spans="2:2" ht="14.25" customHeight="1" x14ac:dyDescent="0.2">
      <c r="B478" s="1"/>
    </row>
    <row r="479" spans="2:2" ht="14.25" customHeight="1" x14ac:dyDescent="0.2">
      <c r="B479" s="1"/>
    </row>
    <row r="480" spans="2:2" ht="14.25" customHeight="1" x14ac:dyDescent="0.2">
      <c r="B480" s="1"/>
    </row>
    <row r="481" spans="2:2" ht="14.25" customHeight="1" x14ac:dyDescent="0.2">
      <c r="B481" s="1"/>
    </row>
    <row r="482" spans="2:2" ht="14.25" customHeight="1" x14ac:dyDescent="0.2">
      <c r="B482" s="1"/>
    </row>
    <row r="483" spans="2:2" ht="14.25" customHeight="1" x14ac:dyDescent="0.2">
      <c r="B483" s="1"/>
    </row>
    <row r="484" spans="2:2" ht="14.25" customHeight="1" x14ac:dyDescent="0.2">
      <c r="B484" s="1"/>
    </row>
    <row r="485" spans="2:2" ht="14.25" customHeight="1" x14ac:dyDescent="0.2">
      <c r="B485" s="1"/>
    </row>
    <row r="486" spans="2:2" ht="14.25" customHeight="1" x14ac:dyDescent="0.2">
      <c r="B486" s="1"/>
    </row>
    <row r="487" spans="2:2" ht="14.25" customHeight="1" x14ac:dyDescent="0.2">
      <c r="B487" s="1"/>
    </row>
    <row r="488" spans="2:2" ht="14.25" customHeight="1" x14ac:dyDescent="0.2">
      <c r="B488" s="1"/>
    </row>
    <row r="489" spans="2:2" ht="14.25" customHeight="1" x14ac:dyDescent="0.2">
      <c r="B489" s="1"/>
    </row>
    <row r="490" spans="2:2" ht="14.25" customHeight="1" x14ac:dyDescent="0.2">
      <c r="B490" s="1"/>
    </row>
    <row r="491" spans="2:2" ht="14.25" customHeight="1" x14ac:dyDescent="0.2">
      <c r="B491" s="1"/>
    </row>
    <row r="492" spans="2:2" ht="14.25" customHeight="1" x14ac:dyDescent="0.2">
      <c r="B492" s="1"/>
    </row>
    <row r="493" spans="2:2" ht="14.25" customHeight="1" x14ac:dyDescent="0.2">
      <c r="B493" s="1"/>
    </row>
    <row r="494" spans="2:2" ht="14.25" customHeight="1" x14ac:dyDescent="0.2">
      <c r="B494" s="1"/>
    </row>
    <row r="495" spans="2:2" ht="14.25" customHeight="1" x14ac:dyDescent="0.2">
      <c r="B495" s="1"/>
    </row>
    <row r="496" spans="2:2" ht="14.25" customHeight="1" x14ac:dyDescent="0.2">
      <c r="B496" s="1"/>
    </row>
    <row r="497" spans="2:2" ht="14.25" customHeight="1" x14ac:dyDescent="0.2">
      <c r="B497" s="1"/>
    </row>
    <row r="498" spans="2:2" ht="14.25" customHeight="1" x14ac:dyDescent="0.2">
      <c r="B498" s="1"/>
    </row>
    <row r="499" spans="2:2" ht="14.25" customHeight="1" x14ac:dyDescent="0.2">
      <c r="B499" s="1"/>
    </row>
    <row r="500" spans="2:2" ht="14.25" customHeight="1" x14ac:dyDescent="0.2">
      <c r="B500" s="1"/>
    </row>
    <row r="501" spans="2:2" ht="14.25" customHeight="1" x14ac:dyDescent="0.2">
      <c r="B501" s="1"/>
    </row>
    <row r="502" spans="2:2" ht="14.25" customHeight="1" x14ac:dyDescent="0.2">
      <c r="B502" s="1"/>
    </row>
    <row r="503" spans="2:2" ht="14.25" customHeight="1" x14ac:dyDescent="0.2">
      <c r="B503" s="1"/>
    </row>
    <row r="504" spans="2:2" ht="14.25" customHeight="1" x14ac:dyDescent="0.2">
      <c r="B504" s="1"/>
    </row>
    <row r="505" spans="2:2" ht="14.25" customHeight="1" x14ac:dyDescent="0.2">
      <c r="B505" s="1"/>
    </row>
    <row r="506" spans="2:2" ht="14.25" customHeight="1" x14ac:dyDescent="0.2">
      <c r="B506" s="1"/>
    </row>
    <row r="507" spans="2:2" ht="14.25" customHeight="1" x14ac:dyDescent="0.2">
      <c r="B507" s="1"/>
    </row>
    <row r="508" spans="2:2" ht="14.25" customHeight="1" x14ac:dyDescent="0.2">
      <c r="B508" s="1"/>
    </row>
    <row r="509" spans="2:2" ht="14.25" customHeight="1" x14ac:dyDescent="0.2">
      <c r="B509" s="1"/>
    </row>
    <row r="510" spans="2:2" ht="14.25" customHeight="1" x14ac:dyDescent="0.2">
      <c r="B510" s="1"/>
    </row>
    <row r="511" spans="2:2" ht="14.25" customHeight="1" x14ac:dyDescent="0.2">
      <c r="B511" s="1"/>
    </row>
    <row r="512" spans="2:2" ht="14.25" customHeight="1" x14ac:dyDescent="0.2">
      <c r="B512" s="1"/>
    </row>
    <row r="513" spans="2:2" ht="14.25" customHeight="1" x14ac:dyDescent="0.2">
      <c r="B513" s="1"/>
    </row>
    <row r="514" spans="2:2" ht="14.25" customHeight="1" x14ac:dyDescent="0.2">
      <c r="B514" s="1"/>
    </row>
    <row r="515" spans="2:2" ht="14.25" customHeight="1" x14ac:dyDescent="0.2">
      <c r="B515" s="1"/>
    </row>
    <row r="516" spans="2:2" ht="14.25" customHeight="1" x14ac:dyDescent="0.2">
      <c r="B516" s="1"/>
    </row>
    <row r="517" spans="2:2" ht="14.25" customHeight="1" x14ac:dyDescent="0.2">
      <c r="B517" s="1"/>
    </row>
    <row r="518" spans="2:2" ht="14.25" customHeight="1" x14ac:dyDescent="0.2">
      <c r="B518" s="1"/>
    </row>
    <row r="519" spans="2:2" ht="14.25" customHeight="1" x14ac:dyDescent="0.2">
      <c r="B519" s="1"/>
    </row>
    <row r="520" spans="2:2" ht="14.25" customHeight="1" x14ac:dyDescent="0.2">
      <c r="B520" s="1"/>
    </row>
    <row r="521" spans="2:2" ht="14.25" customHeight="1" x14ac:dyDescent="0.2">
      <c r="B521" s="1"/>
    </row>
    <row r="522" spans="2:2" ht="14.25" customHeight="1" x14ac:dyDescent="0.2">
      <c r="B522" s="1"/>
    </row>
    <row r="523" spans="2:2" ht="14.25" customHeight="1" x14ac:dyDescent="0.2">
      <c r="B523" s="1"/>
    </row>
    <row r="524" spans="2:2" ht="14.25" customHeight="1" x14ac:dyDescent="0.2">
      <c r="B524" s="1"/>
    </row>
    <row r="525" spans="2:2" ht="14.25" customHeight="1" x14ac:dyDescent="0.2">
      <c r="B525" s="1"/>
    </row>
    <row r="526" spans="2:2" ht="14.25" customHeight="1" x14ac:dyDescent="0.2">
      <c r="B526" s="1"/>
    </row>
    <row r="527" spans="2:2" ht="14.25" customHeight="1" x14ac:dyDescent="0.2">
      <c r="B527" s="1"/>
    </row>
    <row r="528" spans="2:2" ht="14.25" customHeight="1" x14ac:dyDescent="0.2">
      <c r="B528" s="1"/>
    </row>
    <row r="529" spans="2:2" ht="14.25" customHeight="1" x14ac:dyDescent="0.2">
      <c r="B529" s="1"/>
    </row>
    <row r="530" spans="2:2" ht="14.25" customHeight="1" x14ac:dyDescent="0.2">
      <c r="B530" s="1"/>
    </row>
    <row r="531" spans="2:2" ht="14.25" customHeight="1" x14ac:dyDescent="0.2">
      <c r="B531" s="1"/>
    </row>
    <row r="532" spans="2:2" ht="14.25" customHeight="1" x14ac:dyDescent="0.2">
      <c r="B532" s="1"/>
    </row>
    <row r="533" spans="2:2" ht="14.25" customHeight="1" x14ac:dyDescent="0.2">
      <c r="B533" s="1"/>
    </row>
    <row r="534" spans="2:2" ht="14.25" customHeight="1" x14ac:dyDescent="0.2">
      <c r="B534" s="1"/>
    </row>
    <row r="535" spans="2:2" ht="14.25" customHeight="1" x14ac:dyDescent="0.2">
      <c r="B535" s="1"/>
    </row>
    <row r="536" spans="2:2" ht="14.25" customHeight="1" x14ac:dyDescent="0.2">
      <c r="B536" s="1"/>
    </row>
    <row r="537" spans="2:2" ht="14.25" customHeight="1" x14ac:dyDescent="0.2">
      <c r="B537" s="1"/>
    </row>
    <row r="538" spans="2:2" ht="14.25" customHeight="1" x14ac:dyDescent="0.2">
      <c r="B538" s="1"/>
    </row>
    <row r="539" spans="2:2" ht="14.25" customHeight="1" x14ac:dyDescent="0.2">
      <c r="B539" s="1"/>
    </row>
    <row r="540" spans="2:2" ht="14.25" customHeight="1" x14ac:dyDescent="0.2">
      <c r="B540" s="1"/>
    </row>
    <row r="541" spans="2:2" ht="14.25" customHeight="1" x14ac:dyDescent="0.2">
      <c r="B541" s="1"/>
    </row>
    <row r="542" spans="2:2" ht="14.25" customHeight="1" x14ac:dyDescent="0.2">
      <c r="B542" s="1"/>
    </row>
    <row r="543" spans="2:2" ht="14.25" customHeight="1" x14ac:dyDescent="0.2">
      <c r="B543" s="1"/>
    </row>
    <row r="544" spans="2:2" ht="14.25" customHeight="1" x14ac:dyDescent="0.2">
      <c r="B544" s="1"/>
    </row>
    <row r="545" spans="2:2" ht="14.25" customHeight="1" x14ac:dyDescent="0.2">
      <c r="B545" s="1"/>
    </row>
    <row r="546" spans="2:2" ht="14.25" customHeight="1" x14ac:dyDescent="0.2">
      <c r="B546" s="1"/>
    </row>
    <row r="547" spans="2:2" ht="14.25" customHeight="1" x14ac:dyDescent="0.2">
      <c r="B547" s="1"/>
    </row>
    <row r="548" spans="2:2" ht="14.25" customHeight="1" x14ac:dyDescent="0.2">
      <c r="B548" s="1"/>
    </row>
    <row r="549" spans="2:2" ht="14.25" customHeight="1" x14ac:dyDescent="0.2">
      <c r="B549" s="1"/>
    </row>
    <row r="550" spans="2:2" ht="14.25" customHeight="1" x14ac:dyDescent="0.2">
      <c r="B550" s="1"/>
    </row>
    <row r="551" spans="2:2" ht="14.25" customHeight="1" x14ac:dyDescent="0.2">
      <c r="B551" s="1"/>
    </row>
    <row r="552" spans="2:2" ht="14.25" customHeight="1" x14ac:dyDescent="0.2">
      <c r="B552" s="1"/>
    </row>
    <row r="553" spans="2:2" ht="14.25" customHeight="1" x14ac:dyDescent="0.2">
      <c r="B553" s="1"/>
    </row>
    <row r="554" spans="2:2" ht="14.25" customHeight="1" x14ac:dyDescent="0.2">
      <c r="B554" s="1"/>
    </row>
    <row r="555" spans="2:2" ht="14.25" customHeight="1" x14ac:dyDescent="0.2">
      <c r="B555" s="1"/>
    </row>
    <row r="556" spans="2:2" ht="14.25" customHeight="1" x14ac:dyDescent="0.2">
      <c r="B556" s="1"/>
    </row>
    <row r="557" spans="2:2" ht="14.25" customHeight="1" x14ac:dyDescent="0.2">
      <c r="B557" s="1"/>
    </row>
    <row r="558" spans="2:2" ht="14.25" customHeight="1" x14ac:dyDescent="0.2">
      <c r="B558" s="1"/>
    </row>
    <row r="559" spans="2:2" ht="14.25" customHeight="1" x14ac:dyDescent="0.2">
      <c r="B559" s="1"/>
    </row>
    <row r="560" spans="2:2" ht="14.25" customHeight="1" x14ac:dyDescent="0.2">
      <c r="B560" s="1"/>
    </row>
    <row r="561" spans="2:2" ht="14.25" customHeight="1" x14ac:dyDescent="0.2">
      <c r="B561" s="1"/>
    </row>
    <row r="562" spans="2:2" ht="14.25" customHeight="1" x14ac:dyDescent="0.2">
      <c r="B562" s="1"/>
    </row>
    <row r="563" spans="2:2" ht="14.25" customHeight="1" x14ac:dyDescent="0.2">
      <c r="B563" s="1"/>
    </row>
    <row r="564" spans="2:2" ht="14.25" customHeight="1" x14ac:dyDescent="0.2">
      <c r="B564" s="1"/>
    </row>
    <row r="565" spans="2:2" ht="14.25" customHeight="1" x14ac:dyDescent="0.2">
      <c r="B565" s="1"/>
    </row>
    <row r="566" spans="2:2" ht="14.25" customHeight="1" x14ac:dyDescent="0.2">
      <c r="B566" s="1"/>
    </row>
    <row r="567" spans="2:2" ht="14.25" customHeight="1" x14ac:dyDescent="0.2">
      <c r="B567" s="1"/>
    </row>
    <row r="568" spans="2:2" ht="14.25" customHeight="1" x14ac:dyDescent="0.2">
      <c r="B568" s="1"/>
    </row>
    <row r="569" spans="2:2" ht="14.25" customHeight="1" x14ac:dyDescent="0.2">
      <c r="B569" s="1"/>
    </row>
    <row r="570" spans="2:2" ht="14.25" customHeight="1" x14ac:dyDescent="0.2">
      <c r="B570" s="1"/>
    </row>
    <row r="571" spans="2:2" ht="14.25" customHeight="1" x14ac:dyDescent="0.2">
      <c r="B571" s="1"/>
    </row>
    <row r="572" spans="2:2" ht="14.25" customHeight="1" x14ac:dyDescent="0.2">
      <c r="B572" s="1"/>
    </row>
    <row r="573" spans="2:2" ht="14.25" customHeight="1" x14ac:dyDescent="0.2">
      <c r="B573" s="1"/>
    </row>
    <row r="574" spans="2:2" ht="14.25" customHeight="1" x14ac:dyDescent="0.2">
      <c r="B574" s="1"/>
    </row>
    <row r="575" spans="2:2" ht="14.25" customHeight="1" x14ac:dyDescent="0.2">
      <c r="B575" s="1"/>
    </row>
    <row r="576" spans="2:2" ht="14.25" customHeight="1" x14ac:dyDescent="0.2">
      <c r="B576" s="1"/>
    </row>
    <row r="577" spans="2:2" ht="14.25" customHeight="1" x14ac:dyDescent="0.2">
      <c r="B577" s="1"/>
    </row>
    <row r="578" spans="2:2" ht="14.25" customHeight="1" x14ac:dyDescent="0.2">
      <c r="B578" s="1"/>
    </row>
    <row r="579" spans="2:2" ht="14.25" customHeight="1" x14ac:dyDescent="0.2">
      <c r="B579" s="1"/>
    </row>
    <row r="580" spans="2:2" ht="14.25" customHeight="1" x14ac:dyDescent="0.2">
      <c r="B580" s="1"/>
    </row>
    <row r="581" spans="2:2" ht="14.25" customHeight="1" x14ac:dyDescent="0.2">
      <c r="B581" s="1"/>
    </row>
    <row r="582" spans="2:2" ht="14.25" customHeight="1" x14ac:dyDescent="0.2">
      <c r="B582" s="1"/>
    </row>
    <row r="583" spans="2:2" ht="14.25" customHeight="1" x14ac:dyDescent="0.2">
      <c r="B583" s="1"/>
    </row>
    <row r="584" spans="2:2" ht="14.25" customHeight="1" x14ac:dyDescent="0.2">
      <c r="B584" s="1"/>
    </row>
    <row r="585" spans="2:2" ht="14.25" customHeight="1" x14ac:dyDescent="0.2">
      <c r="B585" s="1"/>
    </row>
    <row r="586" spans="2:2" ht="14.25" customHeight="1" x14ac:dyDescent="0.2">
      <c r="B586" s="1"/>
    </row>
    <row r="587" spans="2:2" ht="14.25" customHeight="1" x14ac:dyDescent="0.2">
      <c r="B587" s="1"/>
    </row>
    <row r="588" spans="2:2" ht="14.25" customHeight="1" x14ac:dyDescent="0.2">
      <c r="B588" s="1"/>
    </row>
    <row r="589" spans="2:2" ht="14.25" customHeight="1" x14ac:dyDescent="0.2">
      <c r="B589" s="1"/>
    </row>
    <row r="590" spans="2:2" ht="14.25" customHeight="1" x14ac:dyDescent="0.2">
      <c r="B590" s="1"/>
    </row>
    <row r="591" spans="2:2" ht="14.25" customHeight="1" x14ac:dyDescent="0.2">
      <c r="B591" s="1"/>
    </row>
    <row r="592" spans="2:2" ht="14.25" customHeight="1" x14ac:dyDescent="0.2">
      <c r="B592" s="1"/>
    </row>
    <row r="593" spans="2:2" ht="14.25" customHeight="1" x14ac:dyDescent="0.2">
      <c r="B593" s="1"/>
    </row>
    <row r="594" spans="2:2" ht="14.25" customHeight="1" x14ac:dyDescent="0.2">
      <c r="B594" s="1"/>
    </row>
    <row r="595" spans="2:2" ht="14.25" customHeight="1" x14ac:dyDescent="0.2">
      <c r="B595" s="1"/>
    </row>
    <row r="596" spans="2:2" ht="14.25" customHeight="1" x14ac:dyDescent="0.2">
      <c r="B596" s="1"/>
    </row>
    <row r="597" spans="2:2" ht="14.25" customHeight="1" x14ac:dyDescent="0.2">
      <c r="B597" s="1"/>
    </row>
    <row r="598" spans="2:2" ht="14.25" customHeight="1" x14ac:dyDescent="0.2">
      <c r="B598" s="1"/>
    </row>
    <row r="599" spans="2:2" ht="14.25" customHeight="1" x14ac:dyDescent="0.2">
      <c r="B599" s="1"/>
    </row>
    <row r="600" spans="2:2" ht="14.25" customHeight="1" x14ac:dyDescent="0.2">
      <c r="B600" s="1"/>
    </row>
    <row r="601" spans="2:2" ht="14.25" customHeight="1" x14ac:dyDescent="0.2">
      <c r="B601" s="1"/>
    </row>
    <row r="602" spans="2:2" ht="14.25" customHeight="1" x14ac:dyDescent="0.2">
      <c r="B602" s="1"/>
    </row>
    <row r="603" spans="2:2" ht="14.25" customHeight="1" x14ac:dyDescent="0.2">
      <c r="B603" s="1"/>
    </row>
    <row r="604" spans="2:2" ht="14.25" customHeight="1" x14ac:dyDescent="0.2">
      <c r="B604" s="1"/>
    </row>
    <row r="605" spans="2:2" ht="14.25" customHeight="1" x14ac:dyDescent="0.2">
      <c r="B605" s="1"/>
    </row>
    <row r="606" spans="2:2" ht="14.25" customHeight="1" x14ac:dyDescent="0.2">
      <c r="B606" s="1"/>
    </row>
    <row r="607" spans="2:2" ht="14.25" customHeight="1" x14ac:dyDescent="0.2">
      <c r="B607" s="1"/>
    </row>
    <row r="608" spans="2:2" ht="14.25" customHeight="1" x14ac:dyDescent="0.2">
      <c r="B608" s="1"/>
    </row>
    <row r="609" spans="2:2" ht="14.25" customHeight="1" x14ac:dyDescent="0.2">
      <c r="B609" s="1"/>
    </row>
    <row r="610" spans="2:2" ht="14.25" customHeight="1" x14ac:dyDescent="0.2">
      <c r="B610" s="1"/>
    </row>
    <row r="611" spans="2:2" ht="14.25" customHeight="1" x14ac:dyDescent="0.2">
      <c r="B611" s="1"/>
    </row>
    <row r="612" spans="2:2" ht="14.25" customHeight="1" x14ac:dyDescent="0.2">
      <c r="B612" s="1"/>
    </row>
    <row r="613" spans="2:2" ht="14.25" customHeight="1" x14ac:dyDescent="0.2">
      <c r="B613" s="1"/>
    </row>
    <row r="614" spans="2:2" ht="14.25" customHeight="1" x14ac:dyDescent="0.2">
      <c r="B614" s="1"/>
    </row>
    <row r="615" spans="2:2" ht="14.25" customHeight="1" x14ac:dyDescent="0.2">
      <c r="B615" s="1"/>
    </row>
    <row r="616" spans="2:2" ht="14.25" customHeight="1" x14ac:dyDescent="0.2">
      <c r="B616" s="1"/>
    </row>
    <row r="617" spans="2:2" ht="14.25" customHeight="1" x14ac:dyDescent="0.2">
      <c r="B617" s="1"/>
    </row>
    <row r="618" spans="2:2" ht="14.25" customHeight="1" x14ac:dyDescent="0.2">
      <c r="B618" s="1"/>
    </row>
    <row r="619" spans="2:2" ht="14.25" customHeight="1" x14ac:dyDescent="0.2">
      <c r="B619" s="1"/>
    </row>
    <row r="620" spans="2:2" ht="14.25" customHeight="1" x14ac:dyDescent="0.2">
      <c r="B620" s="1"/>
    </row>
    <row r="621" spans="2:2" ht="14.25" customHeight="1" x14ac:dyDescent="0.2">
      <c r="B621" s="1"/>
    </row>
    <row r="622" spans="2:2" ht="14.25" customHeight="1" x14ac:dyDescent="0.2">
      <c r="B622" s="1"/>
    </row>
    <row r="623" spans="2:2" ht="14.25" customHeight="1" x14ac:dyDescent="0.2">
      <c r="B623" s="1"/>
    </row>
    <row r="624" spans="2:2" ht="14.25" customHeight="1" x14ac:dyDescent="0.2">
      <c r="B624" s="1"/>
    </row>
    <row r="625" spans="2:2" ht="14.25" customHeight="1" x14ac:dyDescent="0.2">
      <c r="B625" s="1"/>
    </row>
    <row r="626" spans="2:2" ht="14.25" customHeight="1" x14ac:dyDescent="0.2">
      <c r="B626" s="1"/>
    </row>
    <row r="627" spans="2:2" ht="14.25" customHeight="1" x14ac:dyDescent="0.2">
      <c r="B627" s="1"/>
    </row>
    <row r="628" spans="2:2" ht="14.25" customHeight="1" x14ac:dyDescent="0.2">
      <c r="B628" s="1"/>
    </row>
    <row r="629" spans="2:2" ht="14.25" customHeight="1" x14ac:dyDescent="0.2">
      <c r="B629" s="1"/>
    </row>
    <row r="630" spans="2:2" ht="14.25" customHeight="1" x14ac:dyDescent="0.2">
      <c r="B630" s="1"/>
    </row>
    <row r="631" spans="2:2" ht="14.25" customHeight="1" x14ac:dyDescent="0.2">
      <c r="B631" s="1"/>
    </row>
    <row r="632" spans="2:2" ht="14.25" customHeight="1" x14ac:dyDescent="0.2">
      <c r="B632" s="1"/>
    </row>
    <row r="633" spans="2:2" ht="14.25" customHeight="1" x14ac:dyDescent="0.2">
      <c r="B633" s="1"/>
    </row>
    <row r="634" spans="2:2" ht="14.25" customHeight="1" x14ac:dyDescent="0.2">
      <c r="B634" s="1"/>
    </row>
    <row r="635" spans="2:2" ht="14.25" customHeight="1" x14ac:dyDescent="0.2">
      <c r="B635" s="1"/>
    </row>
    <row r="636" spans="2:2" ht="14.25" customHeight="1" x14ac:dyDescent="0.2">
      <c r="B636" s="1"/>
    </row>
    <row r="637" spans="2:2" ht="14.25" customHeight="1" x14ac:dyDescent="0.2">
      <c r="B637" s="1"/>
    </row>
    <row r="638" spans="2:2" ht="14.25" customHeight="1" x14ac:dyDescent="0.2">
      <c r="B638" s="1"/>
    </row>
    <row r="639" spans="2:2" ht="14.25" customHeight="1" x14ac:dyDescent="0.2">
      <c r="B639" s="1"/>
    </row>
    <row r="640" spans="2:2" ht="14.25" customHeight="1" x14ac:dyDescent="0.2">
      <c r="B640" s="1"/>
    </row>
    <row r="641" spans="2:2" ht="14.25" customHeight="1" x14ac:dyDescent="0.2">
      <c r="B641" s="1"/>
    </row>
    <row r="642" spans="2:2" ht="14.25" customHeight="1" x14ac:dyDescent="0.2">
      <c r="B642" s="1"/>
    </row>
    <row r="643" spans="2:2" ht="14.25" customHeight="1" x14ac:dyDescent="0.2">
      <c r="B643" s="1"/>
    </row>
    <row r="644" spans="2:2" ht="14.25" customHeight="1" x14ac:dyDescent="0.2">
      <c r="B644" s="1"/>
    </row>
    <row r="645" spans="2:2" ht="14.25" customHeight="1" x14ac:dyDescent="0.2">
      <c r="B645" s="1"/>
    </row>
    <row r="646" spans="2:2" ht="14.25" customHeight="1" x14ac:dyDescent="0.2">
      <c r="B646" s="1"/>
    </row>
    <row r="647" spans="2:2" ht="14.25" customHeight="1" x14ac:dyDescent="0.2">
      <c r="B647" s="1"/>
    </row>
    <row r="648" spans="2:2" ht="14.25" customHeight="1" x14ac:dyDescent="0.2">
      <c r="B648" s="1"/>
    </row>
    <row r="649" spans="2:2" ht="14.25" customHeight="1" x14ac:dyDescent="0.2">
      <c r="B649" s="1"/>
    </row>
    <row r="650" spans="2:2" ht="14.25" customHeight="1" x14ac:dyDescent="0.2">
      <c r="B650" s="1"/>
    </row>
    <row r="651" spans="2:2" ht="14.25" customHeight="1" x14ac:dyDescent="0.2">
      <c r="B651" s="1"/>
    </row>
    <row r="652" spans="2:2" ht="14.25" customHeight="1" x14ac:dyDescent="0.2">
      <c r="B652" s="1"/>
    </row>
    <row r="653" spans="2:2" ht="14.25" customHeight="1" x14ac:dyDescent="0.2">
      <c r="B653" s="1"/>
    </row>
    <row r="654" spans="2:2" ht="14.25" customHeight="1" x14ac:dyDescent="0.2">
      <c r="B654" s="1"/>
    </row>
    <row r="655" spans="2:2" ht="14.25" customHeight="1" x14ac:dyDescent="0.2">
      <c r="B655" s="1"/>
    </row>
    <row r="656" spans="2:2" ht="14.25" customHeight="1" x14ac:dyDescent="0.2">
      <c r="B656" s="1"/>
    </row>
    <row r="657" spans="2:2" ht="14.25" customHeight="1" x14ac:dyDescent="0.2">
      <c r="B657" s="1"/>
    </row>
    <row r="658" spans="2:2" ht="14.25" customHeight="1" x14ac:dyDescent="0.2">
      <c r="B658" s="1"/>
    </row>
    <row r="659" spans="2:2" ht="14.25" customHeight="1" x14ac:dyDescent="0.2">
      <c r="B659" s="1"/>
    </row>
    <row r="660" spans="2:2" ht="14.25" customHeight="1" x14ac:dyDescent="0.2">
      <c r="B660" s="1"/>
    </row>
    <row r="661" spans="2:2" ht="14.25" customHeight="1" x14ac:dyDescent="0.2">
      <c r="B661" s="1"/>
    </row>
    <row r="662" spans="2:2" ht="14.25" customHeight="1" x14ac:dyDescent="0.2">
      <c r="B662" s="1"/>
    </row>
    <row r="663" spans="2:2" ht="14.25" customHeight="1" x14ac:dyDescent="0.2">
      <c r="B663" s="1"/>
    </row>
    <row r="664" spans="2:2" ht="14.25" customHeight="1" x14ac:dyDescent="0.2">
      <c r="B664" s="1"/>
    </row>
    <row r="665" spans="2:2" ht="14.25" customHeight="1" x14ac:dyDescent="0.2">
      <c r="B665" s="1"/>
    </row>
    <row r="666" spans="2:2" ht="14.25" customHeight="1" x14ac:dyDescent="0.2">
      <c r="B666" s="1"/>
    </row>
    <row r="667" spans="2:2" ht="14.25" customHeight="1" x14ac:dyDescent="0.2">
      <c r="B667" s="1"/>
    </row>
    <row r="668" spans="2:2" ht="14.25" customHeight="1" x14ac:dyDescent="0.2">
      <c r="B668" s="1"/>
    </row>
    <row r="669" spans="2:2" ht="14.25" customHeight="1" x14ac:dyDescent="0.2">
      <c r="B669" s="1"/>
    </row>
    <row r="670" spans="2:2" ht="14.25" customHeight="1" x14ac:dyDescent="0.2">
      <c r="B670" s="1"/>
    </row>
    <row r="671" spans="2:2" ht="14.25" customHeight="1" x14ac:dyDescent="0.2">
      <c r="B671" s="1"/>
    </row>
    <row r="672" spans="2:2" ht="14.25" customHeight="1" x14ac:dyDescent="0.2">
      <c r="B672" s="1"/>
    </row>
    <row r="673" spans="2:2" ht="14.25" customHeight="1" x14ac:dyDescent="0.2">
      <c r="B673" s="1"/>
    </row>
    <row r="674" spans="2:2" ht="14.25" customHeight="1" x14ac:dyDescent="0.2">
      <c r="B674" s="1"/>
    </row>
    <row r="675" spans="2:2" ht="14.25" customHeight="1" x14ac:dyDescent="0.2">
      <c r="B675" s="1"/>
    </row>
    <row r="676" spans="2:2" ht="14.25" customHeight="1" x14ac:dyDescent="0.2">
      <c r="B676" s="1"/>
    </row>
    <row r="677" spans="2:2" ht="14.25" customHeight="1" x14ac:dyDescent="0.2">
      <c r="B677" s="1"/>
    </row>
    <row r="678" spans="2:2" ht="14.25" customHeight="1" x14ac:dyDescent="0.2">
      <c r="B678" s="1"/>
    </row>
    <row r="679" spans="2:2" ht="14.25" customHeight="1" x14ac:dyDescent="0.2">
      <c r="B679" s="1"/>
    </row>
    <row r="680" spans="2:2" ht="14.25" customHeight="1" x14ac:dyDescent="0.2">
      <c r="B680" s="1"/>
    </row>
    <row r="681" spans="2:2" ht="14.25" customHeight="1" x14ac:dyDescent="0.2">
      <c r="B681" s="1"/>
    </row>
    <row r="682" spans="2:2" ht="14.25" customHeight="1" x14ac:dyDescent="0.2">
      <c r="B682" s="1"/>
    </row>
    <row r="683" spans="2:2" ht="14.25" customHeight="1" x14ac:dyDescent="0.2">
      <c r="B683" s="1"/>
    </row>
    <row r="684" spans="2:2" ht="14.25" customHeight="1" x14ac:dyDescent="0.2">
      <c r="B684" s="1"/>
    </row>
    <row r="685" spans="2:2" ht="14.25" customHeight="1" x14ac:dyDescent="0.2">
      <c r="B685" s="1"/>
    </row>
    <row r="686" spans="2:2" ht="14.25" customHeight="1" x14ac:dyDescent="0.2">
      <c r="B686" s="1"/>
    </row>
    <row r="687" spans="2:2" ht="14.25" customHeight="1" x14ac:dyDescent="0.2">
      <c r="B687" s="1"/>
    </row>
    <row r="688" spans="2:2" ht="14.25" customHeight="1" x14ac:dyDescent="0.2">
      <c r="B688" s="1"/>
    </row>
    <row r="689" spans="2:2" ht="14.25" customHeight="1" x14ac:dyDescent="0.2">
      <c r="B689" s="1"/>
    </row>
    <row r="690" spans="2:2" ht="14.25" customHeight="1" x14ac:dyDescent="0.2">
      <c r="B690" s="1"/>
    </row>
    <row r="691" spans="2:2" ht="14.25" customHeight="1" x14ac:dyDescent="0.2">
      <c r="B691" s="1"/>
    </row>
    <row r="692" spans="2:2" ht="14.25" customHeight="1" x14ac:dyDescent="0.2">
      <c r="B692" s="1"/>
    </row>
    <row r="693" spans="2:2" ht="14.25" customHeight="1" x14ac:dyDescent="0.2">
      <c r="B693" s="1"/>
    </row>
    <row r="694" spans="2:2" ht="14.25" customHeight="1" x14ac:dyDescent="0.2">
      <c r="B694" s="1"/>
    </row>
    <row r="695" spans="2:2" ht="14.25" customHeight="1" x14ac:dyDescent="0.2">
      <c r="B695" s="1"/>
    </row>
    <row r="696" spans="2:2" ht="14.25" customHeight="1" x14ac:dyDescent="0.2">
      <c r="B696" s="1"/>
    </row>
    <row r="697" spans="2:2" ht="14.25" customHeight="1" x14ac:dyDescent="0.2">
      <c r="B697" s="1"/>
    </row>
    <row r="698" spans="2:2" ht="14.25" customHeight="1" x14ac:dyDescent="0.2">
      <c r="B698" s="1"/>
    </row>
    <row r="699" spans="2:2" ht="14.25" customHeight="1" x14ac:dyDescent="0.2">
      <c r="B699" s="1"/>
    </row>
    <row r="700" spans="2:2" ht="14.25" customHeight="1" x14ac:dyDescent="0.2">
      <c r="B700" s="1"/>
    </row>
    <row r="701" spans="2:2" ht="14.25" customHeight="1" x14ac:dyDescent="0.2">
      <c r="B701" s="1"/>
    </row>
    <row r="702" spans="2:2" ht="14.25" customHeight="1" x14ac:dyDescent="0.2">
      <c r="B702" s="1"/>
    </row>
    <row r="703" spans="2:2" ht="14.25" customHeight="1" x14ac:dyDescent="0.2">
      <c r="B703" s="1"/>
    </row>
    <row r="704" spans="2:2" ht="14.25" customHeight="1" x14ac:dyDescent="0.2">
      <c r="B704" s="1"/>
    </row>
    <row r="705" spans="2:2" ht="14.25" customHeight="1" x14ac:dyDescent="0.2">
      <c r="B705" s="1"/>
    </row>
    <row r="706" spans="2:2" ht="14.25" customHeight="1" x14ac:dyDescent="0.2">
      <c r="B706" s="1"/>
    </row>
    <row r="707" spans="2:2" ht="14.25" customHeight="1" x14ac:dyDescent="0.2">
      <c r="B707" s="1"/>
    </row>
    <row r="708" spans="2:2" ht="14.25" customHeight="1" x14ac:dyDescent="0.2">
      <c r="B708" s="1"/>
    </row>
    <row r="709" spans="2:2" ht="14.25" customHeight="1" x14ac:dyDescent="0.2">
      <c r="B709" s="1"/>
    </row>
    <row r="710" spans="2:2" ht="14.25" customHeight="1" x14ac:dyDescent="0.2">
      <c r="B710" s="1"/>
    </row>
    <row r="711" spans="2:2" ht="14.25" customHeight="1" x14ac:dyDescent="0.2">
      <c r="B711" s="1"/>
    </row>
    <row r="712" spans="2:2" ht="14.25" customHeight="1" x14ac:dyDescent="0.2">
      <c r="B712" s="1"/>
    </row>
    <row r="713" spans="2:2" ht="14.25" customHeight="1" x14ac:dyDescent="0.2">
      <c r="B713" s="1"/>
    </row>
    <row r="714" spans="2:2" ht="14.25" customHeight="1" x14ac:dyDescent="0.2">
      <c r="B714" s="1"/>
    </row>
    <row r="715" spans="2:2" ht="14.25" customHeight="1" x14ac:dyDescent="0.2">
      <c r="B715" s="1"/>
    </row>
    <row r="716" spans="2:2" ht="14.25" customHeight="1" x14ac:dyDescent="0.2">
      <c r="B716" s="1"/>
    </row>
    <row r="717" spans="2:2" ht="14.25" customHeight="1" x14ac:dyDescent="0.2">
      <c r="B717" s="1"/>
    </row>
    <row r="718" spans="2:2" ht="14.25" customHeight="1" x14ac:dyDescent="0.2">
      <c r="B718" s="1"/>
    </row>
    <row r="719" spans="2:2" ht="14.25" customHeight="1" x14ac:dyDescent="0.2">
      <c r="B719" s="1"/>
    </row>
    <row r="720" spans="2:2" ht="14.25" customHeight="1" x14ac:dyDescent="0.2">
      <c r="B720" s="1"/>
    </row>
    <row r="721" spans="2:2" ht="14.25" customHeight="1" x14ac:dyDescent="0.2">
      <c r="B721" s="1"/>
    </row>
    <row r="722" spans="2:2" ht="14.25" customHeight="1" x14ac:dyDescent="0.2">
      <c r="B722" s="1"/>
    </row>
    <row r="723" spans="2:2" ht="14.25" customHeight="1" x14ac:dyDescent="0.2">
      <c r="B723" s="1"/>
    </row>
    <row r="724" spans="2:2" ht="14.25" customHeight="1" x14ac:dyDescent="0.2">
      <c r="B724" s="1"/>
    </row>
    <row r="725" spans="2:2" ht="14.25" customHeight="1" x14ac:dyDescent="0.2">
      <c r="B725" s="1"/>
    </row>
    <row r="726" spans="2:2" ht="14.25" customHeight="1" x14ac:dyDescent="0.2">
      <c r="B726" s="1"/>
    </row>
    <row r="727" spans="2:2" ht="14.25" customHeight="1" x14ac:dyDescent="0.2">
      <c r="B727" s="1"/>
    </row>
    <row r="728" spans="2:2" ht="14.25" customHeight="1" x14ac:dyDescent="0.2">
      <c r="B728" s="1"/>
    </row>
    <row r="729" spans="2:2" ht="14.25" customHeight="1" x14ac:dyDescent="0.2">
      <c r="B729" s="1"/>
    </row>
    <row r="730" spans="2:2" ht="14.25" customHeight="1" x14ac:dyDescent="0.2">
      <c r="B730" s="1"/>
    </row>
    <row r="731" spans="2:2" ht="14.25" customHeight="1" x14ac:dyDescent="0.2">
      <c r="B731" s="1"/>
    </row>
    <row r="732" spans="2:2" ht="14.25" customHeight="1" x14ac:dyDescent="0.2">
      <c r="B732" s="1"/>
    </row>
    <row r="733" spans="2:2" ht="14.25" customHeight="1" x14ac:dyDescent="0.2">
      <c r="B733" s="1"/>
    </row>
    <row r="734" spans="2:2" ht="14.25" customHeight="1" x14ac:dyDescent="0.2">
      <c r="B734" s="1"/>
    </row>
    <row r="735" spans="2:2" ht="14.25" customHeight="1" x14ac:dyDescent="0.2">
      <c r="B735" s="1"/>
    </row>
    <row r="736" spans="2:2" ht="14.25" customHeight="1" x14ac:dyDescent="0.2">
      <c r="B736" s="1"/>
    </row>
    <row r="737" spans="2:2" ht="14.25" customHeight="1" x14ac:dyDescent="0.2">
      <c r="B737" s="1"/>
    </row>
    <row r="738" spans="2:2" ht="14.25" customHeight="1" x14ac:dyDescent="0.2">
      <c r="B738" s="1"/>
    </row>
    <row r="739" spans="2:2" ht="14.25" customHeight="1" x14ac:dyDescent="0.2">
      <c r="B739" s="1"/>
    </row>
    <row r="740" spans="2:2" ht="14.25" customHeight="1" x14ac:dyDescent="0.2">
      <c r="B740" s="1"/>
    </row>
    <row r="741" spans="2:2" ht="14.25" customHeight="1" x14ac:dyDescent="0.2">
      <c r="B741" s="1"/>
    </row>
    <row r="742" spans="2:2" ht="14.25" customHeight="1" x14ac:dyDescent="0.2">
      <c r="B742" s="1"/>
    </row>
    <row r="743" spans="2:2" ht="14.25" customHeight="1" x14ac:dyDescent="0.2">
      <c r="B743" s="1"/>
    </row>
    <row r="744" spans="2:2" ht="14.25" customHeight="1" x14ac:dyDescent="0.2">
      <c r="B744" s="1"/>
    </row>
    <row r="745" spans="2:2" ht="14.25" customHeight="1" x14ac:dyDescent="0.2">
      <c r="B745" s="1"/>
    </row>
    <row r="746" spans="2:2" ht="14.25" customHeight="1" x14ac:dyDescent="0.2">
      <c r="B746" s="1"/>
    </row>
    <row r="747" spans="2:2" ht="14.25" customHeight="1" x14ac:dyDescent="0.2">
      <c r="B747" s="1"/>
    </row>
    <row r="748" spans="2:2" ht="14.25" customHeight="1" x14ac:dyDescent="0.2">
      <c r="B748" s="1"/>
    </row>
    <row r="749" spans="2:2" ht="14.25" customHeight="1" x14ac:dyDescent="0.2">
      <c r="B749" s="1"/>
    </row>
    <row r="750" spans="2:2" ht="14.25" customHeight="1" x14ac:dyDescent="0.2">
      <c r="B750" s="1"/>
    </row>
    <row r="751" spans="2:2" ht="14.25" customHeight="1" x14ac:dyDescent="0.2">
      <c r="B751" s="1"/>
    </row>
    <row r="752" spans="2:2" ht="14.25" customHeight="1" x14ac:dyDescent="0.2">
      <c r="B752" s="1"/>
    </row>
    <row r="753" spans="2:2" ht="14.25" customHeight="1" x14ac:dyDescent="0.2">
      <c r="B753" s="1"/>
    </row>
    <row r="754" spans="2:2" ht="14.25" customHeight="1" x14ac:dyDescent="0.2">
      <c r="B754" s="1"/>
    </row>
    <row r="755" spans="2:2" ht="14.25" customHeight="1" x14ac:dyDescent="0.2">
      <c r="B755" s="1"/>
    </row>
    <row r="756" spans="2:2" ht="14.25" customHeight="1" x14ac:dyDescent="0.2">
      <c r="B756" s="1"/>
    </row>
    <row r="757" spans="2:2" ht="14.25" customHeight="1" x14ac:dyDescent="0.2">
      <c r="B757" s="1"/>
    </row>
    <row r="758" spans="2:2" ht="14.25" customHeight="1" x14ac:dyDescent="0.2">
      <c r="B758" s="1"/>
    </row>
    <row r="759" spans="2:2" ht="14.25" customHeight="1" x14ac:dyDescent="0.2">
      <c r="B759" s="1"/>
    </row>
    <row r="760" spans="2:2" ht="14.25" customHeight="1" x14ac:dyDescent="0.2">
      <c r="B760" s="1"/>
    </row>
    <row r="761" spans="2:2" ht="14.25" customHeight="1" x14ac:dyDescent="0.2">
      <c r="B761" s="1"/>
    </row>
    <row r="762" spans="2:2" ht="14.25" customHeight="1" x14ac:dyDescent="0.2">
      <c r="B762" s="1"/>
    </row>
    <row r="763" spans="2:2" ht="14.25" customHeight="1" x14ac:dyDescent="0.2">
      <c r="B763" s="1"/>
    </row>
    <row r="764" spans="2:2" ht="14.25" customHeight="1" x14ac:dyDescent="0.2">
      <c r="B764" s="1"/>
    </row>
    <row r="765" spans="2:2" ht="14.25" customHeight="1" x14ac:dyDescent="0.2">
      <c r="B765" s="1"/>
    </row>
    <row r="766" spans="2:2" ht="14.25" customHeight="1" x14ac:dyDescent="0.2">
      <c r="B766" s="1"/>
    </row>
    <row r="767" spans="2:2" ht="14.25" customHeight="1" x14ac:dyDescent="0.2">
      <c r="B767" s="1"/>
    </row>
    <row r="768" spans="2:2" ht="14.25" customHeight="1" x14ac:dyDescent="0.2">
      <c r="B768" s="1"/>
    </row>
    <row r="769" spans="2:2" ht="14.25" customHeight="1" x14ac:dyDescent="0.2">
      <c r="B769" s="1"/>
    </row>
    <row r="770" spans="2:2" ht="14.25" customHeight="1" x14ac:dyDescent="0.2">
      <c r="B770" s="1"/>
    </row>
    <row r="771" spans="2:2" ht="14.25" customHeight="1" x14ac:dyDescent="0.2">
      <c r="B771" s="1"/>
    </row>
    <row r="772" spans="2:2" ht="14.25" customHeight="1" x14ac:dyDescent="0.2">
      <c r="B772" s="1"/>
    </row>
    <row r="773" spans="2:2" ht="14.25" customHeight="1" x14ac:dyDescent="0.2">
      <c r="B773" s="1"/>
    </row>
    <row r="774" spans="2:2" ht="14.25" customHeight="1" x14ac:dyDescent="0.2">
      <c r="B774" s="1"/>
    </row>
    <row r="775" spans="2:2" ht="14.25" customHeight="1" x14ac:dyDescent="0.2">
      <c r="B775" s="1"/>
    </row>
    <row r="776" spans="2:2" ht="14.25" customHeight="1" x14ac:dyDescent="0.2">
      <c r="B776" s="1"/>
    </row>
    <row r="777" spans="2:2" ht="14.25" customHeight="1" x14ac:dyDescent="0.2">
      <c r="B777" s="1"/>
    </row>
    <row r="778" spans="2:2" ht="14.25" customHeight="1" x14ac:dyDescent="0.2">
      <c r="B778" s="1"/>
    </row>
    <row r="779" spans="2:2" ht="14.25" customHeight="1" x14ac:dyDescent="0.2">
      <c r="B779" s="1"/>
    </row>
    <row r="780" spans="2:2" ht="14.25" customHeight="1" x14ac:dyDescent="0.2">
      <c r="B780" s="1"/>
    </row>
    <row r="781" spans="2:2" ht="14.25" customHeight="1" x14ac:dyDescent="0.2">
      <c r="B781" s="1"/>
    </row>
    <row r="782" spans="2:2" ht="14.25" customHeight="1" x14ac:dyDescent="0.2">
      <c r="B782" s="1"/>
    </row>
    <row r="783" spans="2:2" ht="14.25" customHeight="1" x14ac:dyDescent="0.2">
      <c r="B783" s="1"/>
    </row>
    <row r="784" spans="2:2" ht="14.25" customHeight="1" x14ac:dyDescent="0.2">
      <c r="B784" s="1"/>
    </row>
    <row r="785" spans="2:2" ht="14.25" customHeight="1" x14ac:dyDescent="0.2">
      <c r="B785" s="1"/>
    </row>
    <row r="786" spans="2:2" ht="14.25" customHeight="1" x14ac:dyDescent="0.2">
      <c r="B786" s="1"/>
    </row>
    <row r="787" spans="2:2" ht="14.25" customHeight="1" x14ac:dyDescent="0.2">
      <c r="B787" s="1"/>
    </row>
    <row r="788" spans="2:2" ht="14.25" customHeight="1" x14ac:dyDescent="0.2">
      <c r="B788" s="1"/>
    </row>
    <row r="789" spans="2:2" ht="14.25" customHeight="1" x14ac:dyDescent="0.2">
      <c r="B789" s="1"/>
    </row>
    <row r="790" spans="2:2" ht="14.25" customHeight="1" x14ac:dyDescent="0.2">
      <c r="B790" s="1"/>
    </row>
    <row r="791" spans="2:2" ht="14.25" customHeight="1" x14ac:dyDescent="0.2">
      <c r="B791" s="1"/>
    </row>
    <row r="792" spans="2:2" ht="14.25" customHeight="1" x14ac:dyDescent="0.2">
      <c r="B792" s="1"/>
    </row>
    <row r="793" spans="2:2" ht="14.25" customHeight="1" x14ac:dyDescent="0.2">
      <c r="B793" s="1"/>
    </row>
    <row r="794" spans="2:2" ht="14.25" customHeight="1" x14ac:dyDescent="0.2">
      <c r="B794" s="1"/>
    </row>
    <row r="795" spans="2:2" ht="14.25" customHeight="1" x14ac:dyDescent="0.2">
      <c r="B795" s="1"/>
    </row>
    <row r="796" spans="2:2" ht="14.25" customHeight="1" x14ac:dyDescent="0.2">
      <c r="B796" s="1"/>
    </row>
    <row r="797" spans="2:2" ht="14.25" customHeight="1" x14ac:dyDescent="0.2">
      <c r="B797" s="1"/>
    </row>
    <row r="798" spans="2:2" ht="14.25" customHeight="1" x14ac:dyDescent="0.2">
      <c r="B798" s="1"/>
    </row>
    <row r="799" spans="2:2" ht="14.25" customHeight="1" x14ac:dyDescent="0.2">
      <c r="B799" s="1"/>
    </row>
    <row r="800" spans="2:2" ht="14.25" customHeight="1" x14ac:dyDescent="0.2">
      <c r="B800" s="1"/>
    </row>
    <row r="801" spans="2:2" ht="14.25" customHeight="1" x14ac:dyDescent="0.2">
      <c r="B801" s="1"/>
    </row>
    <row r="802" spans="2:2" ht="14.25" customHeight="1" x14ac:dyDescent="0.2">
      <c r="B802" s="1"/>
    </row>
    <row r="803" spans="2:2" ht="14.25" customHeight="1" x14ac:dyDescent="0.2">
      <c r="B803" s="1"/>
    </row>
    <row r="804" spans="2:2" ht="14.25" customHeight="1" x14ac:dyDescent="0.2">
      <c r="B804" s="1"/>
    </row>
    <row r="805" spans="2:2" ht="14.25" customHeight="1" x14ac:dyDescent="0.2">
      <c r="B805" s="1"/>
    </row>
    <row r="806" spans="2:2" ht="14.25" customHeight="1" x14ac:dyDescent="0.2">
      <c r="B806" s="1"/>
    </row>
    <row r="807" spans="2:2" ht="14.25" customHeight="1" x14ac:dyDescent="0.2">
      <c r="B807" s="1"/>
    </row>
    <row r="808" spans="2:2" ht="14.25" customHeight="1" x14ac:dyDescent="0.2">
      <c r="B808" s="1"/>
    </row>
    <row r="809" spans="2:2" ht="14.25" customHeight="1" x14ac:dyDescent="0.2">
      <c r="B809" s="1"/>
    </row>
    <row r="810" spans="2:2" ht="14.25" customHeight="1" x14ac:dyDescent="0.2">
      <c r="B810" s="1"/>
    </row>
    <row r="811" spans="2:2" ht="14.25" customHeight="1" x14ac:dyDescent="0.2">
      <c r="B811" s="1"/>
    </row>
    <row r="812" spans="2:2" ht="14.25" customHeight="1" x14ac:dyDescent="0.2">
      <c r="B812" s="1"/>
    </row>
    <row r="813" spans="2:2" ht="14.25" customHeight="1" x14ac:dyDescent="0.2">
      <c r="B813" s="1"/>
    </row>
    <row r="814" spans="2:2" ht="14.25" customHeight="1" x14ac:dyDescent="0.2">
      <c r="B814" s="1"/>
    </row>
    <row r="815" spans="2:2" ht="14.25" customHeight="1" x14ac:dyDescent="0.2">
      <c r="B815" s="1"/>
    </row>
    <row r="816" spans="2:2" ht="14.25" customHeight="1" x14ac:dyDescent="0.2">
      <c r="B816" s="1"/>
    </row>
    <row r="817" spans="2:2" ht="14.25" customHeight="1" x14ac:dyDescent="0.2">
      <c r="B817" s="1"/>
    </row>
    <row r="818" spans="2:2" ht="14.25" customHeight="1" x14ac:dyDescent="0.2">
      <c r="B818" s="1"/>
    </row>
    <row r="819" spans="2:2" ht="14.25" customHeight="1" x14ac:dyDescent="0.2">
      <c r="B819" s="1"/>
    </row>
    <row r="820" spans="2:2" ht="14.25" customHeight="1" x14ac:dyDescent="0.2">
      <c r="B820" s="1"/>
    </row>
    <row r="821" spans="2:2" ht="14.25" customHeight="1" x14ac:dyDescent="0.2">
      <c r="B821" s="1"/>
    </row>
    <row r="822" spans="2:2" ht="14.25" customHeight="1" x14ac:dyDescent="0.2">
      <c r="B822" s="1"/>
    </row>
    <row r="823" spans="2:2" ht="14.25" customHeight="1" x14ac:dyDescent="0.2">
      <c r="B823" s="1"/>
    </row>
    <row r="824" spans="2:2" ht="14.25" customHeight="1" x14ac:dyDescent="0.2">
      <c r="B824" s="1"/>
    </row>
    <row r="825" spans="2:2" ht="14.25" customHeight="1" x14ac:dyDescent="0.2">
      <c r="B825" s="1"/>
    </row>
    <row r="826" spans="2:2" ht="14.25" customHeight="1" x14ac:dyDescent="0.2">
      <c r="B826" s="1"/>
    </row>
    <row r="827" spans="2:2" ht="14.25" customHeight="1" x14ac:dyDescent="0.2">
      <c r="B827" s="1"/>
    </row>
    <row r="828" spans="2:2" ht="14.25" customHeight="1" x14ac:dyDescent="0.2">
      <c r="B828" s="1"/>
    </row>
    <row r="829" spans="2:2" ht="14.25" customHeight="1" x14ac:dyDescent="0.2">
      <c r="B829" s="1"/>
    </row>
    <row r="830" spans="2:2" ht="14.25" customHeight="1" x14ac:dyDescent="0.2">
      <c r="B830" s="1"/>
    </row>
    <row r="831" spans="2:2" ht="14.25" customHeight="1" x14ac:dyDescent="0.2">
      <c r="B831" s="1"/>
    </row>
    <row r="832" spans="2:2" ht="14.25" customHeight="1" x14ac:dyDescent="0.2">
      <c r="B832" s="1"/>
    </row>
    <row r="833" spans="2:2" ht="14.25" customHeight="1" x14ac:dyDescent="0.2">
      <c r="B833" s="1"/>
    </row>
    <row r="834" spans="2:2" ht="14.25" customHeight="1" x14ac:dyDescent="0.2">
      <c r="B834" s="1"/>
    </row>
    <row r="835" spans="2:2" ht="14.25" customHeight="1" x14ac:dyDescent="0.2">
      <c r="B835" s="1"/>
    </row>
    <row r="836" spans="2:2" ht="14.25" customHeight="1" x14ac:dyDescent="0.2">
      <c r="B836" s="1"/>
    </row>
    <row r="837" spans="2:2" ht="14.25" customHeight="1" x14ac:dyDescent="0.2">
      <c r="B837" s="1"/>
    </row>
    <row r="838" spans="2:2" ht="14.25" customHeight="1" x14ac:dyDescent="0.2">
      <c r="B838" s="1"/>
    </row>
    <row r="839" spans="2:2" ht="14.25" customHeight="1" x14ac:dyDescent="0.2">
      <c r="B839" s="1"/>
    </row>
    <row r="840" spans="2:2" ht="14.25" customHeight="1" x14ac:dyDescent="0.2">
      <c r="B840" s="1"/>
    </row>
    <row r="841" spans="2:2" ht="14.25" customHeight="1" x14ac:dyDescent="0.2">
      <c r="B841" s="1"/>
    </row>
    <row r="842" spans="2:2" ht="14.25" customHeight="1" x14ac:dyDescent="0.2">
      <c r="B842" s="1"/>
    </row>
    <row r="843" spans="2:2" ht="14.25" customHeight="1" x14ac:dyDescent="0.2">
      <c r="B843" s="1"/>
    </row>
    <row r="844" spans="2:2" ht="14.25" customHeight="1" x14ac:dyDescent="0.2">
      <c r="B844" s="1"/>
    </row>
    <row r="845" spans="2:2" ht="14.25" customHeight="1" x14ac:dyDescent="0.2">
      <c r="B845" s="1"/>
    </row>
    <row r="846" spans="2:2" ht="14.25" customHeight="1" x14ac:dyDescent="0.2">
      <c r="B846" s="1"/>
    </row>
    <row r="847" spans="2:2" ht="14.25" customHeight="1" x14ac:dyDescent="0.2">
      <c r="B847" s="1"/>
    </row>
    <row r="848" spans="2:2" ht="14.25" customHeight="1" x14ac:dyDescent="0.2">
      <c r="B848" s="1"/>
    </row>
    <row r="849" spans="2:2" ht="14.25" customHeight="1" x14ac:dyDescent="0.2">
      <c r="B849" s="1"/>
    </row>
    <row r="850" spans="2:2" ht="14.25" customHeight="1" x14ac:dyDescent="0.2">
      <c r="B850" s="1"/>
    </row>
    <row r="851" spans="2:2" ht="14.25" customHeight="1" x14ac:dyDescent="0.2">
      <c r="B851" s="1"/>
    </row>
    <row r="852" spans="2:2" ht="14.25" customHeight="1" x14ac:dyDescent="0.2">
      <c r="B852" s="1"/>
    </row>
    <row r="853" spans="2:2" ht="14.25" customHeight="1" x14ac:dyDescent="0.2">
      <c r="B853" s="1"/>
    </row>
    <row r="854" spans="2:2" ht="14.25" customHeight="1" x14ac:dyDescent="0.2">
      <c r="B854" s="1"/>
    </row>
    <row r="855" spans="2:2" ht="14.25" customHeight="1" x14ac:dyDescent="0.2">
      <c r="B855" s="1"/>
    </row>
    <row r="856" spans="2:2" ht="14.25" customHeight="1" x14ac:dyDescent="0.2">
      <c r="B856" s="1"/>
    </row>
    <row r="857" spans="2:2" ht="14.25" customHeight="1" x14ac:dyDescent="0.2">
      <c r="B857" s="1"/>
    </row>
    <row r="858" spans="2:2" ht="14.25" customHeight="1" x14ac:dyDescent="0.2">
      <c r="B858" s="1"/>
    </row>
    <row r="859" spans="2:2" ht="14.25" customHeight="1" x14ac:dyDescent="0.2">
      <c r="B859" s="1"/>
    </row>
    <row r="860" spans="2:2" ht="14.25" customHeight="1" x14ac:dyDescent="0.2">
      <c r="B860" s="1"/>
    </row>
    <row r="861" spans="2:2" ht="14.25" customHeight="1" x14ac:dyDescent="0.2">
      <c r="B861" s="1"/>
    </row>
    <row r="862" spans="2:2" ht="14.25" customHeight="1" x14ac:dyDescent="0.2">
      <c r="B862" s="1"/>
    </row>
    <row r="863" spans="2:2" ht="14.25" customHeight="1" x14ac:dyDescent="0.2">
      <c r="B863" s="1"/>
    </row>
    <row r="864" spans="2:2" ht="14.25" customHeight="1" x14ac:dyDescent="0.2">
      <c r="B864" s="1"/>
    </row>
    <row r="865" spans="2:2" ht="14.25" customHeight="1" x14ac:dyDescent="0.2">
      <c r="B865" s="1"/>
    </row>
    <row r="866" spans="2:2" ht="14.25" customHeight="1" x14ac:dyDescent="0.2">
      <c r="B866" s="1"/>
    </row>
    <row r="867" spans="2:2" ht="14.25" customHeight="1" x14ac:dyDescent="0.2">
      <c r="B867" s="1"/>
    </row>
    <row r="868" spans="2:2" ht="14.25" customHeight="1" x14ac:dyDescent="0.2">
      <c r="B868" s="1"/>
    </row>
    <row r="869" spans="2:2" ht="14.25" customHeight="1" x14ac:dyDescent="0.2">
      <c r="B869" s="1"/>
    </row>
    <row r="870" spans="2:2" ht="14.25" customHeight="1" x14ac:dyDescent="0.2">
      <c r="B870" s="1"/>
    </row>
    <row r="871" spans="2:2" ht="14.25" customHeight="1" x14ac:dyDescent="0.2">
      <c r="B871" s="1"/>
    </row>
    <row r="872" spans="2:2" ht="14.25" customHeight="1" x14ac:dyDescent="0.2">
      <c r="B872" s="1"/>
    </row>
    <row r="873" spans="2:2" ht="14.25" customHeight="1" x14ac:dyDescent="0.2">
      <c r="B873" s="1"/>
    </row>
    <row r="874" spans="2:2" ht="14.25" customHeight="1" x14ac:dyDescent="0.2">
      <c r="B874" s="1"/>
    </row>
    <row r="875" spans="2:2" ht="14.25" customHeight="1" x14ac:dyDescent="0.2">
      <c r="B875" s="1"/>
    </row>
    <row r="876" spans="2:2" ht="14.25" customHeight="1" x14ac:dyDescent="0.2">
      <c r="B876" s="1"/>
    </row>
    <row r="877" spans="2:2" ht="14.25" customHeight="1" x14ac:dyDescent="0.2">
      <c r="B877" s="1"/>
    </row>
    <row r="878" spans="2:2" ht="14.25" customHeight="1" x14ac:dyDescent="0.2">
      <c r="B878" s="1"/>
    </row>
    <row r="879" spans="2:2" ht="14.25" customHeight="1" x14ac:dyDescent="0.2">
      <c r="B879" s="1"/>
    </row>
    <row r="880" spans="2:2" ht="14.25" customHeight="1" x14ac:dyDescent="0.2">
      <c r="B880" s="1"/>
    </row>
    <row r="881" spans="2:2" ht="14.25" customHeight="1" x14ac:dyDescent="0.2">
      <c r="B881" s="1"/>
    </row>
    <row r="882" spans="2:2" ht="14.25" customHeight="1" x14ac:dyDescent="0.2">
      <c r="B882" s="1"/>
    </row>
    <row r="883" spans="2:2" ht="14.25" customHeight="1" x14ac:dyDescent="0.2">
      <c r="B883" s="1"/>
    </row>
    <row r="884" spans="2:2" ht="14.25" customHeight="1" x14ac:dyDescent="0.2">
      <c r="B884" s="1"/>
    </row>
    <row r="885" spans="2:2" ht="14.25" customHeight="1" x14ac:dyDescent="0.2">
      <c r="B885" s="1"/>
    </row>
    <row r="886" spans="2:2" ht="14.25" customHeight="1" x14ac:dyDescent="0.2">
      <c r="B886" s="1"/>
    </row>
    <row r="887" spans="2:2" ht="14.25" customHeight="1" x14ac:dyDescent="0.2">
      <c r="B887" s="1"/>
    </row>
    <row r="888" spans="2:2" ht="14.25" customHeight="1" x14ac:dyDescent="0.2">
      <c r="B888" s="1"/>
    </row>
    <row r="889" spans="2:2" ht="14.25" customHeight="1" x14ac:dyDescent="0.2">
      <c r="B889" s="1"/>
    </row>
    <row r="890" spans="2:2" ht="14.25" customHeight="1" x14ac:dyDescent="0.2">
      <c r="B890" s="1"/>
    </row>
    <row r="891" spans="2:2" ht="14.25" customHeight="1" x14ac:dyDescent="0.2">
      <c r="B891" s="1"/>
    </row>
    <row r="892" spans="2:2" ht="14.25" customHeight="1" x14ac:dyDescent="0.2">
      <c r="B892" s="1"/>
    </row>
    <row r="893" spans="2:2" ht="14.25" customHeight="1" x14ac:dyDescent="0.2">
      <c r="B893" s="1"/>
    </row>
    <row r="894" spans="2:2" ht="14.25" customHeight="1" x14ac:dyDescent="0.2">
      <c r="B894" s="1"/>
    </row>
    <row r="895" spans="2:2" ht="14.25" customHeight="1" x14ac:dyDescent="0.2">
      <c r="B895" s="1"/>
    </row>
    <row r="896" spans="2:2" ht="14.25" customHeight="1" x14ac:dyDescent="0.2">
      <c r="B896" s="1"/>
    </row>
    <row r="897" spans="2:2" ht="14.25" customHeight="1" x14ac:dyDescent="0.2">
      <c r="B897" s="1"/>
    </row>
    <row r="898" spans="2:2" ht="14.25" customHeight="1" x14ac:dyDescent="0.2">
      <c r="B898" s="1"/>
    </row>
    <row r="899" spans="2:2" ht="14.25" customHeight="1" x14ac:dyDescent="0.2">
      <c r="B899" s="1"/>
    </row>
    <row r="900" spans="2:2" ht="14.25" customHeight="1" x14ac:dyDescent="0.2">
      <c r="B900" s="1"/>
    </row>
    <row r="901" spans="2:2" ht="14.25" customHeight="1" x14ac:dyDescent="0.2">
      <c r="B901" s="1"/>
    </row>
    <row r="902" spans="2:2" ht="14.25" customHeight="1" x14ac:dyDescent="0.2">
      <c r="B902" s="1"/>
    </row>
    <row r="903" spans="2:2" ht="14.25" customHeight="1" x14ac:dyDescent="0.2">
      <c r="B903" s="1"/>
    </row>
    <row r="904" spans="2:2" ht="14.25" customHeight="1" x14ac:dyDescent="0.2">
      <c r="B904" s="1"/>
    </row>
    <row r="905" spans="2:2" ht="14.25" customHeight="1" x14ac:dyDescent="0.2">
      <c r="B905" s="1"/>
    </row>
    <row r="906" spans="2:2" ht="14.25" customHeight="1" x14ac:dyDescent="0.2">
      <c r="B906" s="1"/>
    </row>
    <row r="907" spans="2:2" ht="14.25" customHeight="1" x14ac:dyDescent="0.2">
      <c r="B907" s="1"/>
    </row>
    <row r="908" spans="2:2" ht="14.25" customHeight="1" x14ac:dyDescent="0.2">
      <c r="B908" s="1"/>
    </row>
    <row r="909" spans="2:2" ht="14.25" customHeight="1" x14ac:dyDescent="0.2">
      <c r="B909" s="1"/>
    </row>
    <row r="910" spans="2:2" ht="14.25" customHeight="1" x14ac:dyDescent="0.2">
      <c r="B910" s="1"/>
    </row>
    <row r="911" spans="2:2" ht="14.25" customHeight="1" x14ac:dyDescent="0.2">
      <c r="B911" s="1"/>
    </row>
    <row r="912" spans="2:2" ht="14.25" customHeight="1" x14ac:dyDescent="0.2">
      <c r="B912" s="1"/>
    </row>
    <row r="913" spans="2:2" ht="14.25" customHeight="1" x14ac:dyDescent="0.2">
      <c r="B913" s="1"/>
    </row>
    <row r="914" spans="2:2" ht="14.25" customHeight="1" x14ac:dyDescent="0.2">
      <c r="B914" s="1"/>
    </row>
    <row r="915" spans="2:2" ht="14.25" customHeight="1" x14ac:dyDescent="0.2">
      <c r="B915" s="1"/>
    </row>
    <row r="916" spans="2:2" ht="14.25" customHeight="1" x14ac:dyDescent="0.2">
      <c r="B916" s="1"/>
    </row>
    <row r="917" spans="2:2" ht="14.25" customHeight="1" x14ac:dyDescent="0.2">
      <c r="B917" s="1"/>
    </row>
    <row r="918" spans="2:2" ht="14.25" customHeight="1" x14ac:dyDescent="0.2">
      <c r="B918" s="1"/>
    </row>
    <row r="919" spans="2:2" ht="14.25" customHeight="1" x14ac:dyDescent="0.2">
      <c r="B919" s="1"/>
    </row>
    <row r="920" spans="2:2" ht="14.25" customHeight="1" x14ac:dyDescent="0.2">
      <c r="B920" s="1"/>
    </row>
    <row r="921" spans="2:2" ht="14.25" customHeight="1" x14ac:dyDescent="0.2">
      <c r="B921" s="1"/>
    </row>
    <row r="922" spans="2:2" ht="14.25" customHeight="1" x14ac:dyDescent="0.2">
      <c r="B922" s="1"/>
    </row>
    <row r="923" spans="2:2" ht="14.25" customHeight="1" x14ac:dyDescent="0.2">
      <c r="B923" s="1"/>
    </row>
    <row r="924" spans="2:2" ht="14.25" customHeight="1" x14ac:dyDescent="0.2">
      <c r="B924" s="1"/>
    </row>
    <row r="925" spans="2:2" ht="14.25" customHeight="1" x14ac:dyDescent="0.2">
      <c r="B925" s="1"/>
    </row>
    <row r="926" spans="2:2" ht="14.25" customHeight="1" x14ac:dyDescent="0.2">
      <c r="B926" s="1"/>
    </row>
    <row r="927" spans="2:2" ht="14.25" customHeight="1" x14ac:dyDescent="0.2">
      <c r="B927" s="1"/>
    </row>
    <row r="928" spans="2:2" ht="14.25" customHeight="1" x14ac:dyDescent="0.2">
      <c r="B928" s="1"/>
    </row>
    <row r="929" spans="2:2" ht="14.25" customHeight="1" x14ac:dyDescent="0.2">
      <c r="B929" s="1"/>
    </row>
    <row r="930" spans="2:2" ht="14.25" customHeight="1" x14ac:dyDescent="0.2">
      <c r="B930" s="1"/>
    </row>
    <row r="931" spans="2:2" ht="14.25" customHeight="1" x14ac:dyDescent="0.2">
      <c r="B931" s="1"/>
    </row>
    <row r="932" spans="2:2" ht="14.25" customHeight="1" x14ac:dyDescent="0.2">
      <c r="B932" s="1"/>
    </row>
    <row r="933" spans="2:2" ht="14.25" customHeight="1" x14ac:dyDescent="0.2">
      <c r="B933" s="1"/>
    </row>
    <row r="934" spans="2:2" ht="14.25" customHeight="1" x14ac:dyDescent="0.2">
      <c r="B934" s="1"/>
    </row>
    <row r="935" spans="2:2" ht="14.25" customHeight="1" x14ac:dyDescent="0.2">
      <c r="B935" s="1"/>
    </row>
    <row r="936" spans="2:2" ht="14.25" customHeight="1" x14ac:dyDescent="0.2">
      <c r="B936" s="1"/>
    </row>
    <row r="937" spans="2:2" ht="14.25" customHeight="1" x14ac:dyDescent="0.2">
      <c r="B937" s="1"/>
    </row>
    <row r="938" spans="2:2" ht="14.25" customHeight="1" x14ac:dyDescent="0.2">
      <c r="B938" s="1"/>
    </row>
    <row r="939" spans="2:2" ht="14.25" customHeight="1" x14ac:dyDescent="0.2">
      <c r="B939" s="1"/>
    </row>
    <row r="940" spans="2:2" ht="14.25" customHeight="1" x14ac:dyDescent="0.2">
      <c r="B940" s="1"/>
    </row>
    <row r="941" spans="2:2" ht="14.25" customHeight="1" x14ac:dyDescent="0.2">
      <c r="B941" s="1"/>
    </row>
    <row r="942" spans="2:2" ht="14.25" customHeight="1" x14ac:dyDescent="0.2">
      <c r="B942" s="1"/>
    </row>
    <row r="943" spans="2:2" ht="14.25" customHeight="1" x14ac:dyDescent="0.2">
      <c r="B943" s="1"/>
    </row>
    <row r="944" spans="2:2" ht="14.25" customHeight="1" x14ac:dyDescent="0.2">
      <c r="B944" s="1"/>
    </row>
    <row r="945" spans="2:2" ht="14.25" customHeight="1" x14ac:dyDescent="0.2">
      <c r="B945" s="1"/>
    </row>
    <row r="946" spans="2:2" ht="14.25" customHeight="1" x14ac:dyDescent="0.2">
      <c r="B946" s="1"/>
    </row>
    <row r="947" spans="2:2" ht="14.25" customHeight="1" x14ac:dyDescent="0.2">
      <c r="B947" s="1"/>
    </row>
    <row r="948" spans="2:2" ht="14.25" customHeight="1" x14ac:dyDescent="0.2">
      <c r="B948" s="1"/>
    </row>
    <row r="949" spans="2:2" ht="14.25" customHeight="1" x14ac:dyDescent="0.2">
      <c r="B949" s="1"/>
    </row>
    <row r="950" spans="2:2" ht="14.25" customHeight="1" x14ac:dyDescent="0.2">
      <c r="B950" s="1"/>
    </row>
    <row r="951" spans="2:2" ht="14.25" customHeight="1" x14ac:dyDescent="0.2">
      <c r="B951" s="1"/>
    </row>
    <row r="952" spans="2:2" ht="14.25" customHeight="1" x14ac:dyDescent="0.2">
      <c r="B952" s="1"/>
    </row>
    <row r="953" spans="2:2" ht="14.25" customHeight="1" x14ac:dyDescent="0.2">
      <c r="B953" s="1"/>
    </row>
    <row r="954" spans="2:2" ht="14.25" customHeight="1" x14ac:dyDescent="0.2">
      <c r="B954" s="1"/>
    </row>
    <row r="955" spans="2:2" ht="14.25" customHeight="1" x14ac:dyDescent="0.2">
      <c r="B955" s="1"/>
    </row>
    <row r="956" spans="2:2" ht="14.25" customHeight="1" x14ac:dyDescent="0.2">
      <c r="B956" s="1"/>
    </row>
    <row r="957" spans="2:2" ht="14.25" customHeight="1" x14ac:dyDescent="0.2">
      <c r="B957" s="1"/>
    </row>
    <row r="958" spans="2:2" ht="14.25" customHeight="1" x14ac:dyDescent="0.2">
      <c r="B958" s="1"/>
    </row>
    <row r="959" spans="2:2" ht="14.25" customHeight="1" x14ac:dyDescent="0.2">
      <c r="B959" s="1"/>
    </row>
    <row r="960" spans="2:2" ht="14.25" customHeight="1" x14ac:dyDescent="0.2">
      <c r="B960" s="1"/>
    </row>
    <row r="961" spans="2:2" ht="14.25" customHeight="1" x14ac:dyDescent="0.2">
      <c r="B961" s="1"/>
    </row>
    <row r="962" spans="2:2" ht="14.25" customHeight="1" x14ac:dyDescent="0.2">
      <c r="B962" s="1"/>
    </row>
    <row r="963" spans="2:2" ht="14.25" customHeight="1" x14ac:dyDescent="0.2">
      <c r="B963" s="1"/>
    </row>
    <row r="964" spans="2:2" ht="14.25" customHeight="1" x14ac:dyDescent="0.2">
      <c r="B964" s="1"/>
    </row>
    <row r="965" spans="2:2" ht="14.25" customHeight="1" x14ac:dyDescent="0.2">
      <c r="B965" s="1"/>
    </row>
    <row r="966" spans="2:2" ht="14.25" customHeight="1" x14ac:dyDescent="0.2">
      <c r="B966" s="1"/>
    </row>
    <row r="967" spans="2:2" ht="14.25" customHeight="1" x14ac:dyDescent="0.2">
      <c r="B967" s="1"/>
    </row>
    <row r="968" spans="2:2" ht="14.25" customHeight="1" x14ac:dyDescent="0.2">
      <c r="B968" s="1"/>
    </row>
    <row r="969" spans="2:2" ht="14.25" customHeight="1" x14ac:dyDescent="0.2">
      <c r="B969" s="1"/>
    </row>
    <row r="970" spans="2:2" ht="14.25" customHeight="1" x14ac:dyDescent="0.2">
      <c r="B970" s="1"/>
    </row>
    <row r="971" spans="2:2" ht="14.25" customHeight="1" x14ac:dyDescent="0.2">
      <c r="B971" s="1"/>
    </row>
    <row r="972" spans="2:2" ht="14.25" customHeight="1" x14ac:dyDescent="0.2">
      <c r="B972" s="1"/>
    </row>
    <row r="973" spans="2:2" ht="14.25" customHeight="1" x14ac:dyDescent="0.2">
      <c r="B973" s="1"/>
    </row>
    <row r="974" spans="2:2" ht="14.25" customHeight="1" x14ac:dyDescent="0.2">
      <c r="B974" s="1"/>
    </row>
    <row r="975" spans="2:2" ht="14.25" customHeight="1" x14ac:dyDescent="0.2">
      <c r="B975" s="1"/>
    </row>
    <row r="976" spans="2:2" ht="14.25" customHeight="1" x14ac:dyDescent="0.2">
      <c r="B976" s="1"/>
    </row>
    <row r="977" spans="2:2" ht="14.25" customHeight="1" x14ac:dyDescent="0.2">
      <c r="B977" s="1"/>
    </row>
    <row r="978" spans="2:2" ht="14.25" customHeight="1" x14ac:dyDescent="0.2">
      <c r="B978" s="1"/>
    </row>
    <row r="979" spans="2:2" ht="14.25" customHeight="1" x14ac:dyDescent="0.2">
      <c r="B979" s="1"/>
    </row>
    <row r="980" spans="2:2" ht="14.25" customHeight="1" x14ac:dyDescent="0.2">
      <c r="B980" s="1"/>
    </row>
    <row r="981" spans="2:2" ht="14.25" customHeight="1" x14ac:dyDescent="0.2">
      <c r="B981" s="1"/>
    </row>
    <row r="982" spans="2:2" ht="14.25" customHeight="1" x14ac:dyDescent="0.2">
      <c r="B982" s="1"/>
    </row>
    <row r="983" spans="2:2" ht="14.25" customHeight="1" x14ac:dyDescent="0.2">
      <c r="B983" s="1"/>
    </row>
    <row r="984" spans="2:2" ht="14.25" customHeight="1" x14ac:dyDescent="0.2">
      <c r="B984" s="1"/>
    </row>
    <row r="985" spans="2:2" ht="14.25" customHeight="1" x14ac:dyDescent="0.2">
      <c r="B985" s="1"/>
    </row>
    <row r="986" spans="2:2" ht="14.25" customHeight="1" x14ac:dyDescent="0.2">
      <c r="B986" s="1"/>
    </row>
    <row r="987" spans="2:2" ht="14.25" customHeight="1" x14ac:dyDescent="0.2">
      <c r="B987" s="1"/>
    </row>
    <row r="988" spans="2:2" ht="14.25" customHeight="1" x14ac:dyDescent="0.2">
      <c r="B988" s="1"/>
    </row>
    <row r="989" spans="2:2" ht="14.25" customHeight="1" x14ac:dyDescent="0.2">
      <c r="B989" s="1"/>
    </row>
    <row r="990" spans="2:2" ht="14.25" customHeight="1" x14ac:dyDescent="0.2">
      <c r="B990" s="1"/>
    </row>
    <row r="991" spans="2:2" ht="14.25" customHeight="1" x14ac:dyDescent="0.2">
      <c r="B991" s="1"/>
    </row>
    <row r="992" spans="2:2" ht="14.25" customHeight="1" x14ac:dyDescent="0.2">
      <c r="B992" s="1"/>
    </row>
    <row r="993" spans="2:2" ht="14.25" customHeight="1" x14ac:dyDescent="0.2">
      <c r="B993" s="1"/>
    </row>
    <row r="994" spans="2:2" ht="14.25" customHeight="1" x14ac:dyDescent="0.2">
      <c r="B994" s="1"/>
    </row>
    <row r="995" spans="2:2" ht="14.25" customHeight="1" x14ac:dyDescent="0.2">
      <c r="B995" s="1"/>
    </row>
    <row r="996" spans="2:2" ht="14.25" customHeight="1" x14ac:dyDescent="0.2">
      <c r="B996" s="1"/>
    </row>
    <row r="997" spans="2:2" ht="14.25" customHeight="1" x14ac:dyDescent="0.2">
      <c r="B997" s="1"/>
    </row>
    <row r="998" spans="2:2" ht="14.25" customHeight="1" x14ac:dyDescent="0.2">
      <c r="B998" s="1"/>
    </row>
    <row r="999" spans="2:2" ht="14.25" customHeight="1" x14ac:dyDescent="0.2">
      <c r="B999" s="1"/>
    </row>
    <row r="1000" spans="2:2" ht="14.25" customHeight="1" x14ac:dyDescent="0.2">
      <c r="B1000" s="1"/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42</vt:i4>
      </vt:variant>
      <vt:variant>
        <vt:lpstr>Rangos con nombre</vt:lpstr>
      </vt:variant>
      <vt:variant>
        <vt:i4>29</vt:i4>
      </vt:variant>
    </vt:vector>
  </HeadingPairs>
  <TitlesOfParts>
    <vt:vector size="71" baseType="lpstr">
      <vt:lpstr>Calculadora Conec Enero</vt:lpstr>
      <vt:lpstr>Calculadora Corp Enero</vt:lpstr>
      <vt:lpstr>Calculadora </vt:lpstr>
      <vt:lpstr>Calculadora Conec Diciembre</vt:lpstr>
      <vt:lpstr>Calculadora Corp Diciembre</vt:lpstr>
      <vt:lpstr>Calculadora Cabina Diciembre</vt:lpstr>
      <vt:lpstr>Calculadora Conec Noviembre</vt:lpstr>
      <vt:lpstr>Calculadora Corp Noviembre</vt:lpstr>
      <vt:lpstr>Calculadora Cabina Noviembre</vt:lpstr>
      <vt:lpstr>Calculadora Conec Octubre</vt:lpstr>
      <vt:lpstr>Calculadora Corp Octubre</vt:lpstr>
      <vt:lpstr>Calculadora Cabina Octubre</vt:lpstr>
      <vt:lpstr>Calculadora Conec Septiembre</vt:lpstr>
      <vt:lpstr>Calculadora Corp Septiembre</vt:lpstr>
      <vt:lpstr>Calculadora Cabina Septiembre</vt:lpstr>
      <vt:lpstr>Consolidado Agosto</vt:lpstr>
      <vt:lpstr>Calculadora INC Agosto</vt:lpstr>
      <vt:lpstr>Calculadora MCS Agosto</vt:lpstr>
      <vt:lpstr>Consolidado Julio</vt:lpstr>
      <vt:lpstr>Calculadora INC Julio</vt:lpstr>
      <vt:lpstr>Calculadora MCS Julio</vt:lpstr>
      <vt:lpstr>Consolidado Junio</vt:lpstr>
      <vt:lpstr>Calculadora INC Junio</vt:lpstr>
      <vt:lpstr>Calculadora MCS Junio</vt:lpstr>
      <vt:lpstr>Consolidado Mayo</vt:lpstr>
      <vt:lpstr>Calculadora INC Mayo</vt:lpstr>
      <vt:lpstr>Calculadora MCS Mayo</vt:lpstr>
      <vt:lpstr>Consolidado Abril</vt:lpstr>
      <vt:lpstr>Calculadora INC Abril</vt:lpstr>
      <vt:lpstr>Calculadora MCS Abril</vt:lpstr>
      <vt:lpstr>Consolidado Marzo</vt:lpstr>
      <vt:lpstr>Calculadora INC Marzo</vt:lpstr>
      <vt:lpstr>Calculadora MCS Marzo</vt:lpstr>
      <vt:lpstr>Consolidado Febrero</vt:lpstr>
      <vt:lpstr>Calculadora INC Febrero</vt:lpstr>
      <vt:lpstr>Calculadora MCS Febrero</vt:lpstr>
      <vt:lpstr>Servicios de Cabina INC</vt:lpstr>
      <vt:lpstr>Servicios de Cabina MCS</vt:lpstr>
      <vt:lpstr>Indicadores INC</vt:lpstr>
      <vt:lpstr>Indicadores MCS</vt:lpstr>
      <vt:lpstr>Historico2</vt:lpstr>
      <vt:lpstr>Historico</vt:lpstr>
      <vt:lpstr>'Calculadora '!Descuento_adicional</vt:lpstr>
      <vt:lpstr>'Calculadora Cabina Diciembre'!Descuento_adicional</vt:lpstr>
      <vt:lpstr>'Calculadora Cabina Noviembre'!Descuento_adicional</vt:lpstr>
      <vt:lpstr>'Calculadora Cabina Octubre'!Descuento_adicional</vt:lpstr>
      <vt:lpstr>'Calculadora Cabina Septiembre'!Descuento_adicional</vt:lpstr>
      <vt:lpstr>'Calculadora Conec Diciembre'!Descuento_adicional</vt:lpstr>
      <vt:lpstr>'Calculadora Conec Enero'!Descuento_adicional</vt:lpstr>
      <vt:lpstr>'Calculadora Conec Noviembre'!Descuento_adicional</vt:lpstr>
      <vt:lpstr>'Calculadora Conec Octubre'!Descuento_adicional</vt:lpstr>
      <vt:lpstr>'Calculadora Conec Septiembre'!Descuento_adicional</vt:lpstr>
      <vt:lpstr>'Calculadora Corp Diciembre'!Descuento_adicional</vt:lpstr>
      <vt:lpstr>'Calculadora Corp Enero'!Descuento_adicional</vt:lpstr>
      <vt:lpstr>'Calculadora Corp Noviembre'!Descuento_adicional</vt:lpstr>
      <vt:lpstr>'Calculadora Corp Octubre'!Descuento_adicional</vt:lpstr>
      <vt:lpstr>'Calculadora Corp Septiembre'!Descuento_adicional</vt:lpstr>
      <vt:lpstr>'Calculadora INC Abril'!Descuento_adicional</vt:lpstr>
      <vt:lpstr>'Calculadora INC Agosto'!Descuento_adicional</vt:lpstr>
      <vt:lpstr>'Calculadora INC Julio'!Descuento_adicional</vt:lpstr>
      <vt:lpstr>'Calculadora INC Junio'!Descuento_adicional</vt:lpstr>
      <vt:lpstr>'Calculadora INC Marzo'!Descuento_adicional</vt:lpstr>
      <vt:lpstr>'Calculadora INC Mayo'!Descuento_adicional</vt:lpstr>
      <vt:lpstr>'Calculadora MCS Abril'!Descuento_adicional</vt:lpstr>
      <vt:lpstr>'Calculadora MCS Agosto'!Descuento_adicional</vt:lpstr>
      <vt:lpstr>'Calculadora MCS Febrero'!Descuento_adicional</vt:lpstr>
      <vt:lpstr>'Calculadora MCS Julio'!Descuento_adicional</vt:lpstr>
      <vt:lpstr>'Calculadora MCS Junio'!Descuento_adicional</vt:lpstr>
      <vt:lpstr>'Calculadora MCS Marzo'!Descuento_adicional</vt:lpstr>
      <vt:lpstr>'Calculadora MCS Mayo'!Descuento_adicional</vt:lpstr>
      <vt:lpstr>Descuento_adicional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Vinazco</dc:creator>
  <cp:lastModifiedBy>Laura Vinazco Posada</cp:lastModifiedBy>
  <dcterms:created xsi:type="dcterms:W3CDTF">2024-02-12T05:15:05Z</dcterms:created>
  <dcterms:modified xsi:type="dcterms:W3CDTF">2025-11-13T20:03:32Z</dcterms:modified>
</cp:coreProperties>
</file>