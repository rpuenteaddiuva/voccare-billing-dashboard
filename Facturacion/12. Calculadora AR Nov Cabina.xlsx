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ravinazco/Library/CloudStorage/GoogleDrive-lvinazco@voccare.global/.shortcut-targets-by-id/1f8qGrdtEe0ytiov-w0SbBlnmB-L_dKew/Calculadora - Facturacion Voccare 2024/2025/11. Noviembre/"/>
    </mc:Choice>
  </mc:AlternateContent>
  <xr:revisionPtr revIDLastSave="0" documentId="13_ncr:1_{1DDB2AF9-0637-EC43-B635-D8C3170FA436}" xr6:coauthVersionLast="47" xr6:coauthVersionMax="47" xr10:uidLastSave="{00000000-0000-0000-0000-000000000000}"/>
  <bookViews>
    <workbookView xWindow="1240" yWindow="500" windowWidth="26780" windowHeight="16120" activeTab="1" xr2:uid="{F2D8FFED-9FC6-4018-AFA1-0BCB0D74BF36}"/>
  </bookViews>
  <sheets>
    <sheet name="Calculadora" sheetId="3" r:id="rId1"/>
    <sheet name="Servicios Cabina Addiuva 2025" sheetId="1" r:id="rId2"/>
    <sheet name="Servicios Cabina AON 2025" sheetId="5" state="hidden" r:id="rId3"/>
    <sheet name="Servicios Cabina AON" sheetId="6" r:id="rId4"/>
    <sheet name="Indicadores Addiuva" sheetId="2" r:id="rId5"/>
    <sheet name="Indicadores AON" sheetId="4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110_00_000_000" localSheetId="1">#REF!</definedName>
    <definedName name="_110_00_000_000" localSheetId="3">#REF!</definedName>
    <definedName name="_110_00_000_000" localSheetId="2">#REF!</definedName>
    <definedName name="_110_00_000_000">#REF!</definedName>
    <definedName name="_19______123Graph_BCHART_5" localSheetId="1" hidden="1">#REF!</definedName>
    <definedName name="_19______123Graph_BCHART_5" localSheetId="3" hidden="1">#REF!</definedName>
    <definedName name="_19______123Graph_BCHART_5" localSheetId="2" hidden="1">#REF!</definedName>
    <definedName name="_19______123Graph_BCHART_5" hidden="1">#REF!</definedName>
    <definedName name="_2__123Graph_BCHART_5" localSheetId="1" hidden="1">#REF!</definedName>
    <definedName name="_2__123Graph_BCHART_5" localSheetId="3" hidden="1">#REF!</definedName>
    <definedName name="_2__123Graph_BCHART_5" localSheetId="2" hidden="1">#REF!</definedName>
    <definedName name="_2__123Graph_BCHART_5" hidden="1">#REF!</definedName>
    <definedName name="_38_____123Graph_BCHART_5" hidden="1">#REF!</definedName>
    <definedName name="_57____123Graph_BCHART_5" hidden="1">#REF!</definedName>
    <definedName name="_76___123Graph_BCHART_5" hidden="1">#REF!</definedName>
    <definedName name="_95__123Graph_BCHART_5" hidden="1">#REF!</definedName>
    <definedName name="_Key1" hidden="1">#REF!</definedName>
    <definedName name="_Order1" hidden="1">255</definedName>
    <definedName name="_Sort" localSheetId="1" hidden="1">#REF!</definedName>
    <definedName name="_Sort" localSheetId="3" hidden="1">#REF!</definedName>
    <definedName name="_Sort" localSheetId="2" hidden="1">#REF!</definedName>
    <definedName name="_Sort" hidden="1">#REF!</definedName>
    <definedName name="aaaa" localSheetId="1" hidden="1">#REF!</definedName>
    <definedName name="aaaa" localSheetId="3" hidden="1">#REF!</definedName>
    <definedName name="aaaa" localSheetId="2" hidden="1">#REF!</definedName>
    <definedName name="aaaa" hidden="1">#REF!</definedName>
    <definedName name="act" localSheetId="1">#REF!</definedName>
    <definedName name="act" localSheetId="3">#REF!</definedName>
    <definedName name="act" localSheetId="2">#REF!</definedName>
    <definedName name="act">#REF!</definedName>
    <definedName name="activocirculante">#REF!</definedName>
    <definedName name="activodiferido">#REF!</definedName>
    <definedName name="activofijo">#REF!</definedName>
    <definedName name="adadasgf" hidden="1">#REF!</definedName>
    <definedName name="adf">#REF!</definedName>
    <definedName name="adqadadasdasda" hidden="1">#REF!</definedName>
    <definedName name="Años_préstamo">#REF!</definedName>
    <definedName name="Aº">#REF!</definedName>
    <definedName name="AS2DocOpenMode" hidden="1">"AS2DocumentEdit"</definedName>
    <definedName name="AS2NamedRange" hidden="1">2</definedName>
    <definedName name="ASD" localSheetId="1" hidden="1">{#N/A,#N/A,FALSE,"7) SERVS. X ESP.";#N/A,#N/A,FALSE,"8) DESGLOSE SERVS.";#N/A,#N/A,FALSE,"9) 1A. INTERV.";#N/A,#N/A,FALSE,"10-13) RESUMENES";#N/A,#N/A,FALSE,"14) PROVEEDORES";#N/A,#N/A,FALSE,"15) SERVICIO"}</definedName>
    <definedName name="ASD" localSheetId="3" hidden="1">{#N/A,#N/A,FALSE,"7) SERVS. X ESP.";#N/A,#N/A,FALSE,"8) DESGLOSE SERVS.";#N/A,#N/A,FALSE,"9) 1A. INTERV.";#N/A,#N/A,FALSE,"10-13) RESUMENES";#N/A,#N/A,FALSE,"14) PROVEEDORES";#N/A,#N/A,FALSE,"15) SERVICIO"}</definedName>
    <definedName name="ASD" localSheetId="2" hidden="1">{#N/A,#N/A,FALSE,"7) SERVS. X ESP.";#N/A,#N/A,FALSE,"8) DESGLOSE SERVS.";#N/A,#N/A,FALSE,"9) 1A. INTERV.";#N/A,#N/A,FALSE,"10-13) RESUMENES";#N/A,#N/A,FALSE,"14) PROVEEDORES";#N/A,#N/A,FALSE,"15) SERVICIO"}</definedName>
    <definedName name="ASD" hidden="1">{#N/A,#N/A,FALSE,"7) SERVS. X ESP.";#N/A,#N/A,FALSE,"8) DESGLOSE SERVS.";#N/A,#N/A,FALSE,"9) 1A. INTERV.";#N/A,#N/A,FALSE,"10-13) RESUMENES";#N/A,#N/A,FALSE,"14) PROVEEDORES";#N/A,#N/A,FALSE,"15) SERVICIO"}</definedName>
    <definedName name="ASDF" localSheetId="1" hidden="1">{#N/A,#N/A,FALSE,"7) SERVS. X ESP.";#N/A,#N/A,FALSE,"8) DESGLOSE SERVS.";#N/A,#N/A,FALSE,"9) 1A. INTERV.";#N/A,#N/A,FALSE,"10-13) RESUMENES";#N/A,#N/A,FALSE,"14) PROVEEDORES";#N/A,#N/A,FALSE,"15) SERVICIO"}</definedName>
    <definedName name="ASDF" localSheetId="3" hidden="1">{#N/A,#N/A,FALSE,"7) SERVS. X ESP.";#N/A,#N/A,FALSE,"8) DESGLOSE SERVS.";#N/A,#N/A,FALSE,"9) 1A. INTERV.";#N/A,#N/A,FALSE,"10-13) RESUMENES";#N/A,#N/A,FALSE,"14) PROVEEDORES";#N/A,#N/A,FALSE,"15) SERVICIO"}</definedName>
    <definedName name="ASDF" localSheetId="2" hidden="1">{#N/A,#N/A,FALSE,"7) SERVS. X ESP.";#N/A,#N/A,FALSE,"8) DESGLOSE SERVS.";#N/A,#N/A,FALSE,"9) 1A. INTERV.";#N/A,#N/A,FALSE,"10-13) RESUMENES";#N/A,#N/A,FALSE,"14) PROVEEDORES";#N/A,#N/A,FALSE,"15) SERVICIO"}</definedName>
    <definedName name="ASDF" hidden="1">{#N/A,#N/A,FALSE,"7) SERVS. X ESP.";#N/A,#N/A,FALSE,"8) DESGLOSE SERVS.";#N/A,#N/A,FALSE,"9) 1A. INTERV.";#N/A,#N/A,FALSE,"10-13) RESUMENES";#N/A,#N/A,FALSE,"14) PROVEEDORES";#N/A,#N/A,FALSE,"15) SERVICIO"}</definedName>
    <definedName name="asdfasd" localSheetId="1" hidden="1">{#N/A,#N/A,FALSE,"7) SERVS. X ESP.";#N/A,#N/A,FALSE,"8) DESGLOSE SERVS.";#N/A,#N/A,FALSE,"9) 1A. INTERV.";#N/A,#N/A,FALSE,"10-13) RESUMENES";#N/A,#N/A,FALSE,"14) PROVEEDORES";#N/A,#N/A,FALSE,"15) SERVICIO"}</definedName>
    <definedName name="asdfasd" localSheetId="3" hidden="1">{#N/A,#N/A,FALSE,"7) SERVS. X ESP.";#N/A,#N/A,FALSE,"8) DESGLOSE SERVS.";#N/A,#N/A,FALSE,"9) 1A. INTERV.";#N/A,#N/A,FALSE,"10-13) RESUMENES";#N/A,#N/A,FALSE,"14) PROVEEDORES";#N/A,#N/A,FALSE,"15) SERVICIO"}</definedName>
    <definedName name="asdfasd" localSheetId="2" hidden="1">{#N/A,#N/A,FALSE,"7) SERVS. X ESP.";#N/A,#N/A,FALSE,"8) DESGLOSE SERVS.";#N/A,#N/A,FALSE,"9) 1A. INTERV.";#N/A,#N/A,FALSE,"10-13) RESUMENES";#N/A,#N/A,FALSE,"14) PROVEEDORES";#N/A,#N/A,FALSE,"15) SERVICIO"}</definedName>
    <definedName name="asdfasd" hidden="1">{#N/A,#N/A,FALSE,"7) SERVS. X ESP.";#N/A,#N/A,FALSE,"8) DESGLOSE SERVS.";#N/A,#N/A,FALSE,"9) 1A. INTERV.";#N/A,#N/A,FALSE,"10-13) RESUMENES";#N/A,#N/A,FALSE,"14) PROVEEDORES";#N/A,#N/A,FALSE,"15) SERVICIO"}</definedName>
    <definedName name="asdfghjk" localSheetId="1" hidden="1">#REF!</definedName>
    <definedName name="asdfghjk" localSheetId="3" hidden="1">#REF!</definedName>
    <definedName name="asdfghjk" localSheetId="2" hidden="1">#REF!</definedName>
    <definedName name="asdfghjk" hidden="1">#REF!</definedName>
    <definedName name="ASSSSSSSSS" localSheetId="1">#REF!</definedName>
    <definedName name="ASSSSSSSSS" localSheetId="3">#REF!</definedName>
    <definedName name="ASSSSSSSSS" localSheetId="2">#REF!</definedName>
    <definedName name="ASSSSSSSSS">#REF!</definedName>
    <definedName name="Balance" localSheetId="1">#REF!</definedName>
    <definedName name="Balance" localSheetId="3">#REF!</definedName>
    <definedName name="Balance" localSheetId="2">#REF!</definedName>
    <definedName name="Balance">#REF!</definedName>
    <definedName name="BALANZA">#REF!</definedName>
    <definedName name="bb">#REF!</definedName>
    <definedName name="BCVB">#REF!</definedName>
    <definedName name="Caja_chica_Administracion">#REF!</definedName>
    <definedName name="CALCULAR">#REF!</definedName>
    <definedName name="capital">#REF!</definedName>
    <definedName name="cbvnbvnbvn" hidden="1">#REF!</definedName>
    <definedName name="CCC">#REF!</definedName>
    <definedName name="CUEN">#REF!</definedName>
    <definedName name="dadadadads" hidden="1">#REF!</definedName>
    <definedName name="dasdasdasffff" hidden="1">#REF!</definedName>
    <definedName name="Datos">#REF!</definedName>
    <definedName name="dd" localSheetId="1" hidden="1">{#N/A,#N/A,FALSE,"7) SERVS. X ESP.";#N/A,#N/A,FALSE,"8) DESGLOSE SERVS.";#N/A,#N/A,FALSE,"9) 1A. INTERV.";#N/A,#N/A,FALSE,"10-13) RESUMENES";#N/A,#N/A,FALSE,"14) PROVEEDORES";#N/A,#N/A,FALSE,"15) SERVICIO"}</definedName>
    <definedName name="dd" localSheetId="3" hidden="1">{#N/A,#N/A,FALSE,"7) SERVS. X ESP.";#N/A,#N/A,FALSE,"8) DESGLOSE SERVS.";#N/A,#N/A,FALSE,"9) 1A. INTERV.";#N/A,#N/A,FALSE,"10-13) RESUMENES";#N/A,#N/A,FALSE,"14) PROVEEDORES";#N/A,#N/A,FALSE,"15) SERVICIO"}</definedName>
    <definedName name="dd" localSheetId="2" hidden="1">{#N/A,#N/A,FALSE,"7) SERVS. X ESP.";#N/A,#N/A,FALSE,"8) DESGLOSE SERVS.";#N/A,#N/A,FALSE,"9) 1A. INTERV.";#N/A,#N/A,FALSE,"10-13) RESUMENES";#N/A,#N/A,FALSE,"14) PROVEEDORES";#N/A,#N/A,FALSE,"15) SERVICIO"}</definedName>
    <definedName name="dd" hidden="1">{#N/A,#N/A,FALSE,"7) SERVS. X ESP.";#N/A,#N/A,FALSE,"8) DESGLOSE SERVS.";#N/A,#N/A,FALSE,"9) 1A. INTERV.";#N/A,#N/A,FALSE,"10-13) RESUMENES";#N/A,#N/A,FALSE,"14) PROVEEDORES";#N/A,#N/A,FALSE,"15) SERVICIO"}</definedName>
    <definedName name="Día_de_pago" localSheetId="1">DATE(YEAR([0]!Inicio_prestamo),MONTH([0]!Inicio_prestamo)+Payment_Number,DAY([0]!Inicio_prestamo))</definedName>
    <definedName name="Día_de_pago" localSheetId="3">DATE(YEAR([0]!Inicio_prestamo),MONTH([0]!Inicio_prestamo)+Payment_Number,DAY([0]!Inicio_prestamo))</definedName>
    <definedName name="Día_de_pago" localSheetId="2">DATE(YEAR([0]!Inicio_prestamo),MONTH([0]!Inicio_prestamo)+Payment_Number,DAY([0]!Inicio_prestamo))</definedName>
    <definedName name="Día_de_pago">DATE(YEAR(Inicio_prestamo),MONTH(Inicio_prestamo)+Payment_Number,DAY(Inicio_prestamo))</definedName>
    <definedName name="E" localSheetId="1">#REF!</definedName>
    <definedName name="E" localSheetId="3">#REF!</definedName>
    <definedName name="E" localSheetId="2">#REF!</definedName>
    <definedName name="E">#REF!</definedName>
    <definedName name="EST" localSheetId="1">#REF!</definedName>
    <definedName name="EST" localSheetId="3">#REF!</definedName>
    <definedName name="EST" localSheetId="2">#REF!</definedName>
    <definedName name="EST">#REF!</definedName>
    <definedName name="EXTRA" localSheetId="1" hidden="1">{#N/A,#N/A,FALSE,"7) SERVS. X ESP.";#N/A,#N/A,FALSE,"8) DESGLOSE SERVS.";#N/A,#N/A,FALSE,"9) 1A. INTERV.";#N/A,#N/A,FALSE,"10-13) RESUMENES";#N/A,#N/A,FALSE,"14) PROVEEDORES";#N/A,#N/A,FALSE,"15) SERVICIO"}</definedName>
    <definedName name="EXTRA" localSheetId="3" hidden="1">{#N/A,#N/A,FALSE,"7) SERVS. X ESP.";#N/A,#N/A,FALSE,"8) DESGLOSE SERVS.";#N/A,#N/A,FALSE,"9) 1A. INTERV.";#N/A,#N/A,FALSE,"10-13) RESUMENES";#N/A,#N/A,FALSE,"14) PROVEEDORES";#N/A,#N/A,FALSE,"15) SERVICIO"}</definedName>
    <definedName name="EXTRA" localSheetId="2" hidden="1">{#N/A,#N/A,FALSE,"7) SERVS. X ESP.";#N/A,#N/A,FALSE,"8) DESGLOSE SERVS.";#N/A,#N/A,FALSE,"9) 1A. INTERV.";#N/A,#N/A,FALSE,"10-13) RESUMENES";#N/A,#N/A,FALSE,"14) PROVEEDORES";#N/A,#N/A,FALSE,"15) SERVICIO"}</definedName>
    <definedName name="EXTRA" hidden="1">{#N/A,#N/A,FALSE,"7) SERVS. X ESP.";#N/A,#N/A,FALSE,"8) DESGLOSE SERVS.";#N/A,#N/A,FALSE,"9) 1A. INTERV.";#N/A,#N/A,FALSE,"10-13) RESUMENES";#N/A,#N/A,FALSE,"14) PROVEEDORES";#N/A,#N/A,FALSE,"15) SERVICIO"}</definedName>
    <definedName name="extra1" localSheetId="1" hidden="1">{#N/A,#N/A,FALSE,"7) SERVS. X ESP.";#N/A,#N/A,FALSE,"8) DESGLOSE SERVS.";#N/A,#N/A,FALSE,"9) 1A. INTERV.";#N/A,#N/A,FALSE,"10-13) RESUMENES";#N/A,#N/A,FALSE,"14) PROVEEDORES";#N/A,#N/A,FALSE,"15) SERVICIO"}</definedName>
    <definedName name="extra1" localSheetId="3" hidden="1">{#N/A,#N/A,FALSE,"7) SERVS. X ESP.";#N/A,#N/A,FALSE,"8) DESGLOSE SERVS.";#N/A,#N/A,FALSE,"9) 1A. INTERV.";#N/A,#N/A,FALSE,"10-13) RESUMENES";#N/A,#N/A,FALSE,"14) PROVEEDORES";#N/A,#N/A,FALSE,"15) SERVICIO"}</definedName>
    <definedName name="extra1" localSheetId="2" hidden="1">{#N/A,#N/A,FALSE,"7) SERVS. X ESP.";#N/A,#N/A,FALSE,"8) DESGLOSE SERVS.";#N/A,#N/A,FALSE,"9) 1A. INTERV.";#N/A,#N/A,FALSE,"10-13) RESUMENES";#N/A,#N/A,FALSE,"14) PROVEEDORES";#N/A,#N/A,FALSE,"15) SERVICIO"}</definedName>
    <definedName name="extra1" hidden="1">{#N/A,#N/A,FALSE,"7) SERVS. X ESP.";#N/A,#N/A,FALSE,"8) DESGLOSE SERVS.";#N/A,#N/A,FALSE,"9) 1A. INTERV.";#N/A,#N/A,FALSE,"10-13) RESUMENES";#N/A,#N/A,FALSE,"14) PROVEEDORES";#N/A,#N/A,FALSE,"15) SERVICIO"}</definedName>
    <definedName name="fci" localSheetId="1">#REF!</definedName>
    <definedName name="fci" localSheetId="3">#REF!</definedName>
    <definedName name="fci" localSheetId="2">#REF!</definedName>
    <definedName name="fci">#REF!</definedName>
    <definedName name="Fecha_de_pago" localSheetId="1">#REF!</definedName>
    <definedName name="Fecha_de_pago" localSheetId="3">#REF!</definedName>
    <definedName name="Fecha_de_pago" localSheetId="2">#REF!</definedName>
    <definedName name="Fecha_de_pago">#REF!</definedName>
    <definedName name="fechas2" localSheetId="1">#REF!</definedName>
    <definedName name="fechas2" localSheetId="3">#REF!</definedName>
    <definedName name="fechas2" localSheetId="2">#REF!</definedName>
    <definedName name="fechas2">#REF!</definedName>
    <definedName name="Fila_de_encabezado">ROW(#REF!)</definedName>
    <definedName name="FSDFSDAFSD" hidden="1">#REF!</definedName>
    <definedName name="g" hidden="1">#REF!</definedName>
    <definedName name="hhhrthy" localSheetId="1" hidden="1">{#N/A,#N/A,FALSE,"Aging Summary";#N/A,#N/A,FALSE,"Ratio Analysis";#N/A,#N/A,FALSE,"Test 120 Day Accts";#N/A,#N/A,FALSE,"Tickmarks"}</definedName>
    <definedName name="hhhrthy" localSheetId="3" hidden="1">{#N/A,#N/A,FALSE,"Aging Summary";#N/A,#N/A,FALSE,"Ratio Analysis";#N/A,#N/A,FALSE,"Test 120 Day Accts";#N/A,#N/A,FALSE,"Tickmarks"}</definedName>
    <definedName name="hhhrthy" localSheetId="2" hidden="1">{#N/A,#N/A,FALSE,"Aging Summary";#N/A,#N/A,FALSE,"Ratio Analysis";#N/A,#N/A,FALSE,"Test 120 Day Accts";#N/A,#N/A,FALSE,"Tickmarks"}</definedName>
    <definedName name="hhhrthy" hidden="1">{#N/A,#N/A,FALSE,"Aging Summary";#N/A,#N/A,FALSE,"Ratio Analysis";#N/A,#N/A,FALSE,"Test 120 Day Accts";#N/A,#N/A,FALSE,"Tickmarks"}</definedName>
    <definedName name="hkhlkl" localSheetId="1">#REF!</definedName>
    <definedName name="hkhlkl" localSheetId="3">#REF!</definedName>
    <definedName name="hkhlkl" localSheetId="2">#REF!</definedName>
    <definedName name="hkhlkl">#REF!</definedName>
    <definedName name="Importe">'[1]Propuesta 2'!$C1*'[1]Propuesta 2'!$E1-IF('[1]Propuesta 2'!$C1*'[1]Propuesta 2'!$E1&gt;ImporteParaElDescuento,1,0)*'[1]Propuesta 2'!$C1*'[1]Propuesta 2'!$E1*PorcentajeDeDescuento</definedName>
    <definedName name="Importe_del_préstamo" localSheetId="1">#REF!</definedName>
    <definedName name="Importe_del_préstamo" localSheetId="3">#REF!</definedName>
    <definedName name="Importe_del_préstamo" localSheetId="2">#REF!</definedName>
    <definedName name="Importe_del_préstamo">#REF!</definedName>
    <definedName name="ImporteParaElDescuento">'[1]Propuesta 2'!#REF!</definedName>
    <definedName name="Impresión_completa" localSheetId="1">#REF!</definedName>
    <definedName name="Impresión_completa" localSheetId="3">#REF!</definedName>
    <definedName name="Impresión_completa" localSheetId="2">#REF!</definedName>
    <definedName name="Impresión_completa">#REF!</definedName>
    <definedName name="Inicio_prestamo">#REF!</definedName>
    <definedName name="Int">#REF!</definedName>
    <definedName name="Int_acum">#REF!</definedName>
    <definedName name="Interés_total">#REF!</definedName>
    <definedName name="j">#REF!</definedName>
    <definedName name="jdjdjdjdjjd" hidden="1">#REF!</definedName>
    <definedName name="jess">#REF!</definedName>
    <definedName name="jfjdjjdjdjd" hidden="1">#REF!</definedName>
    <definedName name="jkgh" hidden="1">#REF!</definedName>
    <definedName name="k" hidden="1">#REF!</definedName>
    <definedName name="kkkkkk" localSheetId="1" hidden="1">{#N/A,#N/A,FALSE,"7) SERVS. X ESP.";#N/A,#N/A,FALSE,"8) DESGLOSE SERVS.";#N/A,#N/A,FALSE,"9) 1A. INTERV.";#N/A,#N/A,FALSE,"10-13) RESUMENES";#N/A,#N/A,FALSE,"14) PROVEEDORES";#N/A,#N/A,FALSE,"15) SERVICIO"}</definedName>
    <definedName name="kkkkkk" localSheetId="3" hidden="1">{#N/A,#N/A,FALSE,"7) SERVS. X ESP.";#N/A,#N/A,FALSE,"8) DESGLOSE SERVS.";#N/A,#N/A,FALSE,"9) 1A. INTERV.";#N/A,#N/A,FALSE,"10-13) RESUMENES";#N/A,#N/A,FALSE,"14) PROVEEDORES";#N/A,#N/A,FALSE,"15) SERVICIO"}</definedName>
    <definedName name="kkkkkk" localSheetId="2" hidden="1">{#N/A,#N/A,FALSE,"7) SERVS. X ESP.";#N/A,#N/A,FALSE,"8) DESGLOSE SERVS.";#N/A,#N/A,FALSE,"9) 1A. INTERV.";#N/A,#N/A,FALSE,"10-13) RESUMENES";#N/A,#N/A,FALSE,"14) PROVEEDORES";#N/A,#N/A,FALSE,"15) SERVICIO"}</definedName>
    <definedName name="kkkkkk" hidden="1">{#N/A,#N/A,FALSE,"7) SERVS. X ESP.";#N/A,#N/A,FALSE,"8) DESGLOSE SERVS.";#N/A,#N/A,FALSE,"9) 1A. INTERV.";#N/A,#N/A,FALSE,"10-13) RESUMENES";#N/A,#N/A,FALSE,"14) PROVEEDORES";#N/A,#N/A,FALSE,"15) SERVICIO"}</definedName>
    <definedName name="lkkjjjh" localSheetId="1" hidden="1">#REF!</definedName>
    <definedName name="lkkjjjh" localSheetId="3" hidden="1">#REF!</definedName>
    <definedName name="lkkjjjh" localSheetId="2" hidden="1">#REF!</definedName>
    <definedName name="lkkjjjh" hidden="1">#REF!</definedName>
    <definedName name="lTipoMov" localSheetId="1">#REF!</definedName>
    <definedName name="lTipoMov" localSheetId="3">#REF!</definedName>
    <definedName name="lTipoMov" localSheetId="2">#REF!</definedName>
    <definedName name="lTipoMov">#REF!</definedName>
    <definedName name="M" localSheetId="1" hidden="1">{#N/A,#N/A,FALSE,"7) SERVS. X ESP.";#N/A,#N/A,FALSE,"8) DESGLOSE SERVS.";#N/A,#N/A,FALSE,"9) 1A. INTERV.";#N/A,#N/A,FALSE,"10-13) RESUMENES";#N/A,#N/A,FALSE,"14) PROVEEDORES";#N/A,#N/A,FALSE,"15) SERVICIO"}</definedName>
    <definedName name="M" localSheetId="3" hidden="1">{#N/A,#N/A,FALSE,"7) SERVS. X ESP.";#N/A,#N/A,FALSE,"8) DESGLOSE SERVS.";#N/A,#N/A,FALSE,"9) 1A. INTERV.";#N/A,#N/A,FALSE,"10-13) RESUMENES";#N/A,#N/A,FALSE,"14) PROVEEDORES";#N/A,#N/A,FALSE,"15) SERVICIO"}</definedName>
    <definedName name="M" localSheetId="2" hidden="1">{#N/A,#N/A,FALSE,"7) SERVS. X ESP.";#N/A,#N/A,FALSE,"8) DESGLOSE SERVS.";#N/A,#N/A,FALSE,"9) 1A. INTERV.";#N/A,#N/A,FALSE,"10-13) RESUMENES";#N/A,#N/A,FALSE,"14) PROVEEDORES";#N/A,#N/A,FALSE,"15) SERVICIO"}</definedName>
    <definedName name="M" hidden="1">{#N/A,#N/A,FALSE,"7) SERVS. X ESP.";#N/A,#N/A,FALSE,"8) DESGLOSE SERVS.";#N/A,#N/A,FALSE,"9) 1A. INTERV.";#N/A,#N/A,FALSE,"10-13) RESUMENES";#N/A,#N/A,FALSE,"14) PROVEEDORES";#N/A,#N/A,FALSE,"15) SERVICIO"}</definedName>
    <definedName name="mmmm" localSheetId="1" hidden="1">{#N/A,#N/A,FALSE,"7) SERVS. X ESP.";#N/A,#N/A,FALSE,"8) DESGLOSE SERVS.";#N/A,#N/A,FALSE,"9) 1A. INTERV.";#N/A,#N/A,FALSE,"10-13) RESUMENES";#N/A,#N/A,FALSE,"14) PROVEEDORES";#N/A,#N/A,FALSE,"15) SERVICIO"}</definedName>
    <definedName name="mmmm" localSheetId="3" hidden="1">{#N/A,#N/A,FALSE,"7) SERVS. X ESP.";#N/A,#N/A,FALSE,"8) DESGLOSE SERVS.";#N/A,#N/A,FALSE,"9) 1A. INTERV.";#N/A,#N/A,FALSE,"10-13) RESUMENES";#N/A,#N/A,FALSE,"14) PROVEEDORES";#N/A,#N/A,FALSE,"15) SERVICIO"}</definedName>
    <definedName name="mmmm" localSheetId="2" hidden="1">{#N/A,#N/A,FALSE,"7) SERVS. X ESP.";#N/A,#N/A,FALSE,"8) DESGLOSE SERVS.";#N/A,#N/A,FALSE,"9) 1A. INTERV.";#N/A,#N/A,FALSE,"10-13) RESUMENES";#N/A,#N/A,FALSE,"14) PROVEEDORES";#N/A,#N/A,FALSE,"15) SERVICIO"}</definedName>
    <definedName name="mmmm" hidden="1">{#N/A,#N/A,FALSE,"7) SERVS. X ESP.";#N/A,#N/A,FALSE,"8) DESGLOSE SERVS.";#N/A,#N/A,FALSE,"9) 1A. INTERV.";#N/A,#N/A,FALSE,"10-13) RESUMENES";#N/A,#N/A,FALSE,"14) PROVEEDORES";#N/A,#N/A,FALSE,"15) SERVICIO"}</definedName>
    <definedName name="mmmmm" localSheetId="1" hidden="1">{#N/A,#N/A,FALSE,"7) SERVS. X ESP.";#N/A,#N/A,FALSE,"8) DESGLOSE SERVS.";#N/A,#N/A,FALSE,"9) 1A. INTERV.";#N/A,#N/A,FALSE,"10-13) RESUMENES";#N/A,#N/A,FALSE,"14) PROVEEDORES";#N/A,#N/A,FALSE,"15) SERVICIO"}</definedName>
    <definedName name="mmmmm" localSheetId="3" hidden="1">{#N/A,#N/A,FALSE,"7) SERVS. X ESP.";#N/A,#N/A,FALSE,"8) DESGLOSE SERVS.";#N/A,#N/A,FALSE,"9) 1A. INTERV.";#N/A,#N/A,FALSE,"10-13) RESUMENES";#N/A,#N/A,FALSE,"14) PROVEEDORES";#N/A,#N/A,FALSE,"15) SERVICIO"}</definedName>
    <definedName name="mmmmm" localSheetId="2" hidden="1">{#N/A,#N/A,FALSE,"7) SERVS. X ESP.";#N/A,#N/A,FALSE,"8) DESGLOSE SERVS.";#N/A,#N/A,FALSE,"9) 1A. INTERV.";#N/A,#N/A,FALSE,"10-13) RESUMENES";#N/A,#N/A,FALSE,"14) PROVEEDORES";#N/A,#N/A,FALSE,"15) SERVICIO"}</definedName>
    <definedName name="mmmmm" hidden="1">{#N/A,#N/A,FALSE,"7) SERVS. X ESP.";#N/A,#N/A,FALSE,"8) DESGLOSE SERVS.";#N/A,#N/A,FALSE,"9) 1A. INTERV.";#N/A,#N/A,FALSE,"10-13) RESUMENES";#N/A,#N/A,FALSE,"14) PROVEEDORES";#N/A,#N/A,FALSE,"15) SERVICIO"}</definedName>
    <definedName name="n" localSheetId="1" hidden="1">#REF!</definedName>
    <definedName name="n" localSheetId="3" hidden="1">#REF!</definedName>
    <definedName name="n" localSheetId="2" hidden="1">#REF!</definedName>
    <definedName name="n" hidden="1">#REF!</definedName>
    <definedName name="nicaragua" localSheetId="1" hidden="1">{#N/A,#N/A,FALSE,"7) SERVS. X ESP.";#N/A,#N/A,FALSE,"8) DESGLOSE SERVS.";#N/A,#N/A,FALSE,"9) 1A. INTERV.";#N/A,#N/A,FALSE,"10-13) RESUMENES";#N/A,#N/A,FALSE,"14) PROVEEDORES";#N/A,#N/A,FALSE,"15) SERVICIO"}</definedName>
    <definedName name="nicaragua" localSheetId="3" hidden="1">{#N/A,#N/A,FALSE,"7) SERVS. X ESP.";#N/A,#N/A,FALSE,"8) DESGLOSE SERVS.";#N/A,#N/A,FALSE,"9) 1A. INTERV.";#N/A,#N/A,FALSE,"10-13) RESUMENES";#N/A,#N/A,FALSE,"14) PROVEEDORES";#N/A,#N/A,FALSE,"15) SERVICIO"}</definedName>
    <definedName name="nicaragua" localSheetId="2" hidden="1">{#N/A,#N/A,FALSE,"7) SERVS. X ESP.";#N/A,#N/A,FALSE,"8) DESGLOSE SERVS.";#N/A,#N/A,FALSE,"9) 1A. INTERV.";#N/A,#N/A,FALSE,"10-13) RESUMENES";#N/A,#N/A,FALSE,"14) PROVEEDORES";#N/A,#N/A,FALSE,"15) SERVICIO"}</definedName>
    <definedName name="nicaragua" hidden="1">{#N/A,#N/A,FALSE,"7) SERVS. X ESP.";#N/A,#N/A,FALSE,"8) DESGLOSE SERVS.";#N/A,#N/A,FALSE,"9) 1A. INTERV.";#N/A,#N/A,FALSE,"10-13) RESUMENES";#N/A,#N/A,FALSE,"14) PROVEEDORES";#N/A,#N/A,FALSE,"15) SERVICIO"}</definedName>
    <definedName name="NNN" localSheetId="1" hidden="1">{#N/A,#N/A,FALSE,"Aging Summary";#N/A,#N/A,FALSE,"Ratio Analysis";#N/A,#N/A,FALSE,"Test 120 Day Accts";#N/A,#N/A,FALSE,"Tickmarks"}</definedName>
    <definedName name="NNN" localSheetId="3" hidden="1">{#N/A,#N/A,FALSE,"Aging Summary";#N/A,#N/A,FALSE,"Ratio Analysis";#N/A,#N/A,FALSE,"Test 120 Day Accts";#N/A,#N/A,FALSE,"Tickmarks"}</definedName>
    <definedName name="NNN" localSheetId="2" hidden="1">{#N/A,#N/A,FALSE,"Aging Summary";#N/A,#N/A,FALSE,"Ratio Analysis";#N/A,#N/A,FALSE,"Test 120 Day Accts";#N/A,#N/A,FALSE,"Tickmarks"}</definedName>
    <definedName name="NNN" hidden="1">{#N/A,#N/A,FALSE,"Aging Summary";#N/A,#N/A,FALSE,"Ratio Analysis";#N/A,#N/A,FALSE,"Test 120 Day Accts";#N/A,#N/A,FALSE,"Tickmarks"}</definedName>
    <definedName name="NNN_1" localSheetId="1" hidden="1">{#N/A,#N/A,FALSE,"Aging Summary";#N/A,#N/A,FALSE,"Ratio Analysis";#N/A,#N/A,FALSE,"Test 120 Day Accts";#N/A,#N/A,FALSE,"Tickmarks"}</definedName>
    <definedName name="NNN_1" localSheetId="3" hidden="1">{#N/A,#N/A,FALSE,"Aging Summary";#N/A,#N/A,FALSE,"Ratio Analysis";#N/A,#N/A,FALSE,"Test 120 Day Accts";#N/A,#N/A,FALSE,"Tickmarks"}</definedName>
    <definedName name="NNN_1" localSheetId="2" hidden="1">{#N/A,#N/A,FALSE,"Aging Summary";#N/A,#N/A,FALSE,"Ratio Analysis";#N/A,#N/A,FALSE,"Test 120 Day Accts";#N/A,#N/A,FALSE,"Tickmarks"}</definedName>
    <definedName name="NNN_1" hidden="1">{#N/A,#N/A,FALSE,"Aging Summary";#N/A,#N/A,FALSE,"Ratio Analysis";#N/A,#N/A,FALSE,"Test 120 Day Accts";#N/A,#N/A,FALSE,"Tickmarks"}</definedName>
    <definedName name="NNNNNNNNNNN" localSheetId="1" hidden="1">{#N/A,#N/A,FALSE,"7) SERVS. X ESP.";#N/A,#N/A,FALSE,"8) DESGLOSE SERVS.";#N/A,#N/A,FALSE,"9) 1A. INTERV.";#N/A,#N/A,FALSE,"10-13) RESUMENES";#N/A,#N/A,FALSE,"14) PROVEEDORES";#N/A,#N/A,FALSE,"15) SERVICIO"}</definedName>
    <definedName name="NNNNNNNNNNN" localSheetId="3" hidden="1">{#N/A,#N/A,FALSE,"7) SERVS. X ESP.";#N/A,#N/A,FALSE,"8) DESGLOSE SERVS.";#N/A,#N/A,FALSE,"9) 1A. INTERV.";#N/A,#N/A,FALSE,"10-13) RESUMENES";#N/A,#N/A,FALSE,"14) PROVEEDORES";#N/A,#N/A,FALSE,"15) SERVICIO"}</definedName>
    <definedName name="NNNNNNNNNNN" localSheetId="2" hidden="1">{#N/A,#N/A,FALSE,"7) SERVS. X ESP.";#N/A,#N/A,FALSE,"8) DESGLOSE SERVS.";#N/A,#N/A,FALSE,"9) 1A. INTERV.";#N/A,#N/A,FALSE,"10-13) RESUMENES";#N/A,#N/A,FALSE,"14) PROVEEDORES";#N/A,#N/A,FALSE,"15) SERVICIO"}</definedName>
    <definedName name="NNNNNNNNNNN" hidden="1">{#N/A,#N/A,FALSE,"7) SERVS. X ESP.";#N/A,#N/A,FALSE,"8) DESGLOSE SERVS.";#N/A,#N/A,FALSE,"9) 1A. INTERV.";#N/A,#N/A,FALSE,"10-13) RESUMENES";#N/A,#N/A,FALSE,"14) PROVEEDORES";#N/A,#N/A,FALSE,"15) SERVICIO"}</definedName>
    <definedName name="Núm_de_pago" localSheetId="1">#REF!</definedName>
    <definedName name="Núm_de_pago" localSheetId="3">#REF!</definedName>
    <definedName name="Núm_de_pago" localSheetId="2">#REF!</definedName>
    <definedName name="Núm_de_pago">#REF!</definedName>
    <definedName name="Núm_pagos_al_año" localSheetId="1">#REF!</definedName>
    <definedName name="Núm_pagos_al_año" localSheetId="3">#REF!</definedName>
    <definedName name="Núm_pagos_al_año" localSheetId="2">#REF!</definedName>
    <definedName name="Núm_pagos_al_año">#REF!</definedName>
    <definedName name="Número_de_pagos" localSheetId="1">MATCH(0.01,'Servicios Cabina Addiuva 2025'!Saldo_final,-1)+1</definedName>
    <definedName name="Número_de_pagos" localSheetId="3">MATCH(0.01,'Servicios Cabina AON'!Saldo_final,-1)+1</definedName>
    <definedName name="Número_de_pagos" localSheetId="2">MATCH(0.01,'Servicios Cabina AON 2025'!Saldo_final,-1)+1</definedName>
    <definedName name="Número_de_pagos">MATCH(0.01,Saldo_final,-1)+1</definedName>
    <definedName name="O" localSheetId="1" hidden="1">{#N/A,#N/A,FALSE,"7) SERVS. X ESP.";#N/A,#N/A,FALSE,"8) DESGLOSE SERVS.";#N/A,#N/A,FALSE,"9) 1A. INTERV.";#N/A,#N/A,FALSE,"10-13) RESUMENES";#N/A,#N/A,FALSE,"14) PROVEEDORES";#N/A,#N/A,FALSE,"15) SERVICIO"}</definedName>
    <definedName name="O" localSheetId="3" hidden="1">{#N/A,#N/A,FALSE,"7) SERVS. X ESP.";#N/A,#N/A,FALSE,"8) DESGLOSE SERVS.";#N/A,#N/A,FALSE,"9) 1A. INTERV.";#N/A,#N/A,FALSE,"10-13) RESUMENES";#N/A,#N/A,FALSE,"14) PROVEEDORES";#N/A,#N/A,FALSE,"15) SERVICIO"}</definedName>
    <definedName name="O" localSheetId="2" hidden="1">{#N/A,#N/A,FALSE,"7) SERVS. X ESP.";#N/A,#N/A,FALSE,"8) DESGLOSE SERVS.";#N/A,#N/A,FALSE,"9) 1A. INTERV.";#N/A,#N/A,FALSE,"10-13) RESUMENES";#N/A,#N/A,FALSE,"14) PROVEEDORES";#N/A,#N/A,FALSE,"15) SERVICIO"}</definedName>
    <definedName name="O" hidden="1">{#N/A,#N/A,FALSE,"7) SERVS. X ESP.";#N/A,#N/A,FALSE,"8) DESGLOSE SERVS.";#N/A,#N/A,FALSE,"9) 1A. INTERV.";#N/A,#N/A,FALSE,"10-13) RESUMENES";#N/A,#N/A,FALSE,"14) PROVEEDORES";#N/A,#N/A,FALSE,"15) SERVICIO"}</definedName>
    <definedName name="otro1" localSheetId="1" hidden="1">{#N/A,#N/A,FALSE,"Aging Summary";#N/A,#N/A,FALSE,"Ratio Analysis";#N/A,#N/A,FALSE,"Test 120 Day Accts";#N/A,#N/A,FALSE,"Tickmarks"}</definedName>
    <definedName name="otro1" localSheetId="3" hidden="1">{#N/A,#N/A,FALSE,"Aging Summary";#N/A,#N/A,FALSE,"Ratio Analysis";#N/A,#N/A,FALSE,"Test 120 Day Accts";#N/A,#N/A,FALSE,"Tickmarks"}</definedName>
    <definedName name="otro1" localSheetId="2" hidden="1">{#N/A,#N/A,FALSE,"Aging Summary";#N/A,#N/A,FALSE,"Ratio Analysis";#N/A,#N/A,FALSE,"Test 120 Day Accts";#N/A,#N/A,FALSE,"Tickmarks"}</definedName>
    <definedName name="otro1" hidden="1">{#N/A,#N/A,FALSE,"Aging Summary";#N/A,#N/A,FALSE,"Ratio Analysis";#N/A,#N/A,FALSE,"Test 120 Day Accts";#N/A,#N/A,FALSE,"Tickmarks"}</definedName>
    <definedName name="otros" localSheetId="1" hidden="1">{#N/A,#N/A,FALSE,"Aging Summary";#N/A,#N/A,FALSE,"Ratio Analysis";#N/A,#N/A,FALSE,"Test 120 Day Accts";#N/A,#N/A,FALSE,"Tickmarks"}</definedName>
    <definedName name="otros" localSheetId="3" hidden="1">{#N/A,#N/A,FALSE,"Aging Summary";#N/A,#N/A,FALSE,"Ratio Analysis";#N/A,#N/A,FALSE,"Test 120 Day Accts";#N/A,#N/A,FALSE,"Tickmarks"}</definedName>
    <definedName name="otros" localSheetId="2" hidden="1">{#N/A,#N/A,FALSE,"Aging Summary";#N/A,#N/A,FALSE,"Ratio Analysis";#N/A,#N/A,FALSE,"Test 120 Day Accts";#N/A,#N/A,FALSE,"Tickmarks"}</definedName>
    <definedName name="otros" hidden="1">{#N/A,#N/A,FALSE,"Aging Summary";#N/A,#N/A,FALSE,"Ratio Analysis";#N/A,#N/A,FALSE,"Test 120 Day Accts";#N/A,#N/A,FALSE,"Tickmarks"}</definedName>
    <definedName name="otros_1" localSheetId="1" hidden="1">{#N/A,#N/A,FALSE,"Aging Summary";#N/A,#N/A,FALSE,"Ratio Analysis";#N/A,#N/A,FALSE,"Test 120 Day Accts";#N/A,#N/A,FALSE,"Tickmarks"}</definedName>
    <definedName name="otros_1" localSheetId="3" hidden="1">{#N/A,#N/A,FALSE,"Aging Summary";#N/A,#N/A,FALSE,"Ratio Analysis";#N/A,#N/A,FALSE,"Test 120 Day Accts";#N/A,#N/A,FALSE,"Tickmarks"}</definedName>
    <definedName name="otros_1" localSheetId="2" hidden="1">{#N/A,#N/A,FALSE,"Aging Summary";#N/A,#N/A,FALSE,"Ratio Analysis";#N/A,#N/A,FALSE,"Test 120 Day Accts";#N/A,#N/A,FALSE,"Tickmarks"}</definedName>
    <definedName name="otros_1" hidden="1">{#N/A,#N/A,FALSE,"Aging Summary";#N/A,#N/A,FALSE,"Ratio Analysis";#N/A,#N/A,FALSE,"Test 120 Day Accts";#N/A,#N/A,FALSE,"Tickmarks"}</definedName>
    <definedName name="Otros1" localSheetId="1" hidden="1">{#N/A,#N/A,FALSE,"Aging Summary";#N/A,#N/A,FALSE,"Ratio Analysis";#N/A,#N/A,FALSE,"Test 120 Day Accts";#N/A,#N/A,FALSE,"Tickmarks"}</definedName>
    <definedName name="Otros1" localSheetId="3" hidden="1">{#N/A,#N/A,FALSE,"Aging Summary";#N/A,#N/A,FALSE,"Ratio Analysis";#N/A,#N/A,FALSE,"Test 120 Day Accts";#N/A,#N/A,FALSE,"Tickmarks"}</definedName>
    <definedName name="Otros1" localSheetId="2" hidden="1">{#N/A,#N/A,FALSE,"Aging Summary";#N/A,#N/A,FALSE,"Ratio Analysis";#N/A,#N/A,FALSE,"Test 120 Day Accts";#N/A,#N/A,FALSE,"Tickmarks"}</definedName>
    <definedName name="Otros1" hidden="1">{#N/A,#N/A,FALSE,"Aging Summary";#N/A,#N/A,FALSE,"Ratio Analysis";#N/A,#N/A,FALSE,"Test 120 Day Accts";#N/A,#N/A,FALSE,"Tickmarks"}</definedName>
    <definedName name="Otros1_1" localSheetId="1" hidden="1">{#N/A,#N/A,FALSE,"Aging Summary";#N/A,#N/A,FALSE,"Ratio Analysis";#N/A,#N/A,FALSE,"Test 120 Day Accts";#N/A,#N/A,FALSE,"Tickmarks"}</definedName>
    <definedName name="Otros1_1" localSheetId="3" hidden="1">{#N/A,#N/A,FALSE,"Aging Summary";#N/A,#N/A,FALSE,"Ratio Analysis";#N/A,#N/A,FALSE,"Test 120 Day Accts";#N/A,#N/A,FALSE,"Tickmarks"}</definedName>
    <definedName name="Otros1_1" localSheetId="2" hidden="1">{#N/A,#N/A,FALSE,"Aging Summary";#N/A,#N/A,FALSE,"Ratio Analysis";#N/A,#N/A,FALSE,"Test 120 Day Accts";#N/A,#N/A,FALSE,"Tickmarks"}</definedName>
    <definedName name="Otros1_1" hidden="1">{#N/A,#N/A,FALSE,"Aging Summary";#N/A,#N/A,FALSE,"Ratio Analysis";#N/A,#N/A,FALSE,"Test 120 Day Accts";#N/A,#N/A,FALSE,"Tickmarks"}</definedName>
    <definedName name="otros1111" localSheetId="1" hidden="1">{#N/A,#N/A,FALSE,"Aging Summary";#N/A,#N/A,FALSE,"Ratio Analysis";#N/A,#N/A,FALSE,"Test 120 Day Accts";#N/A,#N/A,FALSE,"Tickmarks"}</definedName>
    <definedName name="otros1111" localSheetId="3" hidden="1">{#N/A,#N/A,FALSE,"Aging Summary";#N/A,#N/A,FALSE,"Ratio Analysis";#N/A,#N/A,FALSE,"Test 120 Day Accts";#N/A,#N/A,FALSE,"Tickmarks"}</definedName>
    <definedName name="otros1111" localSheetId="2" hidden="1">{#N/A,#N/A,FALSE,"Aging Summary";#N/A,#N/A,FALSE,"Ratio Analysis";#N/A,#N/A,FALSE,"Test 120 Day Accts";#N/A,#N/A,FALSE,"Tickmarks"}</definedName>
    <definedName name="otros1111" hidden="1">{#N/A,#N/A,FALSE,"Aging Summary";#N/A,#N/A,FALSE,"Ratio Analysis";#N/A,#N/A,FALSE,"Test 120 Day Accts";#N/A,#N/A,FALSE,"Tickmarks"}</definedName>
    <definedName name="Otros2" localSheetId="1" hidden="1">{#N/A,#N/A,FALSE,"Aging Summary";#N/A,#N/A,FALSE,"Ratio Analysis";#N/A,#N/A,FALSE,"Test 120 Day Accts";#N/A,#N/A,FALSE,"Tickmarks"}</definedName>
    <definedName name="Otros2" localSheetId="3" hidden="1">{#N/A,#N/A,FALSE,"Aging Summary";#N/A,#N/A,FALSE,"Ratio Analysis";#N/A,#N/A,FALSE,"Test 120 Day Accts";#N/A,#N/A,FALSE,"Tickmarks"}</definedName>
    <definedName name="Otros2" localSheetId="2" hidden="1">{#N/A,#N/A,FALSE,"Aging Summary";#N/A,#N/A,FALSE,"Ratio Analysis";#N/A,#N/A,FALSE,"Test 120 Day Accts";#N/A,#N/A,FALSE,"Tickmarks"}</definedName>
    <definedName name="Otros2" hidden="1">{#N/A,#N/A,FALSE,"Aging Summary";#N/A,#N/A,FALSE,"Ratio Analysis";#N/A,#N/A,FALSE,"Test 120 Day Accts";#N/A,#N/A,FALSE,"Tickmarks"}</definedName>
    <definedName name="Otros2_1" localSheetId="1" hidden="1">{#N/A,#N/A,FALSE,"Aging Summary";#N/A,#N/A,FALSE,"Ratio Analysis";#N/A,#N/A,FALSE,"Test 120 Day Accts";#N/A,#N/A,FALSE,"Tickmarks"}</definedName>
    <definedName name="Otros2_1" localSheetId="3" hidden="1">{#N/A,#N/A,FALSE,"Aging Summary";#N/A,#N/A,FALSE,"Ratio Analysis";#N/A,#N/A,FALSE,"Test 120 Day Accts";#N/A,#N/A,FALSE,"Tickmarks"}</definedName>
    <definedName name="Otros2_1" localSheetId="2" hidden="1">{#N/A,#N/A,FALSE,"Aging Summary";#N/A,#N/A,FALSE,"Ratio Analysis";#N/A,#N/A,FALSE,"Test 120 Day Accts";#N/A,#N/A,FALSE,"Tickmarks"}</definedName>
    <definedName name="Otros2_1" hidden="1">{#N/A,#N/A,FALSE,"Aging Summary";#N/A,#N/A,FALSE,"Ratio Analysis";#N/A,#N/A,FALSE,"Test 120 Day Accts";#N/A,#N/A,FALSE,"Tickmarks"}</definedName>
    <definedName name="otros2a" localSheetId="1" hidden="1">{#N/A,#N/A,FALSE,"Aging Summary";#N/A,#N/A,FALSE,"Ratio Analysis";#N/A,#N/A,FALSE,"Test 120 Day Accts";#N/A,#N/A,FALSE,"Tickmarks"}</definedName>
    <definedName name="otros2a" localSheetId="3" hidden="1">{#N/A,#N/A,FALSE,"Aging Summary";#N/A,#N/A,FALSE,"Ratio Analysis";#N/A,#N/A,FALSE,"Test 120 Day Accts";#N/A,#N/A,FALSE,"Tickmarks"}</definedName>
    <definedName name="otros2a" localSheetId="2" hidden="1">{#N/A,#N/A,FALSE,"Aging Summary";#N/A,#N/A,FALSE,"Ratio Analysis";#N/A,#N/A,FALSE,"Test 120 Day Accts";#N/A,#N/A,FALSE,"Tickmarks"}</definedName>
    <definedName name="otros2a" hidden="1">{#N/A,#N/A,FALSE,"Aging Summary";#N/A,#N/A,FALSE,"Ratio Analysis";#N/A,#N/A,FALSE,"Test 120 Day Accts";#N/A,#N/A,FALSE,"Tickmarks"}</definedName>
    <definedName name="OTROSSSS" localSheetId="1" hidden="1">{#N/A,#N/A,FALSE,"Aging Summary";#N/A,#N/A,FALSE,"Ratio Analysis";#N/A,#N/A,FALSE,"Test 120 Day Accts";#N/A,#N/A,FALSE,"Tickmarks"}</definedName>
    <definedName name="OTROSSSS" localSheetId="3" hidden="1">{#N/A,#N/A,FALSE,"Aging Summary";#N/A,#N/A,FALSE,"Ratio Analysis";#N/A,#N/A,FALSE,"Test 120 Day Accts";#N/A,#N/A,FALSE,"Tickmarks"}</definedName>
    <definedName name="OTROSSSS" localSheetId="2" hidden="1">{#N/A,#N/A,FALSE,"Aging Summary";#N/A,#N/A,FALSE,"Ratio Analysis";#N/A,#N/A,FALSE,"Test 120 Day Accts";#N/A,#N/A,FALSE,"Tickmarks"}</definedName>
    <definedName name="OTROSSSS" hidden="1">{#N/A,#N/A,FALSE,"Aging Summary";#N/A,#N/A,FALSE,"Ratio Analysis";#N/A,#N/A,FALSE,"Test 120 Day Accts";#N/A,#N/A,FALSE,"Tickmarks"}</definedName>
    <definedName name="OTROSSSS_1" localSheetId="1" hidden="1">{#N/A,#N/A,FALSE,"Aging Summary";#N/A,#N/A,FALSE,"Ratio Analysis";#N/A,#N/A,FALSE,"Test 120 Day Accts";#N/A,#N/A,FALSE,"Tickmarks"}</definedName>
    <definedName name="OTROSSSS_1" localSheetId="3" hidden="1">{#N/A,#N/A,FALSE,"Aging Summary";#N/A,#N/A,FALSE,"Ratio Analysis";#N/A,#N/A,FALSE,"Test 120 Day Accts";#N/A,#N/A,FALSE,"Tickmarks"}</definedName>
    <definedName name="OTROSSSS_1" localSheetId="2" hidden="1">{#N/A,#N/A,FALSE,"Aging Summary";#N/A,#N/A,FALSE,"Ratio Analysis";#N/A,#N/A,FALSE,"Test 120 Day Accts";#N/A,#N/A,FALSE,"Tickmarks"}</definedName>
    <definedName name="OTROSSSS_1" hidden="1">{#N/A,#N/A,FALSE,"Aging Summary";#N/A,#N/A,FALSE,"Ratio Analysis";#N/A,#N/A,FALSE,"Test 120 Day Accts";#N/A,#N/A,FALSE,"Tickmarks"}</definedName>
    <definedName name="Pago_adicional" localSheetId="1">#REF!</definedName>
    <definedName name="Pago_adicional" localSheetId="3">#REF!</definedName>
    <definedName name="Pago_adicional" localSheetId="2">#REF!</definedName>
    <definedName name="Pago_adicional">#REF!</definedName>
    <definedName name="Pago_mensual_programado" localSheetId="1">#REF!</definedName>
    <definedName name="Pago_mensual_programado" localSheetId="3">#REF!</definedName>
    <definedName name="Pago_mensual_programado" localSheetId="2">#REF!</definedName>
    <definedName name="Pago_mensual_programado">#REF!</definedName>
    <definedName name="Pago_progr" localSheetId="1">#REF!</definedName>
    <definedName name="Pago_progr" localSheetId="3">#REF!</definedName>
    <definedName name="Pago_progr" localSheetId="2">#REF!</definedName>
    <definedName name="Pago_progr">#REF!</definedName>
    <definedName name="Pago_total">#REF!</definedName>
    <definedName name="Pagos_adicionales_programados">#REF!</definedName>
    <definedName name="pasivocortoplazo">#REF!</definedName>
    <definedName name="pasivodiferido">#REF!</definedName>
    <definedName name="PorcentajeDeDescuento">'[1]Propuesta 2'!#REF!</definedName>
    <definedName name="Prom">#REF!</definedName>
    <definedName name="qadadasd" hidden="1">#REF!</definedName>
    <definedName name="qeqweqweqweqwe" hidden="1">#REF!</definedName>
    <definedName name="qwertyuio" hidden="1">#REF!</definedName>
    <definedName name="Restablecer_área_de_impresión" localSheetId="1">OFFSET('Servicios Cabina Addiuva 2025'!Impresión_completa,0,0,'Servicios Cabina Addiuva 2025'!Última_fila)</definedName>
    <definedName name="Restablecer_área_de_impresión" localSheetId="3">OFFSET('Servicios Cabina AON'!Impresión_completa,0,0,'Servicios Cabina AON'!Última_fila)</definedName>
    <definedName name="Restablecer_área_de_impresión" localSheetId="2">OFFSET('Servicios Cabina AON 2025'!Impresión_completa,0,0,'Servicios Cabina AON 2025'!Última_fila)</definedName>
    <definedName name="Restablecer_área_de_impresión">OFFSET(Impresión_completa,0,0,Última_fila)</definedName>
    <definedName name="resultados" localSheetId="1">#REF!</definedName>
    <definedName name="resultados" localSheetId="3">#REF!</definedName>
    <definedName name="resultados" localSheetId="2">#REF!</definedName>
    <definedName name="resultados">#REF!</definedName>
    <definedName name="S" localSheetId="1">#REF!</definedName>
    <definedName name="S" localSheetId="3">#REF!</definedName>
    <definedName name="S" localSheetId="2">#REF!</definedName>
    <definedName name="S">#REF!</definedName>
    <definedName name="Saldo_final" localSheetId="1">#REF!</definedName>
    <definedName name="Saldo_final" localSheetId="3">#REF!</definedName>
    <definedName name="Saldo_final" localSheetId="2">#REF!</definedName>
    <definedName name="Saldo_final">#REF!</definedName>
    <definedName name="Saldo_inicial">#REF!</definedName>
    <definedName name="Saldo_pendiente" localSheetId="0">(subtotal-IF('[2]Calculadora Enero'!Descuento_adicional&gt;0,'[2]Calculadora Enero'!Descuento_adicional*subtotal,0))+(IF('[2]Calculadora Enero'!Descuento_adicional&gt;0,subtotal-('[2]Calculadora Enero'!Descuento_adicional*subtotal),subtotal)*'[2]Calculadora Enero'!Impuesto)-'[2]Calculadora Enero'!Crédito</definedName>
    <definedName name="subtotal">[3]!DetallesFactura[[#Totals],[Importe]]</definedName>
    <definedName name="Tasa_de_interés">#REF!</definedName>
    <definedName name="Tasa_de_interés_programada">#REF!</definedName>
    <definedName name="tes" hidden="1">#REF!</definedName>
    <definedName name="TOTAL">#REF!</definedName>
    <definedName name="TOTAL1">#REF!</definedName>
    <definedName name="TOTAL2">#REF!</definedName>
    <definedName name="TOTAL3">#REF!</definedName>
    <definedName name="TTT">#REF!</definedName>
    <definedName name="uiyutuytyty" hidden="1">#REF!</definedName>
    <definedName name="Última_fila" localSheetId="1">IF('Servicios Cabina Addiuva 2025'!Valores_especificados,[0]!Fila_de_encabezado+'Servicios Cabina Addiuva 2025'!Número_de_pagos,[0]!Fila_de_encabezado)</definedName>
    <definedName name="Última_fila" localSheetId="3">IF('Servicios Cabina AON'!Valores_especificados,[0]!Fila_de_encabezado+'Servicios Cabina AON'!Número_de_pagos,[0]!Fila_de_encabezado)</definedName>
    <definedName name="Última_fila" localSheetId="2">IF('Servicios Cabina AON 2025'!Valores_especificados,[0]!Fila_de_encabezado+'Servicios Cabina AON 2025'!Número_de_pagos,[0]!Fila_de_encabezado)</definedName>
    <definedName name="Última_fila">IF(Valores_especificados,Fila_de_encabezado+Número_de_pagos,Fila_de_encabezado)</definedName>
    <definedName name="Valores_especificados" localSheetId="1">IF('Servicios Cabina Addiuva 2025'!Importe_del_préstamo*[0]!Tasa_de_interés*[0]!Años_préstamo*[0]!Inicio_prestamo&gt;0,1,0)</definedName>
    <definedName name="Valores_especificados" localSheetId="3">IF('Servicios Cabina AON'!Importe_del_préstamo*[0]!Tasa_de_interés*[0]!Años_préstamo*[0]!Inicio_prestamo&gt;0,1,0)</definedName>
    <definedName name="Valores_especificados" localSheetId="2">IF('Servicios Cabina AON 2025'!Importe_del_préstamo*[0]!Tasa_de_interés*[0]!Años_préstamo*[0]!Inicio_prestamo&gt;0,1,0)</definedName>
    <definedName name="Valores_especificados">IF(Importe_del_préstamo*Tasa_de_interés*Años_préstamo*Inicio_prestamo&gt;0,1,0)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3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IJCJUN." localSheetId="1" hidden="1">{#N/A,#N/A,FALSE,"7) SERVS. X ESP.";#N/A,#N/A,FALSE,"8) DESGLOSE SERVS.";#N/A,#N/A,FALSE,"9) 1A. INTERV.";#N/A,#N/A,FALSE,"10-13) RESUMENES";#N/A,#N/A,FALSE,"14) PROVEEDORES";#N/A,#N/A,FALSE,"15) SERVICIO"}</definedName>
    <definedName name="wrn.IJCJUN." localSheetId="3" hidden="1">{#N/A,#N/A,FALSE,"7) SERVS. X ESP.";#N/A,#N/A,FALSE,"8) DESGLOSE SERVS.";#N/A,#N/A,FALSE,"9) 1A. INTERV.";#N/A,#N/A,FALSE,"10-13) RESUMENES";#N/A,#N/A,FALSE,"14) PROVEEDORES";#N/A,#N/A,FALSE,"15) SERVICIO"}</definedName>
    <definedName name="wrn.IJCJUN." localSheetId="2" hidden="1">{#N/A,#N/A,FALSE,"7) SERVS. X ESP.";#N/A,#N/A,FALSE,"8) DESGLOSE SERVS.";#N/A,#N/A,FALSE,"9) 1A. INTERV.";#N/A,#N/A,FALSE,"10-13) RESUMENES";#N/A,#N/A,FALSE,"14) PROVEEDORES";#N/A,#N/A,FALSE,"15) SERVICIO"}</definedName>
    <definedName name="wrn.IJCJUN." hidden="1">{#N/A,#N/A,FALSE,"7) SERVS. X ESP.";#N/A,#N/A,FALSE,"8) DESGLOSE SERVS.";#N/A,#N/A,FALSE,"9) 1A. INTERV.";#N/A,#N/A,FALSE,"10-13) RESUMENES";#N/A,#N/A,FALSE,"14) PROVEEDORES";#N/A,#N/A,FALSE,"15) SERVICIO"}</definedName>
    <definedName name="wrn.IJCJUN.1" localSheetId="1" hidden="1">{#N/A,#N/A,FALSE,"7) SERVS. X ESP.";#N/A,#N/A,FALSE,"8) DESGLOSE SERVS.";#N/A,#N/A,FALSE,"9) 1A. INTERV.";#N/A,#N/A,FALSE,"10-13) RESUMENES";#N/A,#N/A,FALSE,"14) PROVEEDORES";#N/A,#N/A,FALSE,"15) SERVICIO"}</definedName>
    <definedName name="wrn.IJCJUN.1" localSheetId="3" hidden="1">{#N/A,#N/A,FALSE,"7) SERVS. X ESP.";#N/A,#N/A,FALSE,"8) DESGLOSE SERVS.";#N/A,#N/A,FALSE,"9) 1A. INTERV.";#N/A,#N/A,FALSE,"10-13) RESUMENES";#N/A,#N/A,FALSE,"14) PROVEEDORES";#N/A,#N/A,FALSE,"15) SERVICIO"}</definedName>
    <definedName name="wrn.IJCJUN.1" localSheetId="2" hidden="1">{#N/A,#N/A,FALSE,"7) SERVS. X ESP.";#N/A,#N/A,FALSE,"8) DESGLOSE SERVS.";#N/A,#N/A,FALSE,"9) 1A. INTERV.";#N/A,#N/A,FALSE,"10-13) RESUMENES";#N/A,#N/A,FALSE,"14) PROVEEDORES";#N/A,#N/A,FALSE,"15) SERVICIO"}</definedName>
    <definedName name="wrn.IJCJUN.1" hidden="1">{#N/A,#N/A,FALSE,"7) SERVS. X ESP.";#N/A,#N/A,FALSE,"8) DESGLOSE SERVS.";#N/A,#N/A,FALSE,"9) 1A. INTERV.";#N/A,#N/A,FALSE,"10-13) RESUMENES";#N/A,#N/A,FALSE,"14) PROVEEDORES";#N/A,#N/A,FALSE,"15) SERVICIO"}</definedName>
    <definedName name="XXXXX" localSheetId="1" hidden="1">{#N/A,#N/A,FALSE,"Aging Summary";#N/A,#N/A,FALSE,"Ratio Analysis";#N/A,#N/A,FALSE,"Test 120 Day Accts";#N/A,#N/A,FALSE,"Tickmarks"}</definedName>
    <definedName name="XXXXX" localSheetId="3" hidden="1">{#N/A,#N/A,FALSE,"Aging Summary";#N/A,#N/A,FALSE,"Ratio Analysis";#N/A,#N/A,FALSE,"Test 120 Day Accts";#N/A,#N/A,FALSE,"Tickmarks"}</definedName>
    <definedName name="XXXXX" localSheetId="2" hidden="1">{#N/A,#N/A,FALSE,"Aging Summary";#N/A,#N/A,FALSE,"Ratio Analysis";#N/A,#N/A,FALSE,"Test 120 Day Accts";#N/A,#N/A,FALSE,"Tickmarks"}</definedName>
    <definedName name="XXXXX" hidden="1">{#N/A,#N/A,FALSE,"Aging Summary";#N/A,#N/A,FALSE,"Ratio Analysis";#N/A,#N/A,FALSE,"Test 120 Day Accts";#N/A,#N/A,FALSE,"Tickmarks"}</definedName>
    <definedName name="XXXXX_1" localSheetId="1" hidden="1">{#N/A,#N/A,FALSE,"Aging Summary";#N/A,#N/A,FALSE,"Ratio Analysis";#N/A,#N/A,FALSE,"Test 120 Day Accts";#N/A,#N/A,FALSE,"Tickmarks"}</definedName>
    <definedName name="XXXXX_1" localSheetId="3" hidden="1">{#N/A,#N/A,FALSE,"Aging Summary";#N/A,#N/A,FALSE,"Ratio Analysis";#N/A,#N/A,FALSE,"Test 120 Day Accts";#N/A,#N/A,FALSE,"Tickmarks"}</definedName>
    <definedName name="XXXXX_1" localSheetId="2" hidden="1">{#N/A,#N/A,FALSE,"Aging Summary";#N/A,#N/A,FALSE,"Ratio Analysis";#N/A,#N/A,FALSE,"Test 120 Day Accts";#N/A,#N/A,FALSE,"Tickmarks"}</definedName>
    <definedName name="XXXXX_1" hidden="1">{#N/A,#N/A,FALSE,"Aging Summary";#N/A,#N/A,FALSE,"Ratio Analysis";#N/A,#N/A,FALSE,"Test 120 Day Accts";#N/A,#N/A,FALSE,"Tickmarks"}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3" l="1"/>
  <c r="G12" i="3"/>
  <c r="F13" i="3"/>
  <c r="F12" i="3"/>
  <c r="AG6" i="6" l="1"/>
  <c r="AG7" i="6"/>
  <c r="AE6" i="1"/>
  <c r="AE7" i="1"/>
  <c r="AF10" i="1"/>
  <c r="AH31" i="1"/>
  <c r="AG31" i="1"/>
  <c r="AF31" i="1"/>
  <c r="AG10" i="1"/>
  <c r="AH8" i="1"/>
  <c r="AG8" i="1"/>
  <c r="AH7" i="1"/>
  <c r="AG7" i="1"/>
  <c r="AF7" i="1"/>
  <c r="AF24" i="1" s="1"/>
  <c r="AF17" i="1" s="1"/>
  <c r="AH6" i="1"/>
  <c r="AG6" i="1"/>
  <c r="AF6" i="1"/>
  <c r="AE6" i="6"/>
  <c r="AE7" i="6"/>
  <c r="AF10" i="6"/>
  <c r="AG10" i="6" s="1"/>
  <c r="AH31" i="6"/>
  <c r="AG31" i="6"/>
  <c r="AF31" i="6"/>
  <c r="AH26" i="6"/>
  <c r="AG26" i="6"/>
  <c r="AF26" i="6"/>
  <c r="AH7" i="6"/>
  <c r="AF7" i="6"/>
  <c r="AF24" i="6" s="1"/>
  <c r="AF17" i="6" s="1"/>
  <c r="AH6" i="6"/>
  <c r="AF6" i="6"/>
  <c r="AF23" i="6" s="1"/>
  <c r="AE31" i="6"/>
  <c r="AE26" i="6"/>
  <c r="AF8" i="1" l="1"/>
  <c r="AG23" i="1"/>
  <c r="AH10" i="1"/>
  <c r="AG24" i="1"/>
  <c r="AG17" i="1" s="1"/>
  <c r="AF23" i="1"/>
  <c r="AH10" i="6"/>
  <c r="AH24" i="6" s="1"/>
  <c r="AH17" i="6" s="1"/>
  <c r="AG23" i="6"/>
  <c r="AF16" i="6"/>
  <c r="AF20" i="6" s="1"/>
  <c r="AF30" i="6"/>
  <c r="AF32" i="6" s="1"/>
  <c r="AF27" i="6"/>
  <c r="AG24" i="6"/>
  <c r="AG17" i="6" s="1"/>
  <c r="AF30" i="1" l="1"/>
  <c r="AF32" i="1" s="1"/>
  <c r="AF16" i="1"/>
  <c r="AF20" i="1" s="1"/>
  <c r="AF27" i="1"/>
  <c r="AH24" i="1"/>
  <c r="AH17" i="1" s="1"/>
  <c r="AH23" i="1"/>
  <c r="AG27" i="1"/>
  <c r="AG30" i="1"/>
  <c r="AG32" i="1" s="1"/>
  <c r="AG16" i="1"/>
  <c r="AG20" i="1" s="1"/>
  <c r="AG27" i="6"/>
  <c r="AG16" i="6"/>
  <c r="AG20" i="6" s="1"/>
  <c r="AG30" i="6"/>
  <c r="AG32" i="6" s="1"/>
  <c r="AH23" i="6"/>
  <c r="AH16" i="1" l="1"/>
  <c r="AH20" i="1" s="1"/>
  <c r="AH27" i="1"/>
  <c r="AH30" i="1"/>
  <c r="AH32" i="1" s="1"/>
  <c r="AH27" i="6"/>
  <c r="AH16" i="6"/>
  <c r="AH20" i="6" s="1"/>
  <c r="AH30" i="6"/>
  <c r="AH32" i="6" s="1"/>
  <c r="AE31" i="1" l="1"/>
  <c r="E31" i="1"/>
  <c r="F31" i="1"/>
  <c r="G31" i="1"/>
  <c r="H31" i="1"/>
  <c r="I31" i="1"/>
  <c r="J31" i="1"/>
  <c r="AD31" i="1"/>
  <c r="AD6" i="1"/>
  <c r="AD7" i="1"/>
  <c r="AD8" i="1"/>
  <c r="AD26" i="6"/>
  <c r="AD31" i="6"/>
  <c r="AD6" i="6"/>
  <c r="AD7" i="6"/>
  <c r="AC10" i="1"/>
  <c r="AD10" i="1" s="1"/>
  <c r="AC31" i="1"/>
  <c r="AC7" i="1"/>
  <c r="AC24" i="1" s="1"/>
  <c r="AC17" i="1" s="1"/>
  <c r="AC6" i="1"/>
  <c r="AC8" i="1" s="1"/>
  <c r="AC10" i="6"/>
  <c r="AD10" i="6" s="1"/>
  <c r="AE10" i="6" s="1"/>
  <c r="AD24" i="1" l="1"/>
  <c r="AD17" i="1" s="1"/>
  <c r="AE10" i="1"/>
  <c r="AE23" i="1" s="1"/>
  <c r="AE23" i="6"/>
  <c r="AE24" i="6"/>
  <c r="AE17" i="6" s="1"/>
  <c r="AD24" i="6"/>
  <c r="AD17" i="6" s="1"/>
  <c r="AD23" i="6"/>
  <c r="AE24" i="1"/>
  <c r="AE17" i="1" s="1"/>
  <c r="AE16" i="1"/>
  <c r="AE8" i="1"/>
  <c r="AD23" i="1"/>
  <c r="AC23" i="1"/>
  <c r="AC16" i="1" s="1"/>
  <c r="AC20" i="1" s="1"/>
  <c r="AC27" i="1" l="1"/>
  <c r="AC30" i="1"/>
  <c r="AC32" i="1" s="1"/>
  <c r="AE27" i="1"/>
  <c r="AE20" i="1"/>
  <c r="AE30" i="1"/>
  <c r="AE32" i="1" s="1"/>
  <c r="AE16" i="6"/>
  <c r="AE20" i="6" s="1"/>
  <c r="AE30" i="6"/>
  <c r="AE32" i="6" s="1"/>
  <c r="AE27" i="6"/>
  <c r="AD16" i="6"/>
  <c r="AD20" i="6" s="1"/>
  <c r="AD30" i="6"/>
  <c r="AD32" i="6" s="1"/>
  <c r="AD27" i="6"/>
  <c r="AD16" i="1"/>
  <c r="AD20" i="1" s="1"/>
  <c r="AD27" i="1"/>
  <c r="AD30" i="1"/>
  <c r="AD32" i="1" s="1"/>
  <c r="AC26" i="6"/>
  <c r="AC31" i="6"/>
  <c r="AC6" i="6"/>
  <c r="AC23" i="6" s="1"/>
  <c r="AC16" i="6" s="1"/>
  <c r="AC7" i="6"/>
  <c r="AC24" i="6" s="1"/>
  <c r="AC17" i="6" s="1"/>
  <c r="AB31" i="1"/>
  <c r="AB7" i="1"/>
  <c r="AB24" i="1" s="1"/>
  <c r="AB17" i="1" s="1"/>
  <c r="AB6" i="1"/>
  <c r="AB31" i="6"/>
  <c r="AB26" i="6"/>
  <c r="AB7" i="6"/>
  <c r="AB24" i="6" s="1"/>
  <c r="AB17" i="6" s="1"/>
  <c r="AB6" i="6"/>
  <c r="AB23" i="6" s="1"/>
  <c r="AA26" i="6"/>
  <c r="AA31" i="6"/>
  <c r="AA31" i="1"/>
  <c r="AA6" i="1"/>
  <c r="AA23" i="1" s="1"/>
  <c r="AA7" i="1"/>
  <c r="AA24" i="1" s="1"/>
  <c r="AA17" i="1" s="1"/>
  <c r="AA6" i="6"/>
  <c r="AA23" i="6" s="1"/>
  <c r="AA7" i="6"/>
  <c r="AA24" i="6" s="1"/>
  <c r="AA17" i="6" s="1"/>
  <c r="Z26" i="1"/>
  <c r="Z25" i="1"/>
  <c r="Z31" i="1" s="1"/>
  <c r="Z7" i="1"/>
  <c r="Z24" i="1" s="1"/>
  <c r="Z17" i="1" s="1"/>
  <c r="Z6" i="1"/>
  <c r="Z31" i="6"/>
  <c r="Z26" i="6"/>
  <c r="Z7" i="6"/>
  <c r="Z24" i="6" s="1"/>
  <c r="Z17" i="6" s="1"/>
  <c r="Z6" i="6"/>
  <c r="Z8" i="6" s="1"/>
  <c r="Y25" i="1"/>
  <c r="Y31" i="1" s="1"/>
  <c r="Y26" i="1"/>
  <c r="Y6" i="1"/>
  <c r="Y23" i="1" s="1"/>
  <c r="Y7" i="1"/>
  <c r="Y24" i="1" s="1"/>
  <c r="Y17" i="1" s="1"/>
  <c r="Y31" i="6"/>
  <c r="Y26" i="6"/>
  <c r="Y6" i="6"/>
  <c r="Y23" i="6" s="1"/>
  <c r="Y7" i="6"/>
  <c r="Y24" i="6" s="1"/>
  <c r="Y17" i="6" s="1"/>
  <c r="AB8" i="1" l="1"/>
  <c r="Z8" i="1"/>
  <c r="AB23" i="1"/>
  <c r="AB16" i="1" s="1"/>
  <c r="AB20" i="1" s="1"/>
  <c r="AC20" i="6"/>
  <c r="AC30" i="6"/>
  <c r="AC32" i="6" s="1"/>
  <c r="AC27" i="6"/>
  <c r="Y8" i="6"/>
  <c r="AB27" i="1"/>
  <c r="AA16" i="1"/>
  <c r="AA20" i="1" s="1"/>
  <c r="AA27" i="1"/>
  <c r="AA30" i="1"/>
  <c r="AA32" i="1" s="1"/>
  <c r="AA8" i="1"/>
  <c r="AA16" i="6"/>
  <c r="AA20" i="6" s="1"/>
  <c r="AA27" i="6"/>
  <c r="AB16" i="6"/>
  <c r="AB20" i="6" s="1"/>
  <c r="AB27" i="6"/>
  <c r="AB30" i="6"/>
  <c r="AB32" i="6" s="1"/>
  <c r="AA30" i="6"/>
  <c r="AA32" i="6" s="1"/>
  <c r="Z23" i="1"/>
  <c r="Z16" i="1" s="1"/>
  <c r="Z20" i="1" s="1"/>
  <c r="Z23" i="6"/>
  <c r="Z16" i="6" s="1"/>
  <c r="Z20" i="6" s="1"/>
  <c r="Y16" i="1"/>
  <c r="Y20" i="1" s="1"/>
  <c r="Y30" i="1"/>
  <c r="Y32" i="1" s="1"/>
  <c r="Y27" i="1"/>
  <c r="Y8" i="1"/>
  <c r="Y30" i="6"/>
  <c r="Y32" i="6" s="1"/>
  <c r="Y27" i="6"/>
  <c r="Y16" i="6"/>
  <c r="Y20" i="6" s="1"/>
  <c r="X7" i="1"/>
  <c r="X6" i="1"/>
  <c r="X31" i="6"/>
  <c r="X26" i="6"/>
  <c r="X7" i="6"/>
  <c r="X24" i="6" s="1"/>
  <c r="X17" i="6" s="1"/>
  <c r="X6" i="6"/>
  <c r="X26" i="1"/>
  <c r="X25" i="1"/>
  <c r="X31" i="1" s="1"/>
  <c r="X13" i="1"/>
  <c r="W7" i="1"/>
  <c r="W6" i="1"/>
  <c r="AK9" i="1"/>
  <c r="W25" i="1"/>
  <c r="AM16" i="1"/>
  <c r="W7" i="6"/>
  <c r="W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K24" i="6"/>
  <c r="H24" i="6"/>
  <c r="H17" i="6" s="1"/>
  <c r="G24" i="6"/>
  <c r="F24" i="6"/>
  <c r="F17" i="6" s="1"/>
  <c r="E24" i="6"/>
  <c r="H23" i="6"/>
  <c r="G23" i="6"/>
  <c r="G16" i="6" s="1"/>
  <c r="F23" i="6"/>
  <c r="F16" i="6" s="1"/>
  <c r="E23" i="6"/>
  <c r="E16" i="6" s="1"/>
  <c r="V13" i="6"/>
  <c r="U13" i="6"/>
  <c r="T13" i="6"/>
  <c r="S13" i="6"/>
  <c r="R13" i="6"/>
  <c r="Q13" i="6"/>
  <c r="P13" i="6"/>
  <c r="O13" i="6"/>
  <c r="N13" i="6"/>
  <c r="M13" i="6"/>
  <c r="L13" i="6"/>
  <c r="K13" i="6"/>
  <c r="P10" i="6"/>
  <c r="Q10" i="6" s="1"/>
  <c r="L10" i="6"/>
  <c r="M10" i="6" s="1"/>
  <c r="I10" i="6"/>
  <c r="J10" i="6" s="1"/>
  <c r="V8" i="6"/>
  <c r="O24" i="6"/>
  <c r="O17" i="6" s="1"/>
  <c r="N24" i="6"/>
  <c r="N17" i="6" s="1"/>
  <c r="O23" i="6"/>
  <c r="N23" i="6"/>
  <c r="K23" i="6"/>
  <c r="K6" i="5"/>
  <c r="K23" i="5" s="1"/>
  <c r="L6" i="5"/>
  <c r="L23" i="5" s="1"/>
  <c r="M6" i="5"/>
  <c r="N6" i="5"/>
  <c r="N23" i="5" s="1"/>
  <c r="O6" i="5"/>
  <c r="O23" i="5" s="1"/>
  <c r="P6" i="5"/>
  <c r="P23" i="5" s="1"/>
  <c r="V6" i="5"/>
  <c r="V8" i="5" s="1"/>
  <c r="K7" i="5"/>
  <c r="K24" i="5" s="1"/>
  <c r="L7" i="5"/>
  <c r="L24" i="5" s="1"/>
  <c r="L17" i="5" s="1"/>
  <c r="M7" i="5"/>
  <c r="M24" i="5" s="1"/>
  <c r="M17" i="5" s="1"/>
  <c r="N7" i="5"/>
  <c r="N24" i="5" s="1"/>
  <c r="N17" i="5" s="1"/>
  <c r="O7" i="5"/>
  <c r="O24" i="5" s="1"/>
  <c r="O17" i="5" s="1"/>
  <c r="P7" i="5"/>
  <c r="P24" i="5" s="1"/>
  <c r="P17" i="5" s="1"/>
  <c r="Q7" i="5"/>
  <c r="Q24" i="5" s="1"/>
  <c r="Q17" i="5" s="1"/>
  <c r="U7" i="5"/>
  <c r="V7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H24" i="5"/>
  <c r="G24" i="5"/>
  <c r="F24" i="5"/>
  <c r="E24" i="5"/>
  <c r="E27" i="5" s="1"/>
  <c r="R23" i="5"/>
  <c r="R16" i="5" s="1"/>
  <c r="Q23" i="5"/>
  <c r="H23" i="5"/>
  <c r="H27" i="5" s="1"/>
  <c r="G23" i="5"/>
  <c r="G27" i="5" s="1"/>
  <c r="F23" i="5"/>
  <c r="F27" i="5" s="1"/>
  <c r="E23" i="5"/>
  <c r="F20" i="5"/>
  <c r="H17" i="5"/>
  <c r="G17" i="5"/>
  <c r="F17" i="5"/>
  <c r="F16" i="5"/>
  <c r="E16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T10" i="5"/>
  <c r="T23" i="5" s="1"/>
  <c r="S10" i="5"/>
  <c r="S23" i="5" s="1"/>
  <c r="R10" i="5"/>
  <c r="R24" i="5" s="1"/>
  <c r="R17" i="5" s="1"/>
  <c r="Q10" i="5"/>
  <c r="P10" i="5"/>
  <c r="M10" i="5"/>
  <c r="L10" i="5"/>
  <c r="I10" i="5"/>
  <c r="J10" i="5" s="1"/>
  <c r="W8" i="5"/>
  <c r="M23" i="5"/>
  <c r="R73" i="4"/>
  <c r="Q73" i="4"/>
  <c r="Q72" i="4"/>
  <c r="R72" i="4" s="1"/>
  <c r="Q68" i="4"/>
  <c r="Q67" i="4"/>
  <c r="R67" i="4" s="1"/>
  <c r="R66" i="4"/>
  <c r="Q66" i="4"/>
  <c r="Q65" i="4"/>
  <c r="R65" i="4" s="1"/>
  <c r="Q64" i="4"/>
  <c r="R64" i="4" s="1"/>
  <c r="D62" i="4"/>
  <c r="R62" i="4" s="1"/>
  <c r="Q59" i="4"/>
  <c r="R59" i="4" s="1"/>
  <c r="Q55" i="4"/>
  <c r="Q54" i="4"/>
  <c r="R53" i="4"/>
  <c r="Q53" i="4"/>
  <c r="Q52" i="4"/>
  <c r="R52" i="4" s="1"/>
  <c r="Q51" i="4"/>
  <c r="R51" i="4" s="1"/>
  <c r="Q47" i="4"/>
  <c r="Q46" i="4"/>
  <c r="R46" i="4" s="1"/>
  <c r="R45" i="4"/>
  <c r="Q45" i="4"/>
  <c r="Q44" i="4"/>
  <c r="R44" i="4" s="1"/>
  <c r="Q43" i="4"/>
  <c r="R43" i="4" s="1"/>
  <c r="D39" i="4"/>
  <c r="D40" i="4" s="1"/>
  <c r="D36" i="4"/>
  <c r="Q36" i="4" s="1"/>
  <c r="R36" i="4" s="1"/>
  <c r="D34" i="4"/>
  <c r="Q34" i="4" s="1"/>
  <c r="R34" i="4" s="1"/>
  <c r="D33" i="4"/>
  <c r="Q33" i="4" s="1"/>
  <c r="R33" i="4" s="1"/>
  <c r="D32" i="4"/>
  <c r="D35" i="4" s="1"/>
  <c r="Q35" i="4" s="1"/>
  <c r="R35" i="4" s="1"/>
  <c r="Q29" i="4"/>
  <c r="R29" i="4" s="1"/>
  <c r="D29" i="4"/>
  <c r="D30" i="4" s="1"/>
  <c r="D27" i="4"/>
  <c r="Q27" i="4" s="1"/>
  <c r="D26" i="4"/>
  <c r="Q26" i="4" s="1"/>
  <c r="R26" i="4" s="1"/>
  <c r="D25" i="4"/>
  <c r="D82" i="4" s="1"/>
  <c r="D24" i="4"/>
  <c r="Q24" i="4" s="1"/>
  <c r="R24" i="4" s="1"/>
  <c r="Q23" i="4"/>
  <c r="R23" i="4" s="1"/>
  <c r="D23" i="4"/>
  <c r="Q22" i="4"/>
  <c r="R22" i="4" s="1"/>
  <c r="D22" i="4"/>
  <c r="Q21" i="4"/>
  <c r="R21" i="4" s="1"/>
  <c r="D21" i="4"/>
  <c r="D20" i="4"/>
  <c r="Q20" i="4" s="1"/>
  <c r="R20" i="4" s="1"/>
  <c r="D19" i="4"/>
  <c r="Q19" i="4" s="1"/>
  <c r="D17" i="4"/>
  <c r="D61" i="4" s="1"/>
  <c r="Q16" i="4"/>
  <c r="D16" i="4"/>
  <c r="D79" i="4" s="1"/>
  <c r="D14" i="4"/>
  <c r="O13" i="4"/>
  <c r="O14" i="4" s="1"/>
  <c r="N13" i="4"/>
  <c r="N14" i="4" s="1"/>
  <c r="Q13" i="4"/>
  <c r="D13" i="4"/>
  <c r="O12" i="4"/>
  <c r="N12" i="4"/>
  <c r="Q12" i="4"/>
  <c r="R12" i="4" s="1"/>
  <c r="D12" i="4"/>
  <c r="AB30" i="1" l="1"/>
  <c r="AB32" i="1" s="1"/>
  <c r="Z27" i="6"/>
  <c r="Z30" i="6"/>
  <c r="Z32" i="6" s="1"/>
  <c r="G27" i="6"/>
  <c r="Z30" i="1"/>
  <c r="Z32" i="1" s="1"/>
  <c r="Z27" i="1"/>
  <c r="X8" i="1"/>
  <c r="W8" i="1"/>
  <c r="L23" i="6"/>
  <c r="L16" i="6" s="1"/>
  <c r="G17" i="6"/>
  <c r="G20" i="6" s="1"/>
  <c r="Q69" i="4"/>
  <c r="P23" i="6"/>
  <c r="P24" i="6"/>
  <c r="P17" i="6" s="1"/>
  <c r="X8" i="6"/>
  <c r="Q48" i="4"/>
  <c r="Q49" i="4"/>
  <c r="Q70" i="4"/>
  <c r="R70" i="4"/>
  <c r="Q57" i="4"/>
  <c r="R49" i="4"/>
  <c r="Q56" i="4"/>
  <c r="E27" i="6"/>
  <c r="W8" i="6"/>
  <c r="E17" i="6"/>
  <c r="E20" i="6" s="1"/>
  <c r="H27" i="6"/>
  <c r="L24" i="6"/>
  <c r="L17" i="6" s="1"/>
  <c r="I23" i="6"/>
  <c r="I16" i="6" s="1"/>
  <c r="F20" i="6"/>
  <c r="Q23" i="6"/>
  <c r="R10" i="6"/>
  <c r="Q24" i="6"/>
  <c r="Q17" i="6" s="1"/>
  <c r="O25" i="6"/>
  <c r="O18" i="6" s="1"/>
  <c r="O16" i="6"/>
  <c r="K16" i="6"/>
  <c r="K25" i="6"/>
  <c r="K27" i="6" s="1"/>
  <c r="J23" i="6"/>
  <c r="J24" i="6"/>
  <c r="J17" i="6" s="1"/>
  <c r="M23" i="6"/>
  <c r="M24" i="6"/>
  <c r="M17" i="6" s="1"/>
  <c r="N16" i="6"/>
  <c r="N25" i="6"/>
  <c r="N18" i="6" s="1"/>
  <c r="K17" i="6"/>
  <c r="I24" i="6"/>
  <c r="I17" i="6" s="1"/>
  <c r="H16" i="6"/>
  <c r="H20" i="6" s="1"/>
  <c r="F27" i="6"/>
  <c r="L16" i="5"/>
  <c r="L25" i="5"/>
  <c r="L18" i="5" s="1"/>
  <c r="T16" i="5"/>
  <c r="M16" i="5"/>
  <c r="M25" i="5"/>
  <c r="M18" i="5" s="1"/>
  <c r="J23" i="5"/>
  <c r="J24" i="5"/>
  <c r="J17" i="5" s="1"/>
  <c r="N16" i="5"/>
  <c r="N25" i="5"/>
  <c r="N18" i="5" s="1"/>
  <c r="Q25" i="5"/>
  <c r="Q27" i="5" s="1"/>
  <c r="K16" i="5"/>
  <c r="K25" i="5"/>
  <c r="S16" i="5"/>
  <c r="G16" i="5"/>
  <c r="G20" i="5" s="1"/>
  <c r="O16" i="5"/>
  <c r="K17" i="5"/>
  <c r="I24" i="5"/>
  <c r="I17" i="5" s="1"/>
  <c r="R25" i="5"/>
  <c r="R27" i="5" s="1"/>
  <c r="P30" i="5"/>
  <c r="H16" i="5"/>
  <c r="H20" i="5" s="1"/>
  <c r="P16" i="5"/>
  <c r="Q30" i="5"/>
  <c r="Q16" i="5"/>
  <c r="E17" i="5"/>
  <c r="E20" i="5" s="1"/>
  <c r="S24" i="5"/>
  <c r="S17" i="5" s="1"/>
  <c r="R30" i="5"/>
  <c r="I23" i="5"/>
  <c r="T24" i="5"/>
  <c r="T17" i="5" s="1"/>
  <c r="U10" i="5"/>
  <c r="O25" i="5"/>
  <c r="O18" i="5" s="1"/>
  <c r="P25" i="5"/>
  <c r="P27" i="5" s="1"/>
  <c r="Q61" i="4"/>
  <c r="R61" i="4"/>
  <c r="Q80" i="4"/>
  <c r="R19" i="4"/>
  <c r="R13" i="4"/>
  <c r="R14" i="4"/>
  <c r="Q28" i="4"/>
  <c r="R27" i="4"/>
  <c r="Q79" i="4"/>
  <c r="Q30" i="4"/>
  <c r="D80" i="4"/>
  <c r="Q17" i="4"/>
  <c r="Q25" i="4"/>
  <c r="D28" i="4"/>
  <c r="D37" i="4"/>
  <c r="D41" i="4"/>
  <c r="R54" i="4"/>
  <c r="R57" i="4" s="1"/>
  <c r="Q62" i="4"/>
  <c r="D18" i="4"/>
  <c r="Q32" i="4"/>
  <c r="R32" i="4" s="1"/>
  <c r="D60" i="4"/>
  <c r="R55" i="4"/>
  <c r="R56" i="4" s="1"/>
  <c r="Q39" i="4"/>
  <c r="R68" i="4"/>
  <c r="R69" i="4" s="1"/>
  <c r="R47" i="4"/>
  <c r="R48" i="4" s="1"/>
  <c r="R16" i="4"/>
  <c r="R30" i="4" s="1"/>
  <c r="P30" i="6" l="1"/>
  <c r="P25" i="6"/>
  <c r="P27" i="6" s="1"/>
  <c r="P16" i="6"/>
  <c r="I20" i="6"/>
  <c r="O20" i="5"/>
  <c r="R28" i="4"/>
  <c r="L25" i="6"/>
  <c r="L18" i="6" s="1"/>
  <c r="L20" i="6" s="1"/>
  <c r="I27" i="6"/>
  <c r="N20" i="6"/>
  <c r="J16" i="6"/>
  <c r="J20" i="6" s="1"/>
  <c r="J27" i="6"/>
  <c r="O20" i="6"/>
  <c r="M16" i="6"/>
  <c r="M25" i="6"/>
  <c r="M18" i="6" s="1"/>
  <c r="K18" i="6"/>
  <c r="K20" i="6" s="1"/>
  <c r="O27" i="6"/>
  <c r="R23" i="6"/>
  <c r="S10" i="6"/>
  <c r="R24" i="6"/>
  <c r="R17" i="6" s="1"/>
  <c r="N27" i="6"/>
  <c r="Q25" i="6"/>
  <c r="Q27" i="6" s="1"/>
  <c r="Q16" i="6"/>
  <c r="Q30" i="6"/>
  <c r="O27" i="5"/>
  <c r="N20" i="5"/>
  <c r="U23" i="5"/>
  <c r="V10" i="5"/>
  <c r="U24" i="5"/>
  <c r="U17" i="5" s="1"/>
  <c r="T25" i="5"/>
  <c r="I16" i="5"/>
  <c r="I20" i="5" s="1"/>
  <c r="I27" i="5"/>
  <c r="S25" i="5"/>
  <c r="J16" i="5"/>
  <c r="J20" i="5" s="1"/>
  <c r="J27" i="5"/>
  <c r="T30" i="5"/>
  <c r="S30" i="5"/>
  <c r="R18" i="5"/>
  <c r="R20" i="5" s="1"/>
  <c r="R31" i="5"/>
  <c r="R32" i="5" s="1"/>
  <c r="Q18" i="5"/>
  <c r="Q20" i="5" s="1"/>
  <c r="Q31" i="5"/>
  <c r="Q32" i="5" s="1"/>
  <c r="M27" i="5"/>
  <c r="P18" i="5"/>
  <c r="P20" i="5" s="1"/>
  <c r="P31" i="5"/>
  <c r="P32" i="5" s="1"/>
  <c r="K18" i="5"/>
  <c r="M20" i="5"/>
  <c r="L27" i="5"/>
  <c r="K27" i="5"/>
  <c r="N27" i="5"/>
  <c r="L20" i="5"/>
  <c r="R60" i="4"/>
  <c r="Q60" i="4"/>
  <c r="Q82" i="4"/>
  <c r="R25" i="4"/>
  <c r="Q18" i="4"/>
  <c r="R17" i="4"/>
  <c r="R18" i="4" s="1"/>
  <c r="R39" i="4"/>
  <c r="Q41" i="4"/>
  <c r="Q40" i="4"/>
  <c r="D84" i="4"/>
  <c r="D81" i="4"/>
  <c r="Q37" i="4"/>
  <c r="P31" i="6" l="1"/>
  <c r="P32" i="6" s="1"/>
  <c r="P18" i="6"/>
  <c r="P20" i="6" s="1"/>
  <c r="L27" i="6"/>
  <c r="M20" i="6"/>
  <c r="S23" i="6"/>
  <c r="T10" i="6"/>
  <c r="S24" i="6"/>
  <c r="R16" i="6"/>
  <c r="R30" i="6"/>
  <c r="R25" i="6"/>
  <c r="Q18" i="6"/>
  <c r="Q20" i="6" s="1"/>
  <c r="Q31" i="6"/>
  <c r="Q32" i="6" s="1"/>
  <c r="M27" i="6"/>
  <c r="T18" i="5"/>
  <c r="T20" i="5" s="1"/>
  <c r="T31" i="5"/>
  <c r="T32" i="5" s="1"/>
  <c r="S27" i="5"/>
  <c r="K20" i="5"/>
  <c r="T27" i="5"/>
  <c r="S18" i="5"/>
  <c r="S20" i="5" s="1"/>
  <c r="S31" i="5"/>
  <c r="S32" i="5" s="1"/>
  <c r="W10" i="5"/>
  <c r="X11" i="5"/>
  <c r="V23" i="5"/>
  <c r="V24" i="5"/>
  <c r="V17" i="5" s="1"/>
  <c r="U16" i="5"/>
  <c r="U30" i="5"/>
  <c r="U25" i="5"/>
  <c r="R40" i="4"/>
  <c r="R41" i="4"/>
  <c r="Q84" i="4"/>
  <c r="Q81" i="4"/>
  <c r="R37" i="4"/>
  <c r="S17" i="6" l="1"/>
  <c r="T23" i="6"/>
  <c r="U10" i="6"/>
  <c r="T24" i="6"/>
  <c r="T17" i="6" s="1"/>
  <c r="R18" i="6"/>
  <c r="R20" i="6" s="1"/>
  <c r="R31" i="6"/>
  <c r="R32" i="6" s="1"/>
  <c r="S16" i="6"/>
  <c r="S30" i="6"/>
  <c r="S25" i="6"/>
  <c r="R27" i="6"/>
  <c r="X24" i="5"/>
  <c r="Y17" i="5"/>
  <c r="V16" i="5"/>
  <c r="V30" i="5"/>
  <c r="V25" i="5"/>
  <c r="Y25" i="5" s="1"/>
  <c r="Y23" i="5"/>
  <c r="Y24" i="5"/>
  <c r="U31" i="5"/>
  <c r="U32" i="5" s="1"/>
  <c r="U18" i="5"/>
  <c r="U20" i="5" s="1"/>
  <c r="W24" i="5"/>
  <c r="W17" i="5" s="1"/>
  <c r="W23" i="5"/>
  <c r="U27" i="5"/>
  <c r="U23" i="6" l="1"/>
  <c r="V10" i="6"/>
  <c r="U24" i="6"/>
  <c r="U17" i="6" s="1"/>
  <c r="S18" i="6"/>
  <c r="S20" i="6" s="1"/>
  <c r="S31" i="6"/>
  <c r="S32" i="6" s="1"/>
  <c r="T16" i="6"/>
  <c r="T30" i="6"/>
  <c r="T27" i="6"/>
  <c r="T25" i="6"/>
  <c r="S27" i="6"/>
  <c r="V31" i="5"/>
  <c r="V32" i="5" s="1"/>
  <c r="V18" i="5"/>
  <c r="Y18" i="5" s="1"/>
  <c r="W30" i="5"/>
  <c r="W25" i="5"/>
  <c r="W31" i="5" s="1"/>
  <c r="W16" i="5"/>
  <c r="W20" i="5" s="1"/>
  <c r="V27" i="5"/>
  <c r="Y27" i="5" s="1"/>
  <c r="X23" i="5"/>
  <c r="Y16" i="5"/>
  <c r="T31" i="6" l="1"/>
  <c r="T32" i="6" s="1"/>
  <c r="W10" i="6"/>
  <c r="V23" i="6"/>
  <c r="V24" i="6"/>
  <c r="U16" i="6"/>
  <c r="U30" i="6"/>
  <c r="U25" i="6"/>
  <c r="T20" i="6"/>
  <c r="V20" i="5"/>
  <c r="Y20" i="5" s="1"/>
  <c r="W27" i="5"/>
  <c r="W32" i="5"/>
  <c r="X23" i="6" l="1"/>
  <c r="V17" i="6"/>
  <c r="AJ24" i="6"/>
  <c r="V16" i="6"/>
  <c r="AJ16" i="6" s="1"/>
  <c r="V30" i="6"/>
  <c r="V25" i="6"/>
  <c r="AJ23" i="6"/>
  <c r="W24" i="6"/>
  <c r="W17" i="6" s="1"/>
  <c r="W23" i="6"/>
  <c r="U31" i="6"/>
  <c r="U20" i="6"/>
  <c r="U27" i="6"/>
  <c r="U32" i="6"/>
  <c r="X16" i="6" l="1"/>
  <c r="X20" i="6" s="1"/>
  <c r="X30" i="6"/>
  <c r="X32" i="6" s="1"/>
  <c r="X27" i="6"/>
  <c r="V31" i="6"/>
  <c r="V32" i="6" s="1"/>
  <c r="AJ18" i="6"/>
  <c r="V27" i="6"/>
  <c r="AJ27" i="6" s="1"/>
  <c r="AJ25" i="6"/>
  <c r="W30" i="6"/>
  <c r="W31" i="6"/>
  <c r="W16" i="6"/>
  <c r="AK17" i="6" s="1"/>
  <c r="AJ17" i="6"/>
  <c r="J13" i="3" l="1"/>
  <c r="K13" i="3" s="1"/>
  <c r="W20" i="6"/>
  <c r="AK16" i="6"/>
  <c r="W32" i="6"/>
  <c r="V20" i="6"/>
  <c r="AJ20" i="6" s="1"/>
  <c r="W27" i="6"/>
  <c r="G14" i="3" l="1"/>
  <c r="F17" i="3"/>
  <c r="G6" i="3"/>
  <c r="W26" i="1" l="1"/>
  <c r="W13" i="1"/>
  <c r="T13" i="1"/>
  <c r="U7" i="1"/>
  <c r="V7" i="1"/>
  <c r="V6" i="1"/>
  <c r="V8" i="1" l="1"/>
  <c r="L26" i="1"/>
  <c r="M26" i="1"/>
  <c r="N26" i="1"/>
  <c r="O26" i="1"/>
  <c r="P26" i="1"/>
  <c r="Q26" i="1"/>
  <c r="R26" i="1"/>
  <c r="S26" i="1"/>
  <c r="T26" i="1"/>
  <c r="U26" i="1"/>
  <c r="V26" i="1"/>
  <c r="K26" i="1"/>
  <c r="P13" i="1" l="1"/>
  <c r="W31" i="1" l="1"/>
  <c r="R13" i="1"/>
  <c r="S13" i="1"/>
  <c r="L13" i="1"/>
  <c r="M13" i="1"/>
  <c r="N13" i="1"/>
  <c r="O13" i="1"/>
  <c r="Q13" i="1"/>
  <c r="U13" i="1"/>
  <c r="V13" i="1"/>
  <c r="K13" i="1"/>
  <c r="Q7" i="1"/>
  <c r="P6" i="1"/>
  <c r="P7" i="1"/>
  <c r="O6" i="1"/>
  <c r="O7" i="1"/>
  <c r="N6" i="1"/>
  <c r="N7" i="1"/>
  <c r="M7" i="1"/>
  <c r="M6" i="1"/>
  <c r="L6" i="1"/>
  <c r="L7" i="1"/>
  <c r="K7" i="1"/>
  <c r="K24" i="1" s="1"/>
  <c r="K6" i="1"/>
  <c r="K23" i="1" s="1"/>
  <c r="K30" i="1" s="1"/>
  <c r="Q77" i="2"/>
  <c r="R77" i="2" s="1"/>
  <c r="Q76" i="2"/>
  <c r="R76" i="2" s="1"/>
  <c r="Q75" i="2"/>
  <c r="R75" i="2" s="1"/>
  <c r="R73" i="2"/>
  <c r="Q73" i="2"/>
  <c r="Q72" i="2"/>
  <c r="R72" i="2" s="1"/>
  <c r="Q68" i="2"/>
  <c r="Q67" i="2"/>
  <c r="R66" i="2"/>
  <c r="Q66" i="2"/>
  <c r="Q65" i="2"/>
  <c r="R65" i="2" s="1"/>
  <c r="Q64" i="2"/>
  <c r="R64" i="2" s="1"/>
  <c r="R62" i="2"/>
  <c r="Q62" i="2"/>
  <c r="R61" i="2"/>
  <c r="Q61" i="2"/>
  <c r="R60" i="2"/>
  <c r="Q60" i="2"/>
  <c r="Q59" i="2"/>
  <c r="R59" i="2" s="1"/>
  <c r="Q55" i="2"/>
  <c r="Q54" i="2"/>
  <c r="R53" i="2"/>
  <c r="Q53" i="2"/>
  <c r="Q52" i="2"/>
  <c r="R52" i="2" s="1"/>
  <c r="Q51" i="2"/>
  <c r="R51" i="2" s="1"/>
  <c r="Q47" i="2"/>
  <c r="R47" i="2" s="1"/>
  <c r="Q46" i="2"/>
  <c r="R45" i="2"/>
  <c r="Q45" i="2"/>
  <c r="Q44" i="2"/>
  <c r="R44" i="2" s="1"/>
  <c r="Q43" i="2"/>
  <c r="R43" i="2" s="1"/>
  <c r="Q39" i="2"/>
  <c r="Q37" i="2"/>
  <c r="Q36" i="2"/>
  <c r="R36" i="2" s="1"/>
  <c r="Q35" i="2"/>
  <c r="R35" i="2" s="1"/>
  <c r="Q34" i="2"/>
  <c r="R34" i="2" s="1"/>
  <c r="Q33" i="2"/>
  <c r="R33" i="2" s="1"/>
  <c r="Q32" i="2"/>
  <c r="R32" i="2" s="1"/>
  <c r="Q29" i="2"/>
  <c r="R29" i="2" s="1"/>
  <c r="Q27" i="2"/>
  <c r="Q26" i="2"/>
  <c r="R26" i="2" s="1"/>
  <c r="Q25" i="2"/>
  <c r="Q83" i="2" s="1"/>
  <c r="Q24" i="2"/>
  <c r="R24" i="2" s="1"/>
  <c r="Q23" i="2"/>
  <c r="R23" i="2" s="1"/>
  <c r="Q22" i="2"/>
  <c r="R22" i="2" s="1"/>
  <c r="Q21" i="2"/>
  <c r="R21" i="2" s="1"/>
  <c r="Q20" i="2"/>
  <c r="R20" i="2" s="1"/>
  <c r="Q19" i="2"/>
  <c r="Q17" i="2"/>
  <c r="Q16" i="2"/>
  <c r="R16" i="2" s="1"/>
  <c r="Q13" i="2"/>
  <c r="Q12" i="2"/>
  <c r="R12" i="2" s="1"/>
  <c r="K25" i="1" l="1"/>
  <c r="K16" i="1"/>
  <c r="Q28" i="2"/>
  <c r="Q70" i="2"/>
  <c r="Q57" i="2"/>
  <c r="Q56" i="2"/>
  <c r="R48" i="2"/>
  <c r="R14" i="2"/>
  <c r="Q69" i="2"/>
  <c r="Q18" i="2"/>
  <c r="Q84" i="2"/>
  <c r="Q49" i="2"/>
  <c r="R30" i="2"/>
  <c r="Q41" i="2"/>
  <c r="Q80" i="2"/>
  <c r="R25" i="2"/>
  <c r="R54" i="2"/>
  <c r="R57" i="2" s="1"/>
  <c r="R27" i="2"/>
  <c r="R28" i="2" s="1"/>
  <c r="R55" i="2"/>
  <c r="R56" i="2" s="1"/>
  <c r="Q48" i="2"/>
  <c r="R39" i="2"/>
  <c r="R40" i="2" s="1"/>
  <c r="Q30" i="2"/>
  <c r="Q79" i="2"/>
  <c r="R68" i="2"/>
  <c r="R69" i="2" s="1"/>
  <c r="Q82" i="2"/>
  <c r="R17" i="2"/>
  <c r="R18" i="2" s="1"/>
  <c r="R19" i="2"/>
  <c r="R46" i="2"/>
  <c r="R49" i="2" s="1"/>
  <c r="R37" i="2"/>
  <c r="R67" i="2"/>
  <c r="R70" i="2" s="1"/>
  <c r="Q40" i="2"/>
  <c r="R13" i="2"/>
  <c r="Q81" i="2"/>
  <c r="K27" i="1" l="1"/>
  <c r="K31" i="1"/>
  <c r="K32" i="1" s="1"/>
  <c r="R41" i="2"/>
  <c r="H24" i="1"/>
  <c r="G24" i="1"/>
  <c r="G17" i="1" s="1"/>
  <c r="F24" i="1"/>
  <c r="F17" i="1" s="1"/>
  <c r="E24" i="1"/>
  <c r="E17" i="1" s="1"/>
  <c r="H23" i="1"/>
  <c r="G23" i="1"/>
  <c r="F23" i="1"/>
  <c r="E23" i="1"/>
  <c r="L10" i="1"/>
  <c r="I10" i="1"/>
  <c r="I23" i="1" s="1"/>
  <c r="N24" i="1"/>
  <c r="N17" i="1" s="1"/>
  <c r="L24" i="1"/>
  <c r="L17" i="1" s="1"/>
  <c r="H16" i="1" l="1"/>
  <c r="H30" i="1"/>
  <c r="H32" i="1" s="1"/>
  <c r="E30" i="1"/>
  <c r="E32" i="1" s="1"/>
  <c r="F30" i="1"/>
  <c r="F32" i="1" s="1"/>
  <c r="G30" i="1"/>
  <c r="G32" i="1" s="1"/>
  <c r="F27" i="1"/>
  <c r="M10" i="1"/>
  <c r="M24" i="1" s="1"/>
  <c r="M17" i="1" s="1"/>
  <c r="L23" i="1"/>
  <c r="L30" i="1" s="1"/>
  <c r="E27" i="1"/>
  <c r="I24" i="1"/>
  <c r="I17" i="1" s="1"/>
  <c r="O23" i="1"/>
  <c r="O24" i="1"/>
  <c r="O17" i="1" s="1"/>
  <c r="I27" i="1"/>
  <c r="I16" i="1"/>
  <c r="G27" i="1"/>
  <c r="H27" i="1"/>
  <c r="H17" i="1"/>
  <c r="H20" i="1" s="1"/>
  <c r="K17" i="1"/>
  <c r="N23" i="1"/>
  <c r="N30" i="1" s="1"/>
  <c r="J10" i="1"/>
  <c r="E16" i="1"/>
  <c r="E20" i="1" s="1"/>
  <c r="F16" i="1"/>
  <c r="F20" i="1" s="1"/>
  <c r="G16" i="1"/>
  <c r="G20" i="1" s="1"/>
  <c r="O30" i="1" l="1"/>
  <c r="I30" i="1"/>
  <c r="I32" i="1" s="1"/>
  <c r="I20" i="1"/>
  <c r="N25" i="1"/>
  <c r="L25" i="1"/>
  <c r="O25" i="1"/>
  <c r="P10" i="1"/>
  <c r="M23" i="1"/>
  <c r="M30" i="1" s="1"/>
  <c r="O16" i="1"/>
  <c r="L16" i="1"/>
  <c r="J23" i="1"/>
  <c r="J24" i="1"/>
  <c r="J17" i="1" s="1"/>
  <c r="N18" i="1"/>
  <c r="N16" i="1"/>
  <c r="K18" i="1"/>
  <c r="N27" i="1" l="1"/>
  <c r="N31" i="1"/>
  <c r="N32" i="1" s="1"/>
  <c r="O27" i="1"/>
  <c r="O31" i="1"/>
  <c r="O32" i="1" s="1"/>
  <c r="L18" i="1"/>
  <c r="L20" i="1" s="1"/>
  <c r="L31" i="1"/>
  <c r="L32" i="1" s="1"/>
  <c r="J30" i="1"/>
  <c r="J32" i="1" s="1"/>
  <c r="O18" i="1"/>
  <c r="O20" i="1" s="1"/>
  <c r="L27" i="1"/>
  <c r="M16" i="1"/>
  <c r="M25" i="1"/>
  <c r="Q10" i="1"/>
  <c r="P23" i="1"/>
  <c r="P24" i="1"/>
  <c r="N20" i="1"/>
  <c r="K20" i="1"/>
  <c r="J27" i="1"/>
  <c r="J16" i="1"/>
  <c r="J20" i="1" s="1"/>
  <c r="M18" i="1" l="1"/>
  <c r="M20" i="1" s="1"/>
  <c r="M31" i="1"/>
  <c r="M32" i="1" s="1"/>
  <c r="M27" i="1"/>
  <c r="P25" i="1"/>
  <c r="P27" i="1" s="1"/>
  <c r="P30" i="1"/>
  <c r="R10" i="1"/>
  <c r="Q24" i="1"/>
  <c r="Q17" i="1" s="1"/>
  <c r="Q23" i="1"/>
  <c r="P16" i="1"/>
  <c r="P17" i="1"/>
  <c r="P31" i="1" l="1"/>
  <c r="P32" i="1" s="1"/>
  <c r="Q30" i="1"/>
  <c r="Q25" i="1"/>
  <c r="Q27" i="1" s="1"/>
  <c r="P18" i="1"/>
  <c r="Q16" i="1"/>
  <c r="S10" i="1"/>
  <c r="R24" i="1"/>
  <c r="R23" i="1"/>
  <c r="R25" i="1" l="1"/>
  <c r="R27" i="1" s="1"/>
  <c r="R30" i="1"/>
  <c r="Q31" i="1"/>
  <c r="Q32" i="1" s="1"/>
  <c r="Q18" i="1"/>
  <c r="Q20" i="1" s="1"/>
  <c r="R16" i="1"/>
  <c r="R17" i="1"/>
  <c r="T10" i="1"/>
  <c r="S24" i="1"/>
  <c r="S17" i="1" s="1"/>
  <c r="S23" i="1"/>
  <c r="P20" i="1"/>
  <c r="S30" i="1" l="1"/>
  <c r="S25" i="1"/>
  <c r="S27" i="1" s="1"/>
  <c r="R31" i="1"/>
  <c r="R18" i="1"/>
  <c r="R32" i="1"/>
  <c r="R20" i="1"/>
  <c r="S16" i="1"/>
  <c r="U10" i="1"/>
  <c r="T23" i="1"/>
  <c r="T24" i="1"/>
  <c r="T25" i="1" l="1"/>
  <c r="T27" i="1" s="1"/>
  <c r="S31" i="1"/>
  <c r="S18" i="1"/>
  <c r="S20" i="1" s="1"/>
  <c r="S32" i="1"/>
  <c r="T30" i="1"/>
  <c r="V10" i="1"/>
  <c r="W10" i="1" s="1"/>
  <c r="U23" i="1"/>
  <c r="U24" i="1"/>
  <c r="T16" i="1"/>
  <c r="T17" i="1"/>
  <c r="U25" i="1" l="1"/>
  <c r="U31" i="1" s="1"/>
  <c r="W23" i="1"/>
  <c r="W24" i="1"/>
  <c r="W17" i="1" s="1"/>
  <c r="V23" i="1"/>
  <c r="U17" i="1"/>
  <c r="U30" i="1"/>
  <c r="U16" i="1"/>
  <c r="T18" i="1"/>
  <c r="T20" i="1" s="1"/>
  <c r="T31" i="1"/>
  <c r="T32" i="1" s="1"/>
  <c r="V24" i="1"/>
  <c r="V17" i="1" s="1"/>
  <c r="U32" i="1" l="1"/>
  <c r="W16" i="1"/>
  <c r="W20" i="1" s="1"/>
  <c r="W30" i="1"/>
  <c r="W32" i="1" s="1"/>
  <c r="W27" i="1"/>
  <c r="X23" i="1"/>
  <c r="X24" i="1"/>
  <c r="X17" i="1" s="1"/>
  <c r="U27" i="1"/>
  <c r="V30" i="1"/>
  <c r="V25" i="1"/>
  <c r="V16" i="1"/>
  <c r="U18" i="1"/>
  <c r="U20" i="1" s="1"/>
  <c r="AJ17" i="1"/>
  <c r="AJ24" i="1"/>
  <c r="AJ23" i="1"/>
  <c r="X30" i="1" l="1"/>
  <c r="X32" i="1" s="1"/>
  <c r="X16" i="1"/>
  <c r="X20" i="1" s="1"/>
  <c r="X27" i="1"/>
  <c r="V31" i="1"/>
  <c r="V32" i="1" s="1"/>
  <c r="V18" i="1"/>
  <c r="V20" i="1" s="1"/>
  <c r="AJ20" i="1" s="1"/>
  <c r="AJ25" i="1"/>
  <c r="V27" i="1"/>
  <c r="AJ27" i="1" s="1"/>
  <c r="AJ16" i="1"/>
  <c r="G15" i="3" l="1"/>
  <c r="J12" i="3"/>
  <c r="K1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Laura Vinazco </author>
  </authors>
  <commentList>
    <comment ref="G13" authorId="0" shapeId="0" xr:uid="{EAE15FF8-50BC-8548-9716-F5EC5100B486}">
      <text>
        <r>
          <rPr>
            <b/>
            <sz val="10"/>
            <color rgb="FF000000"/>
            <rFont val="Tahoma"/>
            <family val="2"/>
          </rPr>
          <t>Por politica de disminucion mayor al 5% se factura la misma cabina del mes pasado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RUIZ</author>
    <author>Andrea Lopez</author>
  </authors>
  <commentList>
    <comment ref="D7" authorId="0" shapeId="0" xr:uid="{997CF611-D586-4F1A-968C-59D3BAAE73E1}">
      <text>
        <r>
          <rPr>
            <b/>
            <sz val="9"/>
            <color indexed="81"/>
            <rFont val="Tahoma"/>
            <family val="2"/>
          </rPr>
          <t>Que porcentaje de los servicios concluidos representan los Cancelados posterior.
Cuantas llamadas por servicio concluido. Este es una estimación pero debe ser calculada por cada filial.</t>
        </r>
      </text>
    </comment>
    <comment ref="E10" authorId="1" shapeId="0" xr:uid="{B1978D24-2E2D-4EE6-8230-6F6003380CEE}">
      <text>
        <r>
          <rPr>
            <b/>
            <sz val="9"/>
            <color rgb="FF000000"/>
            <rFont val="Tahoma"/>
            <family val="2"/>
          </rPr>
          <t>Incremento 20% en julio 2023</t>
        </r>
      </text>
    </comment>
    <comment ref="H10" authorId="1" shapeId="0" xr:uid="{2E80C60E-1F2B-44F7-BCDC-A99A1435552E}">
      <text>
        <r>
          <rPr>
            <b/>
            <sz val="9"/>
            <color rgb="FF000000"/>
            <rFont val="Tahoma"/>
            <family val="2"/>
          </rPr>
          <t>Incremento del 25% trimestral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RUIZ</author>
    <author>Andrea Lopez</author>
  </authors>
  <commentList>
    <comment ref="D7" authorId="0" shapeId="0" xr:uid="{F9B8D82C-E66B-0D4D-A62F-1FE55B445403}">
      <text>
        <r>
          <rPr>
            <b/>
            <sz val="9"/>
            <color indexed="81"/>
            <rFont val="Tahoma"/>
            <family val="2"/>
          </rPr>
          <t>Que porcentaje de los servicios concluidos representan los Cancelados posterior.
Cuantas llamadas por servicio concluido. Este es una estimación pero debe ser calculada por cada filial.</t>
        </r>
      </text>
    </comment>
    <comment ref="E10" authorId="1" shapeId="0" xr:uid="{3CA2E322-7704-D842-9AD8-75F6D995661E}">
      <text>
        <r>
          <rPr>
            <b/>
            <sz val="9"/>
            <color rgb="FF000000"/>
            <rFont val="Tahoma"/>
            <family val="2"/>
          </rPr>
          <t>Incremento 20% en julio 2023</t>
        </r>
      </text>
    </comment>
    <comment ref="H10" authorId="1" shapeId="0" xr:uid="{5B0DD3F7-F6A5-314D-85FE-99D04E2626BE}">
      <text>
        <r>
          <rPr>
            <b/>
            <sz val="9"/>
            <color indexed="81"/>
            <rFont val="Tahoma"/>
            <family val="2"/>
          </rPr>
          <t>Incremento del 25% trimestral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RUIZ</author>
    <author>Andrea Lopez</author>
  </authors>
  <commentList>
    <comment ref="D7" authorId="0" shapeId="0" xr:uid="{3D88EB61-DA53-994F-ACE9-BC3F6551BB49}">
      <text>
        <r>
          <rPr>
            <b/>
            <sz val="9"/>
            <color indexed="81"/>
            <rFont val="Tahoma"/>
            <family val="2"/>
          </rPr>
          <t>Que porcentaje de los servicios concluidos representan los Cancelados posterior.
Cuantas llamadas por servicio concluido. Este es una estimación pero debe ser calculada por cada filial.</t>
        </r>
      </text>
    </comment>
    <comment ref="E10" authorId="1" shapeId="0" xr:uid="{B35E3E81-E1FF-B14F-B207-AE202E2ED441}">
      <text>
        <r>
          <rPr>
            <b/>
            <sz val="9"/>
            <color rgb="FF000000"/>
            <rFont val="Tahoma"/>
            <family val="2"/>
          </rPr>
          <t>Incremento 20% en julio 2023</t>
        </r>
      </text>
    </comment>
    <comment ref="H10" authorId="1" shapeId="0" xr:uid="{F2F9D443-4C69-2A48-AA22-0D9C8CC3F469}">
      <text>
        <r>
          <rPr>
            <b/>
            <sz val="9"/>
            <color indexed="81"/>
            <rFont val="Tahoma"/>
            <family val="2"/>
          </rPr>
          <t>Incremento del 25% trimestral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ASelzer</author>
    <author>Alexdander</author>
  </authors>
  <commentList>
    <comment ref="B17" authorId="0" shapeId="0" xr:uid="{F01077CE-707C-42E5-A3DF-55FA47638AE9}">
      <text>
        <r>
          <rPr>
            <b/>
            <sz val="9"/>
            <color indexed="81"/>
            <rFont val="Tahoma"/>
            <family val="2"/>
          </rPr>
          <t>CON PROVEEDOR CONCLUIDO</t>
        </r>
      </text>
    </comment>
    <comment ref="B22" authorId="1" shapeId="0" xr:uid="{62858EF5-05AB-4DBD-A6A9-3EF72AFCC437}">
      <text>
        <r>
          <rPr>
            <b/>
            <sz val="9"/>
            <color indexed="81"/>
            <rFont val="Tahoma"/>
            <family val="2"/>
          </rPr>
          <t>Servicios x facturar concluidos</t>
        </r>
      </text>
    </comment>
    <comment ref="B23" authorId="1" shapeId="0" xr:uid="{DCD68714-6190-474C-BC0D-CBC881B1F097}">
      <text>
        <r>
          <rPr>
            <b/>
            <sz val="9"/>
            <color indexed="81"/>
            <rFont val="Tahoma"/>
            <family val="2"/>
          </rPr>
          <t xml:space="preserve">Concluidos
</t>
        </r>
      </text>
    </comment>
    <comment ref="B37" authorId="1" shapeId="0" xr:uid="{ECAD3C7F-551D-4218-A774-27D9D6ED93EE}">
      <text>
        <r>
          <rPr>
            <b/>
            <sz val="9"/>
            <color indexed="81"/>
            <rFont val="Tahoma"/>
            <family val="2"/>
          </rPr>
          <t>C + CP, incluye materiales de internos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ASelzer</author>
    <author>Alexdander</author>
  </authors>
  <commentList>
    <comment ref="B17" authorId="0" shapeId="0" xr:uid="{3ED677B3-BDA7-1741-AB5B-E18D09E82145}">
      <text>
        <r>
          <rPr>
            <b/>
            <sz val="9"/>
            <color rgb="FF000000"/>
            <rFont val="Tahoma"/>
            <family val="2"/>
          </rPr>
          <t>CON PROVEEDOR CONCLUIDO</t>
        </r>
      </text>
    </comment>
    <comment ref="B22" authorId="1" shapeId="0" xr:uid="{D9008EA0-CEB9-B842-B4D8-47176D840F87}">
      <text>
        <r>
          <rPr>
            <b/>
            <sz val="9"/>
            <color indexed="81"/>
            <rFont val="Tahoma"/>
            <family val="2"/>
          </rPr>
          <t>Servicios x facturar concluidos</t>
        </r>
      </text>
    </comment>
    <comment ref="B23" authorId="1" shapeId="0" xr:uid="{4F6F5AE9-8E80-414D-B4BA-0105AA085FA0}">
      <text>
        <r>
          <rPr>
            <b/>
            <sz val="9"/>
            <color indexed="81"/>
            <rFont val="Tahoma"/>
            <family val="2"/>
          </rPr>
          <t xml:space="preserve">Concluidos
</t>
        </r>
      </text>
    </comment>
    <comment ref="B37" authorId="1" shapeId="0" xr:uid="{3E9833D5-88C3-9E44-9C99-A52FAEAD70CC}">
      <text>
        <r>
          <rPr>
            <b/>
            <sz val="9"/>
            <color indexed="81"/>
            <rFont val="Tahoma"/>
            <family val="2"/>
          </rPr>
          <t>C + CP, incluye materiales de internos</t>
        </r>
      </text>
    </comment>
  </commentList>
</comments>
</file>

<file path=xl/sharedStrings.xml><?xml version="1.0" encoding="utf-8"?>
<sst xmlns="http://schemas.openxmlformats.org/spreadsheetml/2006/main" count="249" uniqueCount="109">
  <si>
    <t>SERVICIOS DE CABINA</t>
  </si>
  <si>
    <t>A 31 de Diciembre 2024 (expresado en ML)</t>
  </si>
  <si>
    <t>Tipo de cobro</t>
  </si>
  <si>
    <t>Servicios Concluidos</t>
  </si>
  <si>
    <t>Servicios Cancelados Posterior</t>
  </si>
  <si>
    <t>PRECIOS</t>
  </si>
  <si>
    <t>Fee Voccare</t>
  </si>
  <si>
    <t>Tasa de cambio</t>
  </si>
  <si>
    <t>Total</t>
  </si>
  <si>
    <t>Tipo de cobro usd</t>
  </si>
  <si>
    <t>Total USD</t>
  </si>
  <si>
    <t>Tipo de cobro ML</t>
  </si>
  <si>
    <t>Total ML</t>
  </si>
  <si>
    <t>REPORTE EJECUTIVO OPERACIÓN VOCCARE 2024</t>
  </si>
  <si>
    <t>Filial</t>
  </si>
  <si>
    <t>ARGENTINA</t>
  </si>
  <si>
    <t>TIPO DE CAMBIO USD $</t>
  </si>
  <si>
    <t>MES</t>
  </si>
  <si>
    <t>Acumulados</t>
  </si>
  <si>
    <t>Promedio</t>
  </si>
  <si>
    <t>MODULO CARTERA EN RIESGO</t>
  </si>
  <si>
    <t>Cartera en Riesgo</t>
  </si>
  <si>
    <t>Ingresos del Mes Técnico</t>
  </si>
  <si>
    <t>Ingreso / Afiliado</t>
  </si>
  <si>
    <t>COMPORTAMIENTO DE SERVICIOS</t>
  </si>
  <si>
    <t>Total de Asistencia Solicitadas</t>
  </si>
  <si>
    <t>Total Servicios Concluidos (C)</t>
  </si>
  <si>
    <t xml:space="preserve">% Servicios Concluidos </t>
  </si>
  <si>
    <t>Servicios (C) con Costo</t>
  </si>
  <si>
    <t xml:space="preserve">    Servicios (C) Locales</t>
  </si>
  <si>
    <t xml:space="preserve">    Servicios (C) Foraneos</t>
  </si>
  <si>
    <t>Servicios (C) Adicionales</t>
  </si>
  <si>
    <t>Servicios (C) en Conexión</t>
  </si>
  <si>
    <t>Servicios (C) por el CAT - Referencias</t>
  </si>
  <si>
    <t>Servicios (C) por Internos</t>
  </si>
  <si>
    <t>Servicios (C) por Externos</t>
  </si>
  <si>
    <t>Servicios Cancelado Posterior (CP)</t>
  </si>
  <si>
    <t>% Servicios Cancelado Posterior</t>
  </si>
  <si>
    <t>Servicios Cancelado al Momento (CM)</t>
  </si>
  <si>
    <t>% Servicios Cancelado al Momento</t>
  </si>
  <si>
    <t>COMPORTAMIENTO DE SINIESTRALIDAD</t>
  </si>
  <si>
    <t>Costo Siniestralidad Serv. (C) - Locales</t>
  </si>
  <si>
    <t>Costo Siniestralidad Serv. (C) - Foraneos</t>
  </si>
  <si>
    <t>Costo Siniestralidad Internos</t>
  </si>
  <si>
    <t>Costo Siniestralidad Externos</t>
  </si>
  <si>
    <t>Costo Siniestralidad Serv. (CP)</t>
  </si>
  <si>
    <t>Costo Siniestralidad Total</t>
  </si>
  <si>
    <t>LLAMADAS TOTALES</t>
  </si>
  <si>
    <t>Total de llamadas Validas</t>
  </si>
  <si>
    <t>Frecuencia Natural Llamadas Inbound, %</t>
  </si>
  <si>
    <t>Llamadas al CAT, %</t>
  </si>
  <si>
    <t>LLAMADAS PROVEEDORES</t>
  </si>
  <si>
    <t>Total de llamadas validas Proveedores</t>
  </si>
  <si>
    <t>Llamadas atendidas Proveedores</t>
  </si>
  <si>
    <t>Tiempo promedio conversación Proveedores</t>
  </si>
  <si>
    <t>Llamadas atendidas &lt; 15 seg. Proveedores</t>
  </si>
  <si>
    <t>Abandonos mayores a 5 seg. Proveedores</t>
  </si>
  <si>
    <t>% Indice de abandono Proveedores</t>
  </si>
  <si>
    <t>Nivel de servicio &lt; 15 seg. Proveedores</t>
  </si>
  <si>
    <t>LLAMADAS CABINA DE EMERGENCIA CLIENTE</t>
  </si>
  <si>
    <t>Total de llamadas validas Clientes CAT</t>
  </si>
  <si>
    <t>Llamadas atendidas Clientes CAT</t>
  </si>
  <si>
    <t>Tiempo promedio conversación Clientes CAT</t>
  </si>
  <si>
    <t>Llamadas atendidas &lt; 15 seg. Cliente CAT</t>
  </si>
  <si>
    <t>Abandonos mayores a 5 seg. Clientes CAT</t>
  </si>
  <si>
    <t>% Indice de abandono Clientes CAT</t>
  </si>
  <si>
    <t>Nivel de servicio &lt; 15 seg. Clientes CAT</t>
  </si>
  <si>
    <t>PRODUCTIVIDAD COORDINADORES CAT</t>
  </si>
  <si>
    <t>Dotacion de coordinadores efectivos</t>
  </si>
  <si>
    <t>Servicios solicitados X coordinador</t>
  </si>
  <si>
    <t>Servicios concluidos X coordinador</t>
  </si>
  <si>
    <t>Llamadas atendidas X coordinador</t>
  </si>
  <si>
    <t>ATENCION DE LLAMADAS SAC</t>
  </si>
  <si>
    <t>Total de llamadas validas SAC</t>
  </si>
  <si>
    <t>Llamadas atendidas SAC</t>
  </si>
  <si>
    <t>Tiempo promedio conversación SAC</t>
  </si>
  <si>
    <t>Llamadas atendidas &lt; 15 seg. SAC</t>
  </si>
  <si>
    <t>Abandonos mayores a 5 seg. SAC</t>
  </si>
  <si>
    <t>% Indice de abandono SAC</t>
  </si>
  <si>
    <t>Nivel de servicio &lt; 15 seg. SAC</t>
  </si>
  <si>
    <t>PRODUCTIVIDAD AGENTES SAC</t>
  </si>
  <si>
    <t>Dotacion de agentes SAC efectivos</t>
  </si>
  <si>
    <t>Llamadas atendidas X agente</t>
  </si>
  <si>
    <t xml:space="preserve">SEGUIMIENTO LLAMADAS OUTBOUND </t>
  </si>
  <si>
    <t xml:space="preserve">Llamadas Outbound Afiliado </t>
  </si>
  <si>
    <t xml:space="preserve">Lllamadas Outbound Proveedor </t>
  </si>
  <si>
    <t xml:space="preserve">Llamadas Outbound Totales </t>
  </si>
  <si>
    <t>RESULTADOS DE VARIABLES DEL MES</t>
  </si>
  <si>
    <t>% Frecuencia</t>
  </si>
  <si>
    <t>% Frecuencia con Costo</t>
  </si>
  <si>
    <t>% Siniestralidad Total</t>
  </si>
  <si>
    <t>% de servicios concluidos con internos</t>
  </si>
  <si>
    <t>% de servicios suceptibles con internos</t>
  </si>
  <si>
    <t>Costo Promedio X Serv. C. Total USD $</t>
  </si>
  <si>
    <t>Conectividad</t>
  </si>
  <si>
    <t>Ingreso Addiuva</t>
  </si>
  <si>
    <t>Ingreso Corporativo</t>
  </si>
  <si>
    <t>Addiuva Enterprises                                                                                     Ayuda sin fronteras</t>
  </si>
  <si>
    <t>Fecha:</t>
  </si>
  <si>
    <t>Item</t>
  </si>
  <si>
    <t>Concepto</t>
  </si>
  <si>
    <t>Cantidad</t>
  </si>
  <si>
    <t>Subtotal</t>
  </si>
  <si>
    <t>Cabina mes anterior</t>
  </si>
  <si>
    <t>NOTA: Al momento de enviar los indicadores se dará al cliente un plazo máximo de tres días hábiles para revisión, de no tener respuesta se entiende por aceptados los indicadores enviados y procederemos con la facturación.</t>
  </si>
  <si>
    <t>REPORTE EJECUTIVO OPERACIÓN VOCCARE 2025</t>
  </si>
  <si>
    <t>Cabina Addiuva</t>
  </si>
  <si>
    <t>Cabina AON</t>
  </si>
  <si>
    <t>Aumento del 6,3%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</si>
</sst>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6" formatCode="&quot;$&quot;\ #,##0;[Red]\-&quot;$&quot;\ #,##0"/>
    <numFmt numFmtId="41" formatCode="_-* #,##0_-;\-* #,##0_-;_-* &quot;-&quot;_-;_-@_-"/>
    <numFmt numFmtId="43" formatCode="_-* #,##0.00_-;\-* #,##0.00_-;_-* &quot;-&quot;??_-;_-@_-"/>
    <numFmt numFmtId="164" formatCode="_-&quot;$&quot;* #,##0_-;\-&quot;$&quot;* #,##0_-;_-&quot;$&quot;* &quot;-&quot;_-;_-@_-"/>
    <numFmt numFmtId="165" formatCode="_-&quot;$&quot;* #,##0.00_-;\-&quot;$&quot;* #,##0.00_-;_-&quot;$&quot;* &quot;-&quot;??_-;_-@_-"/>
    <numFmt numFmtId="166" formatCode="_(* #,##0_);_(* \(#,##0\);_(* &quot;-&quot;_);_(@_)"/>
    <numFmt numFmtId="167" formatCode="#,##0_ ;[Red]\-#,##0\ "/>
    <numFmt numFmtId="168" formatCode="_(* #,##0.00_);_(* \(#,##0.00\);_(* &quot;-&quot;??_);_(@_)"/>
    <numFmt numFmtId="169" formatCode="_(* #,##0_);_(* \(#,##0\);_(* &quot;-&quot;??_);_(@_)"/>
    <numFmt numFmtId="170" formatCode="0.0"/>
    <numFmt numFmtId="171" formatCode="[$ARS]\ #,##0.00"/>
    <numFmt numFmtId="172" formatCode="[$$-240A]\ #,##0.00"/>
    <numFmt numFmtId="173" formatCode="[$USD]\ #,##0"/>
    <numFmt numFmtId="174" formatCode="[$USD]\ #,##0.00"/>
    <numFmt numFmtId="175" formatCode="0.0%"/>
    <numFmt numFmtId="176" formatCode="#,##0.0"/>
    <numFmt numFmtId="177" formatCode="[&lt;=9999999]###\-####;\(###\)\ ###\-####"/>
    <numFmt numFmtId="178" formatCode="_-[$$-409]* #,##0.00_ ;_-[$$-409]* \-#,##0.00\ ;_-[$$-409]* &quot;-&quot;??_ ;_-@_ "/>
    <numFmt numFmtId="179" formatCode="_-* #,##0.00\ &quot;€&quot;_-;\-* #,##0.00\ &quot;€&quot;_-;_-* &quot;-&quot;??\ &quot;€&quot;_-;_-@_-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8"/>
      <name val="Arial"/>
      <family val="2"/>
      <charset val="1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8"/>
      <color theme="0"/>
      <name val="Arial"/>
      <family val="2"/>
      <charset val="1"/>
    </font>
    <font>
      <i/>
      <sz val="10"/>
      <color theme="0" tint="-4.9989318521683403E-2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0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rgb="FF00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rgb="FF000000"/>
      <name val="Tahoma"/>
      <family val="2"/>
    </font>
    <font>
      <sz val="36"/>
      <color theme="2"/>
      <name val="Arial (Headings)"/>
    </font>
    <font>
      <b/>
      <i/>
      <sz val="14"/>
      <color theme="3" tint="-0.499984740745262"/>
      <name val="Calibri"/>
      <family val="2"/>
      <scheme val="minor"/>
    </font>
    <font>
      <b/>
      <sz val="14"/>
      <color theme="3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</font>
    <font>
      <b/>
      <u/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435CC8"/>
        <bgColor indexed="64"/>
      </patternFill>
    </fill>
    <fill>
      <patternFill patternType="solid">
        <fgColor rgb="FFE75CE0"/>
        <bgColor indexed="64"/>
      </patternFill>
    </fill>
    <fill>
      <patternFill patternType="solid">
        <fgColor rgb="FF8B46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8B4595"/>
        <bgColor indexed="64"/>
      </patternFill>
    </fill>
    <fill>
      <patternFill patternType="solid">
        <fgColor rgb="FFF4DCF2"/>
        <bgColor indexed="64"/>
      </patternFill>
    </fill>
    <fill>
      <patternFill patternType="solid">
        <fgColor rgb="FFB981A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40">
    <border>
      <left/>
      <right/>
      <top/>
      <bottom/>
      <diagonal/>
    </border>
    <border>
      <left style="dashed">
        <color rgb="FF435CC8"/>
      </left>
      <right style="dashed">
        <color rgb="FF435CC8"/>
      </right>
      <top style="dashed">
        <color rgb="FF435CC8"/>
      </top>
      <bottom style="dashed">
        <color rgb="FF435CC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dashed">
        <color rgb="FF435CC8"/>
      </right>
      <top style="thin">
        <color indexed="64"/>
      </top>
      <bottom/>
      <diagonal/>
    </border>
    <border>
      <left style="dashed">
        <color rgb="FF435CC8"/>
      </left>
      <right style="thin">
        <color indexed="64"/>
      </right>
      <top style="thin">
        <color indexed="64"/>
      </top>
      <bottom style="dashed">
        <color rgb="FF435CC8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ashed">
        <color rgb="FF435CC8"/>
      </right>
      <top/>
      <bottom style="thin">
        <color indexed="64"/>
      </bottom>
      <diagonal/>
    </border>
    <border>
      <left style="dashed">
        <color rgb="FF435CC8"/>
      </left>
      <right style="thin">
        <color indexed="64"/>
      </right>
      <top style="dashed">
        <color rgb="FF435CC8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ashed">
        <color rgb="FF435CC8"/>
      </top>
      <bottom/>
      <diagonal/>
    </border>
    <border>
      <left/>
      <right style="dashed">
        <color rgb="FF435CC8"/>
      </right>
      <top style="dashed">
        <color rgb="FF435CC8"/>
      </top>
      <bottom/>
      <diagonal/>
    </border>
    <border>
      <left/>
      <right style="dashed">
        <color rgb="FF435CC8"/>
      </right>
      <top/>
      <bottom/>
      <diagonal/>
    </border>
    <border>
      <left style="medium">
        <color rgb="FFB981AA"/>
      </left>
      <right style="medium">
        <color rgb="FFB981AA"/>
      </right>
      <top style="medium">
        <color rgb="FFB981AA"/>
      </top>
      <bottom style="medium">
        <color rgb="FFB981AA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7030A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</borders>
  <cellStyleXfs count="25">
    <xf numFmtId="0" fontId="0" fillId="0" borderId="0"/>
    <xf numFmtId="168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0" fontId="5" fillId="0" borderId="0"/>
    <xf numFmtId="0" fontId="1" fillId="0" borderId="0"/>
    <xf numFmtId="9" fontId="1" fillId="0" borderId="0" applyFont="0" applyFill="0" applyBorder="0" applyAlignment="0" applyProtection="0"/>
    <xf numFmtId="0" fontId="13" fillId="0" borderId="0"/>
    <xf numFmtId="165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7" applyNumberFormat="0" applyFill="0" applyAlignment="0" applyProtection="0"/>
    <xf numFmtId="0" fontId="26" fillId="0" borderId="18" applyNumberFormat="0" applyFill="0" applyAlignment="0" applyProtection="0"/>
    <xf numFmtId="0" fontId="26" fillId="0" borderId="0" applyNumberFormat="0" applyFill="0" applyBorder="0" applyAlignment="0" applyProtection="0"/>
    <xf numFmtId="0" fontId="1" fillId="15" borderId="19" applyNumberFormat="0" applyFont="0" applyAlignment="0" applyProtection="0"/>
    <xf numFmtId="0" fontId="21" fillId="0" borderId="20" applyNumberFormat="0" applyFill="0" applyAlignment="0" applyProtection="0"/>
    <xf numFmtId="14" fontId="31" fillId="0" borderId="0" applyFont="0" applyFill="0" applyBorder="0" applyAlignment="0"/>
    <xf numFmtId="14" fontId="31" fillId="0" borderId="0" applyNumberFormat="0">
      <alignment horizontal="right" vertical="center" wrapText="1"/>
    </xf>
    <xf numFmtId="177" fontId="31" fillId="0" borderId="0" applyFont="0" applyFill="0" applyBorder="0">
      <alignment horizontal="left" vertical="top" indent="1"/>
    </xf>
    <xf numFmtId="0" fontId="33" fillId="0" borderId="0" applyNumberForma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2">
    <xf numFmtId="0" fontId="0" fillId="0" borderId="0" xfId="0"/>
    <xf numFmtId="0" fontId="2" fillId="0" borderId="0" xfId="0" applyFont="1"/>
    <xf numFmtId="0" fontId="5" fillId="0" borderId="0" xfId="3" applyFont="1"/>
    <xf numFmtId="0" fontId="6" fillId="3" borderId="0" xfId="4" applyFont="1" applyFill="1"/>
    <xf numFmtId="0" fontId="7" fillId="3" borderId="0" xfId="5" applyFont="1" applyFill="1"/>
    <xf numFmtId="0" fontId="8" fillId="3" borderId="0" xfId="3" applyFont="1" applyFill="1"/>
    <xf numFmtId="17" fontId="9" fillId="3" borderId="1" xfId="6" applyNumberFormat="1" applyFont="1" applyFill="1" applyBorder="1" applyAlignment="1">
      <alignment horizontal="center"/>
    </xf>
    <xf numFmtId="0" fontId="10" fillId="0" borderId="0" xfId="6" applyFont="1" applyFill="1"/>
    <xf numFmtId="0" fontId="2" fillId="5" borderId="1" xfId="0" applyFont="1" applyFill="1" applyBorder="1"/>
    <xf numFmtId="0" fontId="12" fillId="0" borderId="1" xfId="4" applyFont="1" applyBorder="1"/>
    <xf numFmtId="167" fontId="2" fillId="5" borderId="1" xfId="7" applyNumberFormat="1" applyFont="1" applyFill="1" applyBorder="1" applyAlignment="1">
      <alignment horizontal="center"/>
    </xf>
    <xf numFmtId="0" fontId="12" fillId="0" borderId="0" xfId="4" applyFont="1"/>
    <xf numFmtId="9" fontId="12" fillId="6" borderId="1" xfId="4" applyNumberFormat="1" applyFont="1" applyFill="1" applyBorder="1" applyAlignment="1">
      <alignment horizontal="center"/>
    </xf>
    <xf numFmtId="0" fontId="2" fillId="5" borderId="4" xfId="0" applyFont="1" applyFill="1" applyBorder="1"/>
    <xf numFmtId="0" fontId="2" fillId="5" borderId="9" xfId="0" applyFont="1" applyFill="1" applyBorder="1"/>
    <xf numFmtId="0" fontId="12" fillId="0" borderId="0" xfId="8" applyFont="1"/>
    <xf numFmtId="166" fontId="12" fillId="0" borderId="0" xfId="7" applyFont="1" applyBorder="1"/>
    <xf numFmtId="0" fontId="2" fillId="8" borderId="0" xfId="0" applyFont="1" applyFill="1"/>
    <xf numFmtId="169" fontId="2" fillId="8" borderId="0" xfId="1" applyNumberFormat="1" applyFont="1" applyFill="1"/>
    <xf numFmtId="1" fontId="12" fillId="0" borderId="0" xfId="4" applyNumberFormat="1" applyFont="1"/>
    <xf numFmtId="0" fontId="11" fillId="4" borderId="0" xfId="0" applyFont="1" applyFill="1" applyAlignment="1">
      <alignment horizontal="center"/>
    </xf>
    <xf numFmtId="6" fontId="2" fillId="5" borderId="1" xfId="7" applyNumberFormat="1" applyFont="1" applyFill="1" applyBorder="1"/>
    <xf numFmtId="169" fontId="2" fillId="0" borderId="0" xfId="1" applyNumberFormat="1" applyFont="1"/>
    <xf numFmtId="0" fontId="15" fillId="5" borderId="1" xfId="0" applyFont="1" applyFill="1" applyBorder="1"/>
    <xf numFmtId="0" fontId="14" fillId="0" borderId="0" xfId="4" applyFont="1"/>
    <xf numFmtId="6" fontId="15" fillId="7" borderId="1" xfId="7" applyNumberFormat="1" applyFont="1" applyFill="1" applyBorder="1"/>
    <xf numFmtId="6" fontId="15" fillId="7" borderId="0" xfId="0" applyNumberFormat="1" applyFont="1" applyFill="1"/>
    <xf numFmtId="6" fontId="2" fillId="0" borderId="0" xfId="0" applyNumberFormat="1" applyFont="1"/>
    <xf numFmtId="9" fontId="14" fillId="0" borderId="0" xfId="4" applyNumberFormat="1" applyFont="1"/>
    <xf numFmtId="9" fontId="15" fillId="0" borderId="0" xfId="0" applyNumberFormat="1" applyFont="1"/>
    <xf numFmtId="170" fontId="2" fillId="0" borderId="0" xfId="0" applyNumberFormat="1" applyFont="1"/>
    <xf numFmtId="2" fontId="2" fillId="0" borderId="0" xfId="0" applyNumberFormat="1" applyFont="1"/>
    <xf numFmtId="10" fontId="2" fillId="0" borderId="0" xfId="2" applyNumberFormat="1" applyFont="1"/>
    <xf numFmtId="0" fontId="1" fillId="5" borderId="0" xfId="9" applyFill="1"/>
    <xf numFmtId="0" fontId="20" fillId="5" borderId="0" xfId="9" applyFont="1" applyFill="1" applyAlignment="1">
      <alignment horizontal="center"/>
    </xf>
    <xf numFmtId="0" fontId="19" fillId="5" borderId="0" xfId="9" applyFont="1" applyFill="1"/>
    <xf numFmtId="0" fontId="18" fillId="9" borderId="0" xfId="0" applyFont="1" applyFill="1"/>
    <xf numFmtId="0" fontId="18" fillId="5" borderId="0" xfId="9" applyFont="1" applyFill="1"/>
    <xf numFmtId="0" fontId="1" fillId="0" borderId="0" xfId="9"/>
    <xf numFmtId="0" fontId="18" fillId="0" borderId="0" xfId="0" applyFont="1"/>
    <xf numFmtId="171" fontId="0" fillId="0" borderId="15" xfId="0" applyNumberFormat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19" fillId="5" borderId="0" xfId="0" applyFont="1" applyFill="1"/>
    <xf numFmtId="172" fontId="1" fillId="5" borderId="0" xfId="9" applyNumberFormat="1" applyFill="1"/>
    <xf numFmtId="0" fontId="0" fillId="0" borderId="15" xfId="0" applyBorder="1" applyAlignment="1">
      <alignment horizontal="center"/>
    </xf>
    <xf numFmtId="17" fontId="18" fillId="9" borderId="15" xfId="0" applyNumberFormat="1" applyFont="1" applyFill="1" applyBorder="1" applyAlignment="1">
      <alignment horizontal="center"/>
    </xf>
    <xf numFmtId="0" fontId="19" fillId="5" borderId="0" xfId="0" applyFont="1" applyFill="1" applyAlignment="1">
      <alignment horizontal="center"/>
    </xf>
    <xf numFmtId="0" fontId="18" fillId="9" borderId="0" xfId="0" applyFont="1" applyFill="1" applyAlignment="1">
      <alignment horizontal="center" vertical="center"/>
    </xf>
    <xf numFmtId="0" fontId="1" fillId="0" borderId="0" xfId="9" applyAlignment="1">
      <alignment horizontal="center"/>
    </xf>
    <xf numFmtId="0" fontId="1" fillId="5" borderId="0" xfId="9" applyFill="1" applyAlignment="1">
      <alignment horizontal="center"/>
    </xf>
    <xf numFmtId="0" fontId="0" fillId="0" borderId="16" xfId="0" applyBorder="1"/>
    <xf numFmtId="3" fontId="0" fillId="10" borderId="16" xfId="0" applyNumberFormat="1" applyFill="1" applyBorder="1" applyAlignment="1">
      <alignment horizontal="right" vertical="center"/>
    </xf>
    <xf numFmtId="0" fontId="0" fillId="5" borderId="16" xfId="0" applyFill="1" applyBorder="1" applyAlignment="1">
      <alignment horizontal="center"/>
    </xf>
    <xf numFmtId="3" fontId="18" fillId="11" borderId="16" xfId="0" applyNumberFormat="1" applyFont="1" applyFill="1" applyBorder="1" applyAlignment="1">
      <alignment horizontal="center" vertical="center"/>
    </xf>
    <xf numFmtId="3" fontId="1" fillId="5" borderId="0" xfId="9" applyNumberFormat="1" applyFill="1"/>
    <xf numFmtId="173" fontId="0" fillId="10" borderId="16" xfId="0" applyNumberFormat="1" applyFill="1" applyBorder="1" applyAlignment="1">
      <alignment horizontal="right" vertical="center"/>
    </xf>
    <xf numFmtId="173" fontId="0" fillId="5" borderId="16" xfId="0" applyNumberFormat="1" applyFill="1" applyBorder="1" applyAlignment="1">
      <alignment horizontal="center"/>
    </xf>
    <xf numFmtId="173" fontId="18" fillId="11" borderId="16" xfId="0" applyNumberFormat="1" applyFont="1" applyFill="1" applyBorder="1" applyAlignment="1">
      <alignment horizontal="center" vertical="center"/>
    </xf>
    <xf numFmtId="174" fontId="0" fillId="10" borderId="16" xfId="0" applyNumberFormat="1" applyFill="1" applyBorder="1" applyAlignment="1">
      <alignment horizontal="right" vertical="center"/>
    </xf>
    <xf numFmtId="174" fontId="18" fillId="11" borderId="16" xfId="0" applyNumberFormat="1" applyFont="1" applyFill="1" applyBorder="1" applyAlignment="1">
      <alignment horizontal="center" vertical="center"/>
    </xf>
    <xf numFmtId="0" fontId="19" fillId="5" borderId="0" xfId="0" applyFont="1" applyFill="1" applyAlignment="1">
      <alignment vertical="center"/>
    </xf>
    <xf numFmtId="3" fontId="0" fillId="5" borderId="16" xfId="0" applyNumberFormat="1" applyFill="1" applyBorder="1" applyAlignment="1">
      <alignment horizontal="center"/>
    </xf>
    <xf numFmtId="0" fontId="1" fillId="12" borderId="0" xfId="9" applyFill="1"/>
    <xf numFmtId="0" fontId="0" fillId="12" borderId="16" xfId="0" applyFill="1" applyBorder="1"/>
    <xf numFmtId="3" fontId="0" fillId="12" borderId="16" xfId="0" applyNumberFormat="1" applyFill="1" applyBorder="1" applyAlignment="1">
      <alignment horizontal="right" vertical="center"/>
    </xf>
    <xf numFmtId="3" fontId="0" fillId="12" borderId="16" xfId="0" applyNumberFormat="1" applyFill="1" applyBorder="1" applyAlignment="1">
      <alignment horizontal="center"/>
    </xf>
    <xf numFmtId="3" fontId="18" fillId="12" borderId="16" xfId="0" applyNumberFormat="1" applyFont="1" applyFill="1" applyBorder="1" applyAlignment="1">
      <alignment horizontal="center" vertical="center"/>
    </xf>
    <xf numFmtId="175" fontId="1" fillId="10" borderId="16" xfId="10" applyNumberFormat="1" applyFill="1" applyBorder="1" applyAlignment="1">
      <alignment horizontal="right" vertical="center"/>
    </xf>
    <xf numFmtId="175" fontId="18" fillId="11" borderId="16" xfId="10" applyNumberFormat="1" applyFont="1" applyFill="1" applyBorder="1" applyAlignment="1">
      <alignment horizontal="center" vertical="center"/>
    </xf>
    <xf numFmtId="0" fontId="0" fillId="5" borderId="16" xfId="0" applyFill="1" applyBorder="1"/>
    <xf numFmtId="9" fontId="0" fillId="0" borderId="0" xfId="10" applyFont="1" applyBorder="1"/>
    <xf numFmtId="0" fontId="0" fillId="5" borderId="16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6" xfId="3" applyBorder="1"/>
    <xf numFmtId="0" fontId="3" fillId="5" borderId="0" xfId="3" applyFill="1"/>
    <xf numFmtId="0" fontId="0" fillId="0" borderId="16" xfId="0" applyBorder="1" applyAlignment="1">
      <alignment horizontal="center" vertical="center"/>
    </xf>
    <xf numFmtId="9" fontId="0" fillId="10" borderId="16" xfId="10" applyFont="1" applyFill="1" applyBorder="1" applyAlignment="1">
      <alignment horizontal="right" vertical="center"/>
    </xf>
    <xf numFmtId="0" fontId="1" fillId="0" borderId="0" xfId="10" applyNumberFormat="1" applyBorder="1"/>
    <xf numFmtId="0" fontId="3" fillId="0" borderId="16" xfId="3" applyBorder="1" applyAlignment="1">
      <alignment vertical="center"/>
    </xf>
    <xf numFmtId="0" fontId="3" fillId="5" borderId="0" xfId="3" applyFill="1" applyAlignment="1">
      <alignment vertical="center"/>
    </xf>
    <xf numFmtId="3" fontId="0" fillId="13" borderId="16" xfId="0" applyNumberFormat="1" applyFill="1" applyBorder="1" applyAlignment="1">
      <alignment horizontal="right" vertical="center"/>
    </xf>
    <xf numFmtId="3" fontId="0" fillId="5" borderId="16" xfId="0" applyNumberFormat="1" applyFill="1" applyBorder="1" applyAlignment="1">
      <alignment horizontal="right" vertical="center"/>
    </xf>
    <xf numFmtId="4" fontId="0" fillId="13" borderId="16" xfId="0" applyNumberFormat="1" applyFill="1" applyBorder="1" applyAlignment="1">
      <alignment horizontal="right" vertical="center"/>
    </xf>
    <xf numFmtId="176" fontId="18" fillId="11" borderId="16" xfId="0" applyNumberFormat="1" applyFont="1" applyFill="1" applyBorder="1" applyAlignment="1">
      <alignment horizontal="center" vertical="center"/>
    </xf>
    <xf numFmtId="9" fontId="0" fillId="13" borderId="16" xfId="0" applyNumberFormat="1" applyFill="1" applyBorder="1" applyAlignment="1">
      <alignment horizontal="right" vertical="center"/>
    </xf>
    <xf numFmtId="9" fontId="1" fillId="5" borderId="16" xfId="10" applyFill="1" applyBorder="1" applyAlignment="1">
      <alignment horizontal="right" vertical="center"/>
    </xf>
    <xf numFmtId="10" fontId="18" fillId="11" borderId="16" xfId="10" applyNumberFormat="1" applyFont="1" applyFill="1" applyBorder="1" applyAlignment="1">
      <alignment horizontal="center" vertical="center"/>
    </xf>
    <xf numFmtId="10" fontId="1" fillId="0" borderId="0" xfId="10" applyNumberFormat="1" applyBorder="1" applyAlignment="1">
      <alignment horizontal="right" vertical="center"/>
    </xf>
    <xf numFmtId="0" fontId="0" fillId="0" borderId="0" xfId="0" applyAlignment="1">
      <alignment horizontal="center" vertical="center"/>
    </xf>
    <xf numFmtId="10" fontId="19" fillId="0" borderId="0" xfId="10" applyNumberFormat="1" applyFont="1" applyBorder="1" applyAlignment="1">
      <alignment horizontal="center" vertical="center"/>
    </xf>
    <xf numFmtId="10" fontId="18" fillId="0" borderId="0" xfId="10" applyNumberFormat="1" applyFont="1" applyBorder="1" applyAlignment="1">
      <alignment horizontal="center" vertical="center"/>
    </xf>
    <xf numFmtId="3" fontId="0" fillId="0" borderId="16" xfId="0" applyNumberFormat="1" applyBorder="1" applyAlignment="1">
      <alignment horizontal="right" vertical="center"/>
    </xf>
    <xf numFmtId="0" fontId="22" fillId="5" borderId="0" xfId="3" applyFont="1" applyFill="1"/>
    <xf numFmtId="4" fontId="0" fillId="5" borderId="16" xfId="0" applyNumberFormat="1" applyFill="1" applyBorder="1" applyAlignment="1">
      <alignment horizontal="right" vertical="center"/>
    </xf>
    <xf numFmtId="10" fontId="0" fillId="5" borderId="16" xfId="10" applyNumberFormat="1" applyFont="1" applyFill="1" applyBorder="1" applyAlignment="1">
      <alignment horizontal="right" vertical="center"/>
    </xf>
    <xf numFmtId="10" fontId="1" fillId="5" borderId="16" xfId="10" applyNumberFormat="1" applyFill="1" applyBorder="1" applyAlignment="1">
      <alignment horizontal="right" vertical="center"/>
    </xf>
    <xf numFmtId="4" fontId="0" fillId="0" borderId="16" xfId="0" applyNumberFormat="1" applyBorder="1" applyAlignment="1">
      <alignment horizontal="right" vertical="center"/>
    </xf>
    <xf numFmtId="0" fontId="13" fillId="5" borderId="0" xfId="11" applyFill="1" applyAlignment="1">
      <alignment vertical="center"/>
    </xf>
    <xf numFmtId="0" fontId="13" fillId="0" borderId="16" xfId="11" applyBorder="1" applyAlignment="1">
      <alignment vertical="center"/>
    </xf>
    <xf numFmtId="10" fontId="1" fillId="0" borderId="16" xfId="10" applyNumberFormat="1" applyBorder="1" applyAlignment="1">
      <alignment horizontal="right" vertical="center"/>
    </xf>
    <xf numFmtId="3" fontId="1" fillId="5" borderId="16" xfId="10" applyNumberFormat="1" applyFill="1" applyBorder="1" applyAlignment="1">
      <alignment horizontal="right" vertical="center"/>
    </xf>
    <xf numFmtId="0" fontId="0" fillId="0" borderId="16" xfId="0" applyBorder="1" applyAlignment="1">
      <alignment vertical="center"/>
    </xf>
    <xf numFmtId="0" fontId="23" fillId="5" borderId="0" xfId="9" applyFont="1" applyFill="1" applyAlignment="1">
      <alignment horizontal="center"/>
    </xf>
    <xf numFmtId="168" fontId="2" fillId="0" borderId="0" xfId="1" applyFont="1"/>
    <xf numFmtId="6" fontId="12" fillId="0" borderId="0" xfId="4" applyNumberFormat="1" applyFont="1"/>
    <xf numFmtId="167" fontId="2" fillId="0" borderId="1" xfId="7" applyNumberFormat="1" applyFont="1" applyFill="1" applyBorder="1" applyAlignment="1">
      <alignment horizontal="center"/>
    </xf>
    <xf numFmtId="0" fontId="11" fillId="4" borderId="0" xfId="4" applyFont="1" applyFill="1" applyAlignment="1">
      <alignment horizontal="center" vertical="center"/>
    </xf>
    <xf numFmtId="168" fontId="2" fillId="0" borderId="0" xfId="1" applyFont="1" applyBorder="1"/>
    <xf numFmtId="168" fontId="2" fillId="0" borderId="10" xfId="1" applyFont="1" applyBorder="1"/>
    <xf numFmtId="43" fontId="15" fillId="0" borderId="0" xfId="0" applyNumberFormat="1" applyFont="1"/>
    <xf numFmtId="6" fontId="2" fillId="12" borderId="1" xfId="7" applyNumberFormat="1" applyFont="1" applyFill="1" applyBorder="1"/>
    <xf numFmtId="10" fontId="2" fillId="14" borderId="0" xfId="2" applyNumberFormat="1" applyFont="1" applyFill="1"/>
    <xf numFmtId="0" fontId="2" fillId="14" borderId="0" xfId="0" applyFont="1" applyFill="1"/>
    <xf numFmtId="0" fontId="4" fillId="2" borderId="0" xfId="3" applyFont="1" applyFill="1" applyAlignment="1">
      <alignment horizontal="center" vertical="center" wrapText="1"/>
    </xf>
    <xf numFmtId="167" fontId="12" fillId="0" borderId="0" xfId="4" applyNumberFormat="1" applyFont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left" vertical="center" wrapText="1" indent="1"/>
    </xf>
    <xf numFmtId="0" fontId="0" fillId="0" borderId="24" xfId="0" applyBorder="1" applyAlignment="1">
      <alignment horizontal="left" vertical="center" wrapText="1" indent="1"/>
    </xf>
    <xf numFmtId="0" fontId="0" fillId="0" borderId="28" xfId="0" applyBorder="1"/>
    <xf numFmtId="0" fontId="30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left" vertical="center" wrapText="1" indent="1"/>
    </xf>
    <xf numFmtId="0" fontId="0" fillId="0" borderId="0" xfId="0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19" fillId="0" borderId="32" xfId="0" applyFont="1" applyBorder="1" applyAlignment="1">
      <alignment horizontal="left" vertical="center" wrapText="1" indent="1"/>
    </xf>
    <xf numFmtId="0" fontId="21" fillId="0" borderId="0" xfId="14" applyFont="1" applyBorder="1" applyAlignment="1">
      <alignment horizontal="left" vertical="center"/>
    </xf>
    <xf numFmtId="14" fontId="31" fillId="0" borderId="0" xfId="19" applyBorder="1" applyAlignment="1">
      <alignment horizontal="left" vertical="center"/>
    </xf>
    <xf numFmtId="14" fontId="31" fillId="0" borderId="33" xfId="19" applyBorder="1" applyAlignment="1">
      <alignment horizontal="left" vertical="center"/>
    </xf>
    <xf numFmtId="0" fontId="31" fillId="0" borderId="33" xfId="20" applyNumberFormat="1" applyBorder="1" applyAlignment="1">
      <alignment horizontal="left" vertical="center" wrapText="1"/>
    </xf>
    <xf numFmtId="177" fontId="0" fillId="0" borderId="32" xfId="21" applyFont="1" applyBorder="1" applyAlignment="1">
      <alignment horizontal="left" vertical="center" indent="1"/>
    </xf>
    <xf numFmtId="177" fontId="0" fillId="0" borderId="0" xfId="21" applyFont="1" applyBorder="1" applyAlignment="1">
      <alignment horizontal="left" vertical="center" indent="1"/>
    </xf>
    <xf numFmtId="177" fontId="32" fillId="0" borderId="32" xfId="21" applyFont="1" applyBorder="1" applyAlignment="1">
      <alignment horizontal="left" vertical="center" indent="1"/>
    </xf>
    <xf numFmtId="0" fontId="33" fillId="0" borderId="32" xfId="22" applyBorder="1" applyAlignment="1">
      <alignment horizontal="left" vertical="center" indent="1"/>
    </xf>
    <xf numFmtId="0" fontId="33" fillId="0" borderId="0" xfId="22" applyBorder="1" applyAlignment="1">
      <alignment horizontal="left" vertical="center" indent="1"/>
    </xf>
    <xf numFmtId="0" fontId="4" fillId="16" borderId="25" xfId="16" applyFont="1" applyFill="1" applyBorder="1" applyAlignment="1">
      <alignment horizontal="center" vertical="center" wrapText="1"/>
    </xf>
    <xf numFmtId="0" fontId="4" fillId="16" borderId="26" xfId="16" applyFont="1" applyFill="1" applyBorder="1" applyAlignment="1">
      <alignment horizontal="center" vertical="center" wrapText="1"/>
    </xf>
    <xf numFmtId="0" fontId="4" fillId="16" borderId="27" xfId="16" applyFont="1" applyFill="1" applyBorder="1" applyAlignment="1">
      <alignment horizontal="center" vertical="center" wrapText="1"/>
    </xf>
    <xf numFmtId="168" fontId="31" fillId="0" borderId="33" xfId="1" applyFont="1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19" fillId="0" borderId="35" xfId="15" applyFont="1" applyFill="1" applyBorder="1" applyAlignment="1">
      <alignment horizontal="left" vertical="center" wrapText="1" indent="1"/>
    </xf>
    <xf numFmtId="9" fontId="31" fillId="0" borderId="35" xfId="2" applyFont="1" applyFill="1" applyBorder="1" applyAlignment="1">
      <alignment horizontal="right" vertical="center"/>
    </xf>
    <xf numFmtId="0" fontId="31" fillId="0" borderId="35" xfId="0" applyFont="1" applyBorder="1" applyAlignment="1">
      <alignment horizontal="left" vertical="center" wrapText="1" indent="1"/>
    </xf>
    <xf numFmtId="0" fontId="31" fillId="0" borderId="36" xfId="0" applyFont="1" applyBorder="1" applyAlignment="1">
      <alignment horizontal="left" vertical="center" wrapText="1" indent="1"/>
    </xf>
    <xf numFmtId="0" fontId="0" fillId="0" borderId="37" xfId="0" applyBorder="1" applyAlignment="1">
      <alignment horizontal="left" vertical="center" wrapText="1" indent="1"/>
    </xf>
    <xf numFmtId="0" fontId="4" fillId="0" borderId="38" xfId="14" applyFont="1" applyFill="1" applyBorder="1" applyAlignment="1">
      <alignment horizontal="left" vertical="center" indent="1"/>
    </xf>
    <xf numFmtId="179" fontId="4" fillId="0" borderId="38" xfId="18" applyNumberFormat="1" applyFont="1" applyFill="1" applyBorder="1" applyAlignment="1">
      <alignment horizontal="right" vertical="center"/>
    </xf>
    <xf numFmtId="0" fontId="31" fillId="0" borderId="38" xfId="0" applyFont="1" applyBorder="1" applyAlignment="1">
      <alignment horizontal="left" vertical="center" wrapText="1" indent="1"/>
    </xf>
    <xf numFmtId="0" fontId="0" fillId="0" borderId="39" xfId="0" applyBorder="1"/>
    <xf numFmtId="0" fontId="0" fillId="0" borderId="0" xfId="0" applyAlignment="1">
      <alignment vertical="center" wrapText="1"/>
    </xf>
    <xf numFmtId="0" fontId="31" fillId="0" borderId="0" xfId="20" applyNumberForma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165" fontId="0" fillId="0" borderId="0" xfId="0" applyNumberFormat="1" applyAlignment="1">
      <alignment horizontal="center" vertical="center"/>
    </xf>
    <xf numFmtId="0" fontId="20" fillId="5" borderId="0" xfId="0" applyFont="1" applyFill="1" applyAlignment="1">
      <alignment horizontal="center"/>
    </xf>
    <xf numFmtId="0" fontId="18" fillId="5" borderId="0" xfId="0" applyFont="1" applyFill="1"/>
    <xf numFmtId="172" fontId="0" fillId="5" borderId="0" xfId="0" applyNumberFormat="1" applyFill="1"/>
    <xf numFmtId="3" fontId="0" fillId="5" borderId="0" xfId="0" applyNumberFormat="1" applyFill="1"/>
    <xf numFmtId="175" fontId="1" fillId="10" borderId="16" xfId="2" applyNumberFormat="1" applyFill="1" applyBorder="1" applyAlignment="1">
      <alignment horizontal="right" vertical="center"/>
    </xf>
    <xf numFmtId="175" fontId="18" fillId="11" borderId="16" xfId="2" applyNumberFormat="1" applyFont="1" applyFill="1" applyBorder="1" applyAlignment="1">
      <alignment horizontal="center" vertical="center"/>
    </xf>
    <xf numFmtId="9" fontId="0" fillId="0" borderId="0" xfId="2" applyFont="1" applyBorder="1"/>
    <xf numFmtId="0" fontId="13" fillId="0" borderId="16" xfId="11" applyBorder="1"/>
    <xf numFmtId="0" fontId="13" fillId="5" borderId="16" xfId="11" applyFill="1" applyBorder="1"/>
    <xf numFmtId="9" fontId="0" fillId="10" borderId="16" xfId="2" applyFont="1" applyFill="1" applyBorder="1" applyAlignment="1">
      <alignment horizontal="right" vertical="center"/>
    </xf>
    <xf numFmtId="0" fontId="1" fillId="0" borderId="0" xfId="2" applyNumberFormat="1" applyBorder="1"/>
    <xf numFmtId="0" fontId="13" fillId="5" borderId="16" xfId="11" applyFill="1" applyBorder="1" applyAlignment="1">
      <alignment vertical="center"/>
    </xf>
    <xf numFmtId="10" fontId="18" fillId="11" borderId="16" xfId="2" applyNumberFormat="1" applyFont="1" applyFill="1" applyBorder="1" applyAlignment="1">
      <alignment horizontal="center" vertical="center"/>
    </xf>
    <xf numFmtId="10" fontId="1" fillId="0" borderId="0" xfId="2" applyNumberFormat="1" applyBorder="1" applyAlignment="1">
      <alignment horizontal="right" vertical="center"/>
    </xf>
    <xf numFmtId="10" fontId="19" fillId="0" borderId="0" xfId="2" applyNumberFormat="1" applyFont="1" applyBorder="1" applyAlignment="1">
      <alignment horizontal="center" vertical="center"/>
    </xf>
    <xf numFmtId="10" fontId="18" fillId="0" borderId="0" xfId="2" applyNumberFormat="1" applyFont="1" applyBorder="1" applyAlignment="1">
      <alignment horizontal="center" vertical="center"/>
    </xf>
    <xf numFmtId="0" fontId="22" fillId="5" borderId="0" xfId="11" applyFont="1" applyFill="1"/>
    <xf numFmtId="10" fontId="0" fillId="5" borderId="16" xfId="2" applyNumberFormat="1" applyFont="1" applyFill="1" applyBorder="1" applyAlignment="1">
      <alignment horizontal="right" vertical="center"/>
    </xf>
    <xf numFmtId="10" fontId="1" fillId="5" borderId="16" xfId="2" applyNumberFormat="1" applyFill="1" applyBorder="1" applyAlignment="1">
      <alignment horizontal="right" vertical="center"/>
    </xf>
    <xf numFmtId="10" fontId="1" fillId="0" borderId="16" xfId="2" applyNumberFormat="1" applyBorder="1" applyAlignment="1">
      <alignment horizontal="right" vertical="center"/>
    </xf>
    <xf numFmtId="3" fontId="1" fillId="5" borderId="16" xfId="2" applyNumberFormat="1" applyFill="1" applyBorder="1" applyAlignment="1">
      <alignment horizontal="right" vertical="center"/>
    </xf>
    <xf numFmtId="10" fontId="0" fillId="5" borderId="0" xfId="0" applyNumberFormat="1" applyFill="1"/>
    <xf numFmtId="0" fontId="23" fillId="5" borderId="0" xfId="0" applyFont="1" applyFill="1" applyAlignment="1">
      <alignment horizontal="center"/>
    </xf>
    <xf numFmtId="3" fontId="0" fillId="14" borderId="16" xfId="0" applyNumberFormat="1" applyFill="1" applyBorder="1" applyAlignment="1">
      <alignment horizontal="right" vertical="center"/>
    </xf>
    <xf numFmtId="178" fontId="0" fillId="0" borderId="0" xfId="0" applyNumberFormat="1"/>
    <xf numFmtId="41" fontId="0" fillId="0" borderId="0" xfId="23" applyFont="1"/>
    <xf numFmtId="41" fontId="2" fillId="0" borderId="0" xfId="23" applyFont="1"/>
    <xf numFmtId="41" fontId="2" fillId="0" borderId="0" xfId="0" applyNumberFormat="1" applyFont="1"/>
    <xf numFmtId="169" fontId="2" fillId="0" borderId="0" xfId="0" applyNumberFormat="1" applyFont="1"/>
    <xf numFmtId="41" fontId="2" fillId="17" borderId="0" xfId="0" applyNumberFormat="1" applyFont="1" applyFill="1"/>
    <xf numFmtId="6" fontId="2" fillId="0" borderId="0" xfId="23" applyNumberFormat="1" applyFont="1" applyFill="1"/>
    <xf numFmtId="164" fontId="2" fillId="0" borderId="0" xfId="24" applyFont="1" applyFill="1"/>
    <xf numFmtId="169" fontId="12" fillId="0" borderId="0" xfId="4" applyNumberFormat="1" applyFont="1"/>
    <xf numFmtId="0" fontId="1" fillId="0" borderId="32" xfId="1" applyNumberFormat="1" applyFont="1" applyFill="1" applyBorder="1" applyAlignment="1">
      <alignment horizontal="center" vertical="center"/>
    </xf>
    <xf numFmtId="0" fontId="34" fillId="0" borderId="0" xfId="3" applyFont="1" applyAlignment="1">
      <alignment horizontal="left"/>
    </xf>
    <xf numFmtId="0" fontId="31" fillId="0" borderId="0" xfId="0" applyFont="1" applyAlignment="1">
      <alignment horizontal="center" vertical="center"/>
    </xf>
    <xf numFmtId="178" fontId="31" fillId="0" borderId="0" xfId="12" applyNumberFormat="1" applyFont="1" applyFill="1" applyBorder="1" applyAlignment="1">
      <alignment horizontal="center" vertical="center"/>
    </xf>
    <xf numFmtId="165" fontId="1" fillId="0" borderId="0" xfId="12" applyFont="1" applyFill="1" applyBorder="1" applyAlignment="1">
      <alignment horizontal="center" vertical="center"/>
    </xf>
    <xf numFmtId="0" fontId="0" fillId="0" borderId="32" xfId="1" applyNumberFormat="1" applyFont="1" applyFill="1" applyBorder="1" applyAlignment="1">
      <alignment horizontal="center" vertical="center"/>
    </xf>
    <xf numFmtId="0" fontId="35" fillId="0" borderId="0" xfId="3" applyFont="1" applyAlignment="1">
      <alignment horizontal="center"/>
    </xf>
    <xf numFmtId="41" fontId="12" fillId="0" borderId="0" xfId="23" applyFont="1"/>
    <xf numFmtId="41" fontId="12" fillId="14" borderId="0" xfId="23" applyFont="1" applyFill="1"/>
    <xf numFmtId="1" fontId="12" fillId="14" borderId="0" xfId="4" applyNumberFormat="1" applyFont="1" applyFill="1"/>
    <xf numFmtId="41" fontId="1" fillId="0" borderId="33" xfId="23" applyFont="1" applyFill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0" xfId="2" applyFont="1"/>
    <xf numFmtId="165" fontId="0" fillId="0" borderId="0" xfId="2" applyNumberFormat="1" applyFont="1"/>
    <xf numFmtId="0" fontId="28" fillId="16" borderId="25" xfId="13" applyFont="1" applyFill="1" applyBorder="1" applyAlignment="1">
      <alignment horizontal="center" vertical="center"/>
    </xf>
    <xf numFmtId="0" fontId="28" fillId="16" borderId="26" xfId="13" applyFont="1" applyFill="1" applyBorder="1" applyAlignment="1">
      <alignment horizontal="center" vertical="center"/>
    </xf>
    <xf numFmtId="0" fontId="28" fillId="16" borderId="27" xfId="13" applyFont="1" applyFill="1" applyBorder="1" applyAlignment="1">
      <alignment horizontal="center" vertical="center"/>
    </xf>
    <xf numFmtId="0" fontId="29" fillId="0" borderId="29" xfId="0" applyFont="1" applyBorder="1" applyAlignment="1">
      <alignment horizontal="center" vertical="center" wrapText="1"/>
    </xf>
    <xf numFmtId="0" fontId="30" fillId="0" borderId="30" xfId="0" applyFont="1" applyBorder="1" applyAlignment="1">
      <alignment horizontal="center" vertical="center" wrapText="1"/>
    </xf>
    <xf numFmtId="0" fontId="1" fillId="0" borderId="34" xfId="17" applyFill="1" applyBorder="1" applyAlignment="1">
      <alignment horizontal="left" vertical="center" wrapText="1" indent="1"/>
    </xf>
    <xf numFmtId="0" fontId="1" fillId="0" borderId="35" xfId="17" applyFill="1" applyBorder="1" applyAlignment="1">
      <alignment horizontal="left" vertical="center" wrapText="1" indent="1"/>
    </xf>
    <xf numFmtId="0" fontId="32" fillId="0" borderId="38" xfId="17" applyFont="1" applyFill="1" applyBorder="1" applyAlignment="1">
      <alignment horizontal="left" vertical="center" wrapText="1" indent="1"/>
    </xf>
    <xf numFmtId="0" fontId="36" fillId="0" borderId="0" xfId="0" applyFont="1" applyAlignment="1">
      <alignment horizontal="center" wrapText="1"/>
    </xf>
    <xf numFmtId="169" fontId="14" fillId="7" borderId="5" xfId="1" applyNumberFormat="1" applyFont="1" applyFill="1" applyBorder="1" applyAlignment="1">
      <alignment horizontal="center" vertical="center"/>
    </xf>
    <xf numFmtId="169" fontId="14" fillId="7" borderId="10" xfId="1" applyNumberFormat="1" applyFont="1" applyFill="1" applyBorder="1" applyAlignment="1">
      <alignment horizontal="center" vertical="center"/>
    </xf>
    <xf numFmtId="0" fontId="4" fillId="2" borderId="0" xfId="3" applyFont="1" applyFill="1" applyAlignment="1">
      <alignment horizontal="center" vertical="center" wrapText="1"/>
    </xf>
    <xf numFmtId="0" fontId="11" fillId="4" borderId="1" xfId="4" applyFont="1" applyFill="1" applyBorder="1" applyAlignment="1">
      <alignment horizontal="center" vertical="center"/>
    </xf>
    <xf numFmtId="0" fontId="11" fillId="4" borderId="2" xfId="4" applyFont="1" applyFill="1" applyBorder="1" applyAlignment="1">
      <alignment horizontal="center" vertical="center"/>
    </xf>
    <xf numFmtId="0" fontId="11" fillId="4" borderId="3" xfId="4" applyFont="1" applyFill="1" applyBorder="1" applyAlignment="1">
      <alignment horizontal="center" vertical="center"/>
    </xf>
    <xf numFmtId="0" fontId="11" fillId="4" borderId="7" xfId="4" applyFont="1" applyFill="1" applyBorder="1" applyAlignment="1">
      <alignment horizontal="center" vertical="center"/>
    </xf>
    <xf numFmtId="0" fontId="11" fillId="4" borderId="8" xfId="4" applyFont="1" applyFill="1" applyBorder="1" applyAlignment="1">
      <alignment horizontal="center" vertical="center"/>
    </xf>
    <xf numFmtId="169" fontId="14" fillId="7" borderId="2" xfId="1" applyNumberFormat="1" applyFont="1" applyFill="1" applyBorder="1" applyAlignment="1">
      <alignment horizontal="center" vertical="center"/>
    </xf>
    <xf numFmtId="169" fontId="14" fillId="7" borderId="7" xfId="1" applyNumberFormat="1" applyFont="1" applyFill="1" applyBorder="1" applyAlignment="1">
      <alignment horizontal="center" vertical="center"/>
    </xf>
    <xf numFmtId="0" fontId="11" fillId="4" borderId="12" xfId="4" applyFont="1" applyFill="1" applyBorder="1" applyAlignment="1">
      <alignment horizontal="center" vertical="center"/>
    </xf>
    <xf numFmtId="0" fontId="11" fillId="4" borderId="13" xfId="4" applyFont="1" applyFill="1" applyBorder="1" applyAlignment="1">
      <alignment horizontal="center" vertical="center"/>
    </xf>
    <xf numFmtId="0" fontId="11" fillId="4" borderId="0" xfId="4" applyFont="1" applyFill="1" applyAlignment="1">
      <alignment horizontal="center" vertical="center"/>
    </xf>
    <xf numFmtId="0" fontId="11" fillId="4" borderId="14" xfId="4" applyFont="1" applyFill="1" applyBorder="1" applyAlignment="1">
      <alignment horizontal="center" vertical="center"/>
    </xf>
    <xf numFmtId="169" fontId="14" fillId="7" borderId="6" xfId="1" applyNumberFormat="1" applyFont="1" applyFill="1" applyBorder="1" applyAlignment="1">
      <alignment horizontal="center" vertical="center"/>
    </xf>
    <xf numFmtId="169" fontId="14" fillId="7" borderId="11" xfId="1" applyNumberFormat="1" applyFont="1" applyFill="1" applyBorder="1" applyAlignment="1">
      <alignment horizontal="center" vertical="center"/>
    </xf>
    <xf numFmtId="0" fontId="20" fillId="5" borderId="0" xfId="9" applyFont="1" applyFill="1" applyAlignment="1">
      <alignment horizontal="left"/>
    </xf>
    <xf numFmtId="0" fontId="21" fillId="0" borderId="15" xfId="0" applyFont="1" applyBorder="1" applyAlignment="1">
      <alignment horizontal="center"/>
    </xf>
    <xf numFmtId="0" fontId="20" fillId="5" borderId="0" xfId="0" applyFont="1" applyFill="1" applyAlignment="1">
      <alignment horizontal="left"/>
    </xf>
  </cellXfs>
  <cellStyles count="25">
    <cellStyle name="DetallesDeFactura" xfId="20" xr:uid="{AEC0976D-22C4-5E40-AE01-3D63010F6239}"/>
    <cellStyle name="Encabezado 1" xfId="14" builtinId="16"/>
    <cellStyle name="Encabezado 4" xfId="16" builtinId="19"/>
    <cellStyle name="Fecha" xfId="19" xr:uid="{5E0351D7-9599-A64A-8B26-3B7781EA4EA8}"/>
    <cellStyle name="Hipervínculo" xfId="22" builtinId="8"/>
    <cellStyle name="Millares" xfId="1" builtinId="3"/>
    <cellStyle name="Millares [0]" xfId="23" builtinId="6"/>
    <cellStyle name="Millares [0] 4" xfId="7" xr:uid="{6025FA45-015F-499D-A15C-7E4C368AA0B6}"/>
    <cellStyle name="Moneda" xfId="12" builtinId="4"/>
    <cellStyle name="Moneda [0]" xfId="24" builtinId="7"/>
    <cellStyle name="Normal" xfId="0" builtinId="0"/>
    <cellStyle name="Normal 12 2 3" xfId="5" xr:uid="{1AEC1E3D-81F8-4684-B0A3-8DEF31A3F31C}"/>
    <cellStyle name="Normal 2" xfId="3" xr:uid="{11C6C34B-D732-463A-966F-C79CC3D0F4BB}"/>
    <cellStyle name="Normal 2 3 2" xfId="11" xr:uid="{0FED9249-97A9-49EB-B513-415FE27F603A}"/>
    <cellStyle name="Normal 29" xfId="9" xr:uid="{B34C8214-B394-4756-9F90-943777300C7B}"/>
    <cellStyle name="Normal 4" xfId="8" xr:uid="{3E1289BF-0573-45B6-904E-FFAABCD2F4A9}"/>
    <cellStyle name="Normal_Hoja1 2 2" xfId="6" xr:uid="{5B7A2429-FC6B-4BBF-B0AB-C189922F763B}"/>
    <cellStyle name="Normal_SHEET 2" xfId="4" xr:uid="{CEAD54B4-A9A8-4255-9B35-21277AC3E954}"/>
    <cellStyle name="Notas" xfId="17" builtinId="10"/>
    <cellStyle name="Porcentaje" xfId="2" builtinId="5"/>
    <cellStyle name="Porcentaje 25" xfId="10" xr:uid="{755537DB-6A6D-4112-839C-A1E29B10A663}"/>
    <cellStyle name="Teléfono" xfId="21" xr:uid="{1AC1EAEC-2641-8D4B-B060-DC9226D81582}"/>
    <cellStyle name="Título" xfId="13" builtinId="15"/>
    <cellStyle name="Título 3" xfId="15" builtinId="18"/>
    <cellStyle name="Total" xfId="18" builtinId="25"/>
  </cellStyles>
  <dxfs count="14">
    <dxf>
      <numFmt numFmtId="13" formatCode="0%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165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$&quot;* #,##0.00_-;\-&quot;$&quot;* #,##0.00_-;_-&quot;$&quot;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$&quot;* #,##0.00_-;\-&quot;$&quot;* #,##0.00_-;_-&quot;$&quot;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8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8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'Portada e Index'!A1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'Portada e Index'!A1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'Portada e Index'!A1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632460</xdr:colOff>
      <xdr:row>2</xdr:row>
      <xdr:rowOff>121920</xdr:rowOff>
    </xdr:from>
    <xdr:to>
      <xdr:col>6</xdr:col>
      <xdr:colOff>806450</xdr:colOff>
      <xdr:row>2</xdr:row>
      <xdr:rowOff>476250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82E88B9-2EF4-4547-A0E0-EF87FDA95A7F}"/>
            </a:ext>
          </a:extLst>
        </xdr:cNvPr>
        <xdr:cNvSpPr txBox="1"/>
      </xdr:nvSpPr>
      <xdr:spPr>
        <a:xfrm>
          <a:off x="1927860" y="528320"/>
          <a:ext cx="4136390" cy="354330"/>
        </a:xfrm>
        <a:prstGeom prst="rect">
          <a:avLst/>
        </a:prstGeom>
        <a:solidFill>
          <a:srgbClr val="7030A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24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ARGENTINA</a:t>
          </a:r>
          <a:endParaRPr lang="es-MX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292100</xdr:colOff>
      <xdr:row>3</xdr:row>
      <xdr:rowOff>165100</xdr:rowOff>
    </xdr:from>
    <xdr:to>
      <xdr:col>4</xdr:col>
      <xdr:colOff>393065</xdr:colOff>
      <xdr:row>9</xdr:row>
      <xdr:rowOff>140536</xdr:rowOff>
    </xdr:to>
    <xdr:pic>
      <xdr:nvPicPr>
        <xdr:cNvPr id="3" name="Imagen 2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B78BFCEF-9CBB-B148-A58C-74A37A21E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8F8F8"/>
            </a:clrFrom>
            <a:clrTo>
              <a:srgbClr val="F8F8F8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00" y="1155700"/>
          <a:ext cx="2463165" cy="11184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38100</xdr:rowOff>
    </xdr:from>
    <xdr:to>
      <xdr:col>2</xdr:col>
      <xdr:colOff>1964055</xdr:colOff>
      <xdr:row>3</xdr:row>
      <xdr:rowOff>116691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1D2-7650-46F4-B676-EFD5AA0BC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820" y="38100"/>
          <a:ext cx="2251710" cy="535791"/>
        </a:xfrm>
        <a:prstGeom prst="rect">
          <a:avLst/>
        </a:prstGeom>
      </xdr:spPr>
    </xdr:pic>
    <xdr:clientData/>
  </xdr:twoCellAnchor>
  <xdr:twoCellAnchor>
    <xdr:from>
      <xdr:col>0</xdr:col>
      <xdr:colOff>85725</xdr:colOff>
      <xdr:row>0</xdr:row>
      <xdr:rowOff>76200</xdr:rowOff>
    </xdr:from>
    <xdr:to>
      <xdr:col>0</xdr:col>
      <xdr:colOff>715433</xdr:colOff>
      <xdr:row>2</xdr:row>
      <xdr:rowOff>56303</xdr:rowOff>
    </xdr:to>
    <xdr:sp macro="" textlink="">
      <xdr:nvSpPr>
        <xdr:cNvPr id="3" name="CuadroText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93AC62-71E2-415B-BE69-0B1C40F1664E}"/>
            </a:ext>
          </a:extLst>
        </xdr:cNvPr>
        <xdr:cNvSpPr txBox="1"/>
      </xdr:nvSpPr>
      <xdr:spPr>
        <a:xfrm>
          <a:off x="87630" y="76200"/>
          <a:ext cx="625898" cy="288713"/>
        </a:xfrm>
        <a:prstGeom prst="roundRect">
          <a:avLst/>
        </a:prstGeom>
        <a:solidFill>
          <a:srgbClr val="8B46C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200" b="1">
              <a:solidFill>
                <a:schemeClr val="bg1"/>
              </a:solidFill>
            </a:rPr>
            <a:t>INDEX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38100</xdr:rowOff>
    </xdr:from>
    <xdr:to>
      <xdr:col>2</xdr:col>
      <xdr:colOff>1964055</xdr:colOff>
      <xdr:row>3</xdr:row>
      <xdr:rowOff>116691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6A1C5F-6E13-7C4B-918E-89EFDB3D5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975" y="38100"/>
          <a:ext cx="2329180" cy="535791"/>
        </a:xfrm>
        <a:prstGeom prst="rect">
          <a:avLst/>
        </a:prstGeom>
      </xdr:spPr>
    </xdr:pic>
    <xdr:clientData/>
  </xdr:twoCellAnchor>
  <xdr:twoCellAnchor>
    <xdr:from>
      <xdr:col>0</xdr:col>
      <xdr:colOff>85725</xdr:colOff>
      <xdr:row>0</xdr:row>
      <xdr:rowOff>76200</xdr:rowOff>
    </xdr:from>
    <xdr:to>
      <xdr:col>0</xdr:col>
      <xdr:colOff>715433</xdr:colOff>
      <xdr:row>2</xdr:row>
      <xdr:rowOff>56303</xdr:rowOff>
    </xdr:to>
    <xdr:sp macro="" textlink="">
      <xdr:nvSpPr>
        <xdr:cNvPr id="3" name="CuadroText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0FDBBA-38AC-4C4C-8C71-9DE9B8E5FBCB}"/>
            </a:ext>
          </a:extLst>
        </xdr:cNvPr>
        <xdr:cNvSpPr txBox="1"/>
      </xdr:nvSpPr>
      <xdr:spPr>
        <a:xfrm>
          <a:off x="85725" y="76200"/>
          <a:ext cx="629708" cy="284903"/>
        </a:xfrm>
        <a:prstGeom prst="roundRect">
          <a:avLst/>
        </a:prstGeom>
        <a:solidFill>
          <a:srgbClr val="8B46C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200" b="1">
              <a:solidFill>
                <a:schemeClr val="bg1"/>
              </a:solidFill>
            </a:rPr>
            <a:t>INDEX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38100</xdr:rowOff>
    </xdr:from>
    <xdr:to>
      <xdr:col>2</xdr:col>
      <xdr:colOff>1964055</xdr:colOff>
      <xdr:row>3</xdr:row>
      <xdr:rowOff>116691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21FBDA-AB4A-8142-BC0F-EF2FFFE86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975" y="38100"/>
          <a:ext cx="2329180" cy="535791"/>
        </a:xfrm>
        <a:prstGeom prst="rect">
          <a:avLst/>
        </a:prstGeom>
      </xdr:spPr>
    </xdr:pic>
    <xdr:clientData/>
  </xdr:twoCellAnchor>
  <xdr:twoCellAnchor>
    <xdr:from>
      <xdr:col>0</xdr:col>
      <xdr:colOff>85725</xdr:colOff>
      <xdr:row>0</xdr:row>
      <xdr:rowOff>76200</xdr:rowOff>
    </xdr:from>
    <xdr:to>
      <xdr:col>0</xdr:col>
      <xdr:colOff>715433</xdr:colOff>
      <xdr:row>2</xdr:row>
      <xdr:rowOff>56303</xdr:rowOff>
    </xdr:to>
    <xdr:sp macro="" textlink="">
      <xdr:nvSpPr>
        <xdr:cNvPr id="3" name="CuadroText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3A1649-0D57-7542-96D9-B6E5549C577C}"/>
            </a:ext>
          </a:extLst>
        </xdr:cNvPr>
        <xdr:cNvSpPr txBox="1"/>
      </xdr:nvSpPr>
      <xdr:spPr>
        <a:xfrm>
          <a:off x="85725" y="76200"/>
          <a:ext cx="629708" cy="284903"/>
        </a:xfrm>
        <a:prstGeom prst="roundRect">
          <a:avLst/>
        </a:prstGeom>
        <a:solidFill>
          <a:srgbClr val="8B46C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200" b="1">
              <a:solidFill>
                <a:schemeClr val="bg1"/>
              </a:solidFill>
            </a:rPr>
            <a:t>INDEX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lvinazco/Downloads/Propuestas%20de%20factura%20o%20resumen.xlsx" TargetMode="External"/><Relationship Id="rId1" Type="http://schemas.openxmlformats.org/officeDocument/2006/relationships/externalLinkPath" Target="file:///C:/Users/lvinazco/Downloads/Propuestas%20de%20factura%20o%20resumen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/Users/lauravinazco/Library/CloudStorage/GoogleDrive-lvinazco@voccare.global/.shortcut-targets-by-id/1f8qGrdtEe0ytiov-w0SbBlnmB-L_dKew/Calculadora%20-%20Facturacion%20Voccare%202024/2025/01.%20Enero/09.%20Calculadora%20UR%20Enero%20-%20MX.xlsx" TargetMode="External"/><Relationship Id="rId2" Type="http://schemas.microsoft.com/office/2019/04/relationships/externalLinkLongPath" Target="/Users/lauravinazco/Library/CloudStorage/GoogleDrive-lvinazco@voccare.global/.shortcut-targets-by-id/1f8qGrdtEe0ytiov-w0SbBlnmB-L_dKew/Calculadora%20-%20Facturacion%20Voccare%202024/2025/01.%20Enero/09.%20Calculadora%20UR%20Enero%20-%20MX.xlsx?5260C511" TargetMode="External"/><Relationship Id="rId1" Type="http://schemas.openxmlformats.org/officeDocument/2006/relationships/externalLinkPath" Target="file:///5260C511/09.%20Calculadora%20UR%20Enero%20-%20MX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Ricardo%20Martinez/Downloads/Factura%20de%20ventas%20multicolor.xlsx" TargetMode="External"/><Relationship Id="rId1" Type="http://schemas.openxmlformats.org/officeDocument/2006/relationships/externalLinkPath" Target="file:///C:/Users/lvinazco/Downloads/Factura%20de%20ventas%20multicolo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5dc2729ce42ddf3e/Escritorio/INDICADORES/2023/AR_INDICADORES%20OPERATIVOS_ENERO%202023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var/folders/fd/1wqpc5b966509tf2z9165ywm0000gn/T/net.whatsapp.WhatsApp/documents/F26015C5-49F7-48B2-97FB-84EC84A473EA/AON%20_INDICADORES%20OPERATIVOS_ENERO%202025.xlsx" TargetMode="External"/><Relationship Id="rId1" Type="http://schemas.openxmlformats.org/officeDocument/2006/relationships/externalLinkPath" Target="/var/folders/fd/1wqpc5b966509tf2z9165ywm0000gn/T/net.whatsapp.WhatsApp/documents/F26015C5-49F7-48B2-97FB-84EC84A473EA/AON%20_INDICADORES%20OPERATIVOS_ENERO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/.shortcut-targets-by-id/1f8qGrdtEe0ytiov-w0SbBlnmB-L_dKew/Facturas%20Concentra%202023/2024/01.%20Enero/02.%20Analisis%20de%20distribucion%20CL%20Enero%20-%20MX.xlsx" TargetMode="External"/><Relationship Id="rId1" Type="http://schemas.openxmlformats.org/officeDocument/2006/relationships/externalLinkPath" Target="file:///G:/.shortcut-targets-by-id/1f8qGrdtEe0ytiov-w0SbBlnmB-L_dKew/Facturas%20Concentra%202023/2024/01.%20Enero/02.%20Analisis%20de%20distribucion%20CL%20Enero%20-%20M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puesta 1"/>
      <sheetName val="Propuesta 2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alculadora Enero"/>
      <sheetName val="Calculadora Diciembre"/>
      <sheetName val="Calculadora Noviembre"/>
      <sheetName val="Calculadora Octubre"/>
      <sheetName val="Calculadora Septiembre"/>
      <sheetName val="Calculadora Agosto"/>
      <sheetName val="Calculadora Julio"/>
      <sheetName val="Calculadora Junio"/>
      <sheetName val="Calculadora Mayo"/>
      <sheetName val="Calculadora Abril"/>
      <sheetName val="Calculadora Marzo"/>
      <sheetName val="Calculadora Febrero"/>
      <sheetName val="Servicios Cabina"/>
      <sheetName val="Indicadores"/>
      <sheetName val="Historico"/>
    </sheetNames>
    <definedNames>
      <definedName name="Crédito" sheetId="0"/>
      <definedName name="Descuento_adicional" sheetId="0"/>
      <definedName name="Impuesto" sheetId="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5">
          <cell r="F25">
            <v>0</v>
          </cell>
        </row>
      </sheetData>
      <sheetData sheetId="13">
        <row r="25">
          <cell r="F25">
            <v>0</v>
          </cell>
        </row>
      </sheetData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Factura de ventas multicolor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FILIAL"/>
      <sheetName val="CUENTAS"/>
      <sheetName val="Hoja3"/>
      <sheetName val="SERVICIOS"/>
      <sheetName val="CABINA"/>
      <sheetName val="CO_GUARDIA"/>
    </sheetNames>
    <sheetDataSet>
      <sheetData sheetId="0"/>
      <sheetData sheetId="1"/>
      <sheetData sheetId="2"/>
      <sheetData sheetId="3">
        <row r="83">
          <cell r="Q83">
            <v>0</v>
          </cell>
        </row>
        <row r="84">
          <cell r="Q84">
            <v>0</v>
          </cell>
        </row>
        <row r="85">
          <cell r="Q85">
            <v>0</v>
          </cell>
        </row>
      </sheetData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FILIAL"/>
      <sheetName val="CABINA"/>
      <sheetName val="CUENTAS"/>
      <sheetName val="SERVICIOS"/>
      <sheetName val="New Soa"/>
      <sheetName val="Hoja3"/>
    </sheetNames>
    <sheetDataSet>
      <sheetData sheetId="0">
        <row r="7">
          <cell r="D7">
            <v>1053</v>
          </cell>
        </row>
        <row r="9">
          <cell r="D9">
            <v>45658</v>
          </cell>
        </row>
      </sheetData>
      <sheetData sheetId="1"/>
      <sheetData sheetId="2"/>
      <sheetData sheetId="3"/>
      <sheetData sheetId="4">
        <row r="1">
          <cell r="B1" t="str">
            <v>Estado_de_Asistencia</v>
          </cell>
          <cell r="C1" t="str">
            <v>Nombre_del_servicio</v>
          </cell>
          <cell r="D1" t="str">
            <v>Condicion_Servicio</v>
          </cell>
          <cell r="E1" t="str">
            <v>Interno_Externo</v>
          </cell>
          <cell r="F1" t="str">
            <v>Local_Foraneo</v>
          </cell>
          <cell r="G1" t="str">
            <v>Total_Monto_AA</v>
          </cell>
          <cell r="J1" t="str">
            <v>Fecha_de_Creacion_Expediente</v>
          </cell>
        </row>
        <row r="2">
          <cell r="B2" t="str">
            <v>CANCELADO AL MOMENTO</v>
          </cell>
          <cell r="C2" t="str">
            <v>REFERENCIA - REFERENCIA Y CORDINANCION TELEFONICA</v>
          </cell>
          <cell r="D2" t="str">
            <v>En cobertura</v>
          </cell>
          <cell r="E2" t="str">
            <v xml:space="preserve"> </v>
          </cell>
          <cell r="F2" t="str">
            <v xml:space="preserve"> </v>
          </cell>
          <cell r="G2">
            <v>0</v>
          </cell>
          <cell r="J2" t="str">
            <v>01-01-2025</v>
          </cell>
        </row>
        <row r="3">
          <cell r="B3" t="str">
            <v>CANCELADO AL MOMENTO</v>
          </cell>
          <cell r="C3" t="str">
            <v>VEHICULAR - REMOLQUE VEHICULAR</v>
          </cell>
          <cell r="D3" t="str">
            <v>En cobertura</v>
          </cell>
          <cell r="E3" t="str">
            <v xml:space="preserve"> </v>
          </cell>
          <cell r="F3" t="str">
            <v xml:space="preserve"> </v>
          </cell>
          <cell r="G3">
            <v>0</v>
          </cell>
          <cell r="J3" t="str">
            <v>01-01-2025</v>
          </cell>
        </row>
        <row r="4">
          <cell r="B4" t="str">
            <v>CANCELADO AL MOMENTO</v>
          </cell>
          <cell r="C4" t="str">
            <v>VEHICULAR - VARIOS VIAL</v>
          </cell>
          <cell r="D4" t="str">
            <v>En cobertura</v>
          </cell>
          <cell r="E4" t="str">
            <v xml:space="preserve"> </v>
          </cell>
          <cell r="F4" t="str">
            <v xml:space="preserve"> </v>
          </cell>
          <cell r="G4">
            <v>0</v>
          </cell>
          <cell r="J4" t="str">
            <v>01-01-2025</v>
          </cell>
        </row>
        <row r="5">
          <cell r="B5" t="str">
            <v>CONCLUIDA</v>
          </cell>
          <cell r="C5" t="str">
            <v>VEHICULAR - REMOLQUE VEHICULAR</v>
          </cell>
          <cell r="D5" t="str">
            <v>En cobertura</v>
          </cell>
          <cell r="E5" t="str">
            <v>EXTERNO</v>
          </cell>
          <cell r="F5" t="str">
            <v>LOCAL</v>
          </cell>
          <cell r="G5">
            <v>106081</v>
          </cell>
          <cell r="J5" t="str">
            <v>01-01-2025</v>
          </cell>
        </row>
        <row r="6">
          <cell r="B6" t="str">
            <v>CONCLUIDA</v>
          </cell>
          <cell r="C6" t="str">
            <v>VEHICULAR - MECANICA LIGERA</v>
          </cell>
          <cell r="D6" t="str">
            <v>En cobertura</v>
          </cell>
          <cell r="E6" t="str">
            <v>EXTERNO</v>
          </cell>
          <cell r="F6" t="str">
            <v>FORANEO</v>
          </cell>
          <cell r="G6">
            <v>22520</v>
          </cell>
          <cell r="J6" t="str">
            <v>01-01-2025</v>
          </cell>
        </row>
        <row r="7">
          <cell r="B7" t="str">
            <v>CONCLUIDA</v>
          </cell>
          <cell r="C7" t="str">
            <v>VEHICULAR - REMOLQUE VEHICULAR</v>
          </cell>
          <cell r="D7" t="str">
            <v>En cobertura</v>
          </cell>
          <cell r="E7" t="str">
            <v>EXTERNO</v>
          </cell>
          <cell r="F7" t="str">
            <v>LOCAL</v>
          </cell>
          <cell r="G7">
            <v>103308</v>
          </cell>
          <cell r="J7" t="str">
            <v>01-01-2025</v>
          </cell>
        </row>
        <row r="8">
          <cell r="B8" t="str">
            <v>CANCELADO AL MOMENTO</v>
          </cell>
          <cell r="C8" t="str">
            <v>REFERENCIA - REFERENCIA Y CORDINANCION TELEFONICA</v>
          </cell>
          <cell r="D8" t="str">
            <v>En cobertura</v>
          </cell>
          <cell r="E8" t="str">
            <v xml:space="preserve"> </v>
          </cell>
          <cell r="F8" t="str">
            <v xml:space="preserve"> </v>
          </cell>
          <cell r="G8">
            <v>0</v>
          </cell>
          <cell r="J8" t="str">
            <v>01-01-2025</v>
          </cell>
        </row>
        <row r="9">
          <cell r="B9" t="str">
            <v>CONCLUIDA</v>
          </cell>
          <cell r="C9" t="str">
            <v>VEHICULAR - REMOLQUE VEHICULAR</v>
          </cell>
          <cell r="D9" t="str">
            <v>En cobertura</v>
          </cell>
          <cell r="E9" t="str">
            <v>EXTERNO</v>
          </cell>
          <cell r="F9" t="str">
            <v>LOCAL</v>
          </cell>
          <cell r="G9">
            <v>57994</v>
          </cell>
          <cell r="J9" t="str">
            <v>01-01-2025</v>
          </cell>
        </row>
        <row r="10">
          <cell r="B10" t="str">
            <v>CONCLUIDA</v>
          </cell>
          <cell r="C10" t="str">
            <v>VEHICULAR - MECANICA LIGERA</v>
          </cell>
          <cell r="D10" t="str">
            <v>En cobertura</v>
          </cell>
          <cell r="E10" t="str">
            <v>EXTERNO</v>
          </cell>
          <cell r="F10" t="str">
            <v>LOCAL</v>
          </cell>
          <cell r="G10">
            <v>10004</v>
          </cell>
          <cell r="J10" t="str">
            <v>01-01-2025</v>
          </cell>
        </row>
        <row r="11">
          <cell r="B11" t="str">
            <v>CANCELADO AL MOMENTO</v>
          </cell>
          <cell r="C11" t="str">
            <v>VEHICULAR - MECANICA LIGERA</v>
          </cell>
          <cell r="D11" t="str">
            <v>En cobertura</v>
          </cell>
          <cell r="E11" t="str">
            <v xml:space="preserve"> </v>
          </cell>
          <cell r="F11" t="str">
            <v xml:space="preserve"> </v>
          </cell>
          <cell r="G11">
            <v>0</v>
          </cell>
          <cell r="J11" t="str">
            <v>01-01-2025</v>
          </cell>
        </row>
        <row r="12">
          <cell r="B12" t="str">
            <v>CONCLUIDA</v>
          </cell>
          <cell r="C12" t="str">
            <v>VEHICULAR - REMOLQUE VEHICULAR</v>
          </cell>
          <cell r="D12" t="str">
            <v>En cobertura</v>
          </cell>
          <cell r="E12" t="str">
            <v>EXTERNO</v>
          </cell>
          <cell r="F12" t="str">
            <v>LOCAL</v>
          </cell>
          <cell r="G12">
            <v>48293</v>
          </cell>
          <cell r="J12" t="str">
            <v>01-01-2025</v>
          </cell>
        </row>
        <row r="13">
          <cell r="B13" t="str">
            <v>CONCLUIDA</v>
          </cell>
          <cell r="C13" t="str">
            <v>VEHICULAR - REMOLQUE VEHICULAR</v>
          </cell>
          <cell r="D13" t="str">
            <v>En cobertura</v>
          </cell>
          <cell r="E13" t="str">
            <v>EXTERNO</v>
          </cell>
          <cell r="F13" t="str">
            <v>LOCAL</v>
          </cell>
          <cell r="G13">
            <v>35690</v>
          </cell>
          <cell r="J13" t="str">
            <v>01-01-2025</v>
          </cell>
        </row>
        <row r="14">
          <cell r="B14" t="str">
            <v>CANCELADO AL MOMENTO</v>
          </cell>
          <cell r="C14" t="str">
            <v>REFERENCIA - REFERENCIA Y CORDINANCION TELEFONICA</v>
          </cell>
          <cell r="D14" t="str">
            <v>En cobertura</v>
          </cell>
          <cell r="E14" t="str">
            <v xml:space="preserve"> </v>
          </cell>
          <cell r="F14" t="str">
            <v xml:space="preserve"> </v>
          </cell>
          <cell r="G14">
            <v>0</v>
          </cell>
          <cell r="J14" t="str">
            <v>01-01-2025</v>
          </cell>
        </row>
        <row r="15">
          <cell r="B15" t="str">
            <v>CONCLUIDA</v>
          </cell>
          <cell r="C15" t="str">
            <v>VEHICULAR - MECANICA LIGERA</v>
          </cell>
          <cell r="D15" t="str">
            <v>En cobertura</v>
          </cell>
          <cell r="E15" t="str">
            <v>EXTERNO</v>
          </cell>
          <cell r="F15" t="str">
            <v>FORANEO</v>
          </cell>
          <cell r="G15">
            <v>23600</v>
          </cell>
          <cell r="J15" t="str">
            <v>01-01-2025</v>
          </cell>
        </row>
        <row r="16">
          <cell r="B16" t="str">
            <v>CONCLUIDA</v>
          </cell>
          <cell r="C16" t="str">
            <v>EXTRACCION</v>
          </cell>
          <cell r="D16" t="str">
            <v>En cobertura</v>
          </cell>
          <cell r="E16" t="str">
            <v>EXTERNO</v>
          </cell>
          <cell r="F16" t="str">
            <v>LOCAL</v>
          </cell>
          <cell r="G16">
            <v>40000</v>
          </cell>
          <cell r="J16" t="str">
            <v>01-01-2025</v>
          </cell>
        </row>
        <row r="17">
          <cell r="B17" t="str">
            <v>CONCLUIDA</v>
          </cell>
          <cell r="C17" t="str">
            <v>VEHICULAR - MECANICA LIGERA</v>
          </cell>
          <cell r="D17" t="str">
            <v>En cobertura</v>
          </cell>
          <cell r="E17" t="str">
            <v>EXTERNO</v>
          </cell>
          <cell r="F17" t="str">
            <v>LOCAL</v>
          </cell>
          <cell r="G17">
            <v>12846</v>
          </cell>
          <cell r="J17" t="str">
            <v>01-01-2025</v>
          </cell>
        </row>
        <row r="18">
          <cell r="B18" t="str">
            <v>CONCLUIDA</v>
          </cell>
          <cell r="C18" t="str">
            <v>VEHICULAR - MECANICA LIGERA</v>
          </cell>
          <cell r="D18" t="str">
            <v>En cobertura</v>
          </cell>
          <cell r="E18" t="str">
            <v>EXTERNO</v>
          </cell>
          <cell r="F18" t="str">
            <v>FORANEO</v>
          </cell>
          <cell r="G18">
            <v>25021</v>
          </cell>
          <cell r="J18" t="str">
            <v>01-01-2025</v>
          </cell>
        </row>
        <row r="19">
          <cell r="B19" t="str">
            <v>CANCELADO AL MOMENTO</v>
          </cell>
          <cell r="C19" t="str">
            <v>VEHICULAR - REMOLQUE VEHICULAR</v>
          </cell>
          <cell r="D19" t="str">
            <v>En cobertura</v>
          </cell>
          <cell r="E19" t="str">
            <v xml:space="preserve"> </v>
          </cell>
          <cell r="F19" t="str">
            <v xml:space="preserve"> </v>
          </cell>
          <cell r="G19">
            <v>0</v>
          </cell>
          <cell r="J19" t="str">
            <v>01-01-2025</v>
          </cell>
        </row>
        <row r="20">
          <cell r="B20" t="str">
            <v>CONCLUIDA</v>
          </cell>
          <cell r="C20" t="str">
            <v>VEHICULAR - MECANICA LIGERA</v>
          </cell>
          <cell r="D20" t="str">
            <v>En cobertura</v>
          </cell>
          <cell r="E20" t="str">
            <v>EXTERNO</v>
          </cell>
          <cell r="F20" t="str">
            <v>FORANEO</v>
          </cell>
          <cell r="G20">
            <v>25440</v>
          </cell>
          <cell r="J20" t="str">
            <v>01-01-2025</v>
          </cell>
        </row>
        <row r="21">
          <cell r="B21" t="str">
            <v>CONCLUIDA</v>
          </cell>
          <cell r="C21" t="str">
            <v>VEHICULAR - MECANICA LIGERA</v>
          </cell>
          <cell r="D21" t="str">
            <v>En cobertura</v>
          </cell>
          <cell r="E21" t="str">
            <v>EXTERNO</v>
          </cell>
          <cell r="F21" t="str">
            <v>LOCAL</v>
          </cell>
          <cell r="G21">
            <v>39441</v>
          </cell>
          <cell r="J21" t="str">
            <v>01-01-2025</v>
          </cell>
        </row>
        <row r="22">
          <cell r="B22" t="str">
            <v>CONCLUIDA</v>
          </cell>
          <cell r="C22" t="str">
            <v>VEHICULAR - REMOLQUE VEHICULAR</v>
          </cell>
          <cell r="D22" t="str">
            <v>En cobertura</v>
          </cell>
          <cell r="E22" t="str">
            <v>EXTERNO</v>
          </cell>
          <cell r="F22" t="str">
            <v>LOCAL</v>
          </cell>
          <cell r="G22">
            <v>290700</v>
          </cell>
          <cell r="J22" t="str">
            <v>01-01-2025</v>
          </cell>
        </row>
        <row r="23">
          <cell r="B23" t="str">
            <v>CONCLUIDA</v>
          </cell>
          <cell r="C23" t="str">
            <v>VEHICULAR - REMOLQUE VEHICULAR</v>
          </cell>
          <cell r="D23" t="str">
            <v>En cobertura</v>
          </cell>
          <cell r="E23" t="str">
            <v>EXTERNO</v>
          </cell>
          <cell r="F23" t="str">
            <v>LOCAL</v>
          </cell>
          <cell r="G23">
            <v>53398</v>
          </cell>
          <cell r="J23" t="str">
            <v>01-01-2025</v>
          </cell>
        </row>
        <row r="24">
          <cell r="B24" t="str">
            <v>CONCLUIDA</v>
          </cell>
          <cell r="C24" t="str">
            <v>VEHICULAR - REMOLQUE VEHICULAR</v>
          </cell>
          <cell r="D24" t="str">
            <v>En cobertura</v>
          </cell>
          <cell r="E24" t="str">
            <v>EXTERNO</v>
          </cell>
          <cell r="F24" t="str">
            <v>LOCAL</v>
          </cell>
          <cell r="G24">
            <v>39616</v>
          </cell>
          <cell r="J24" t="str">
            <v>01-01-2025</v>
          </cell>
        </row>
        <row r="25">
          <cell r="B25" t="str">
            <v>CANCELADO AL MOMENTO</v>
          </cell>
          <cell r="C25" t="str">
            <v>REFERENCIA - REFERENCIA Y CORDINANCION TELEFONICA</v>
          </cell>
          <cell r="D25" t="str">
            <v>En cobertura</v>
          </cell>
          <cell r="E25" t="str">
            <v xml:space="preserve"> </v>
          </cell>
          <cell r="F25" t="str">
            <v xml:space="preserve"> </v>
          </cell>
          <cell r="G25">
            <v>0</v>
          </cell>
          <cell r="J25" t="str">
            <v>01-01-2025</v>
          </cell>
        </row>
        <row r="26">
          <cell r="B26" t="str">
            <v>CANCELADO AL MOMENTO</v>
          </cell>
          <cell r="C26" t="str">
            <v>REFERENCIA - REFERENCIA Y CORDINANCION TELEFONICA</v>
          </cell>
          <cell r="D26" t="str">
            <v>En cobertura</v>
          </cell>
          <cell r="E26" t="str">
            <v xml:space="preserve"> </v>
          </cell>
          <cell r="F26" t="str">
            <v xml:space="preserve"> </v>
          </cell>
          <cell r="G26">
            <v>0</v>
          </cell>
          <cell r="J26" t="str">
            <v>01-01-2025</v>
          </cell>
        </row>
        <row r="27">
          <cell r="B27" t="str">
            <v>CONCLUIDA</v>
          </cell>
          <cell r="C27" t="str">
            <v>VEHICULAR - REMOLQUE VEHICULAR</v>
          </cell>
          <cell r="D27" t="str">
            <v>En cobertura</v>
          </cell>
          <cell r="E27" t="str">
            <v>EXTERNO</v>
          </cell>
          <cell r="F27" t="str">
            <v>LOCAL</v>
          </cell>
          <cell r="G27">
            <v>65486</v>
          </cell>
          <cell r="J27" t="str">
            <v>01-01-2025</v>
          </cell>
        </row>
        <row r="28">
          <cell r="B28" t="str">
            <v>CONCLUIDA</v>
          </cell>
          <cell r="C28" t="str">
            <v>VEHICULAR - MECANICA LIGERA</v>
          </cell>
          <cell r="D28" t="str">
            <v>En cobertura</v>
          </cell>
          <cell r="E28" t="str">
            <v>EXTERNO</v>
          </cell>
          <cell r="F28" t="str">
            <v>LOCAL</v>
          </cell>
          <cell r="G28">
            <v>11222</v>
          </cell>
          <cell r="J28" t="str">
            <v>01-01-2025</v>
          </cell>
        </row>
        <row r="29">
          <cell r="B29" t="str">
            <v>CONCLUIDA</v>
          </cell>
          <cell r="C29" t="str">
            <v>VEHICULAR - REMOLQUE VEHICULAR</v>
          </cell>
          <cell r="D29" t="str">
            <v>En cobertura</v>
          </cell>
          <cell r="E29" t="str">
            <v>EXTERNO</v>
          </cell>
          <cell r="F29" t="str">
            <v>LOCAL</v>
          </cell>
          <cell r="G29">
            <v>94469</v>
          </cell>
          <cell r="J29" t="str">
            <v>01-01-2025</v>
          </cell>
        </row>
        <row r="30">
          <cell r="B30" t="str">
            <v>CONCLUIDA</v>
          </cell>
          <cell r="C30" t="str">
            <v>VEHICULAR - REMOLQUE VEHICULAR</v>
          </cell>
          <cell r="D30" t="str">
            <v>En cobertura</v>
          </cell>
          <cell r="F30" t="str">
            <v>FORANEO</v>
          </cell>
          <cell r="G30">
            <v>28704</v>
          </cell>
          <cell r="J30" t="str">
            <v>01-01-2025</v>
          </cell>
        </row>
        <row r="31">
          <cell r="B31" t="str">
            <v>CANCELADO AL MOMENTO</v>
          </cell>
          <cell r="C31" t="str">
            <v>REFERENCIA - REFERENCIA Y CORDINANCION TELEFONICA</v>
          </cell>
          <cell r="D31" t="str">
            <v>En cobertura</v>
          </cell>
          <cell r="E31" t="str">
            <v xml:space="preserve"> </v>
          </cell>
          <cell r="F31" t="str">
            <v xml:space="preserve"> </v>
          </cell>
          <cell r="G31">
            <v>0</v>
          </cell>
          <cell r="J31" t="str">
            <v>01-01-2025</v>
          </cell>
        </row>
        <row r="32">
          <cell r="B32" t="str">
            <v>CONCLUIDA</v>
          </cell>
          <cell r="C32" t="str">
            <v>VEHICULAR - REMOLQUE VEHICULAR</v>
          </cell>
          <cell r="D32" t="str">
            <v>En cobertura</v>
          </cell>
          <cell r="E32" t="str">
            <v>EXTERNO</v>
          </cell>
          <cell r="F32" t="str">
            <v>LOCAL</v>
          </cell>
          <cell r="G32">
            <v>30736</v>
          </cell>
          <cell r="J32" t="str">
            <v>01-01-2025</v>
          </cell>
        </row>
        <row r="33">
          <cell r="B33" t="str">
            <v>CONCLUIDA</v>
          </cell>
          <cell r="C33" t="str">
            <v>VEHICULAR - REMOLQUE VEHICULAR</v>
          </cell>
          <cell r="D33" t="str">
            <v>En cobertura</v>
          </cell>
          <cell r="E33" t="str">
            <v>EXTERNO</v>
          </cell>
          <cell r="F33" t="str">
            <v>FORANEO</v>
          </cell>
          <cell r="G33">
            <v>30000</v>
          </cell>
          <cell r="J33" t="str">
            <v>01-01-2025</v>
          </cell>
        </row>
        <row r="34">
          <cell r="B34" t="str">
            <v>CANCELADO POSTERIOR</v>
          </cell>
          <cell r="C34" t="str">
            <v>VEHICULAR - MECANICA LIGERA</v>
          </cell>
          <cell r="D34" t="str">
            <v>En cobertura</v>
          </cell>
          <cell r="E34" t="str">
            <v>EXTERNO</v>
          </cell>
          <cell r="F34" t="str">
            <v xml:space="preserve"> </v>
          </cell>
          <cell r="G34">
            <v>0</v>
          </cell>
          <cell r="J34" t="str">
            <v>01-01-2025</v>
          </cell>
        </row>
        <row r="35">
          <cell r="B35" t="str">
            <v>CANCELADO POSTERIOR</v>
          </cell>
          <cell r="C35" t="str">
            <v>VEHICULAR - MECANICA LIGERA</v>
          </cell>
          <cell r="D35" t="str">
            <v>En cobertura</v>
          </cell>
          <cell r="F35" t="str">
            <v xml:space="preserve"> </v>
          </cell>
          <cell r="G35">
            <v>0</v>
          </cell>
          <cell r="J35" t="str">
            <v>01-01-2025</v>
          </cell>
        </row>
        <row r="36">
          <cell r="B36" t="str">
            <v>CONCLUIDA</v>
          </cell>
          <cell r="C36" t="str">
            <v>VEHICULAR - REMOLQUE VEHICULAR</v>
          </cell>
          <cell r="D36" t="str">
            <v>En cobertura</v>
          </cell>
          <cell r="E36" t="str">
            <v>EXTERNO</v>
          </cell>
          <cell r="F36" t="str">
            <v>FORANEO</v>
          </cell>
          <cell r="G36">
            <v>30000</v>
          </cell>
          <cell r="J36" t="str">
            <v>01-01-2025</v>
          </cell>
        </row>
        <row r="37">
          <cell r="B37" t="str">
            <v>CONCLUIDA</v>
          </cell>
          <cell r="C37" t="str">
            <v>VEHICULAR - MECANICA LIGERA</v>
          </cell>
          <cell r="D37" t="str">
            <v>En cobertura</v>
          </cell>
          <cell r="E37" t="str">
            <v>EXTERNO</v>
          </cell>
          <cell r="F37" t="str">
            <v>LOCAL</v>
          </cell>
          <cell r="G37">
            <v>9806</v>
          </cell>
          <cell r="J37" t="str">
            <v>01-01-2025</v>
          </cell>
        </row>
        <row r="38">
          <cell r="B38" t="str">
            <v>CANCELADO POSTERIOR</v>
          </cell>
          <cell r="C38" t="str">
            <v>VEHICULAR - MECANICA LIGERA</v>
          </cell>
          <cell r="D38" t="str">
            <v>En cobertura</v>
          </cell>
          <cell r="E38" t="str">
            <v>EXTERNO</v>
          </cell>
          <cell r="F38" t="str">
            <v>LOCAL</v>
          </cell>
          <cell r="G38">
            <v>0</v>
          </cell>
          <cell r="J38" t="str">
            <v>01-01-2025</v>
          </cell>
        </row>
        <row r="39">
          <cell r="B39" t="str">
            <v>CONCLUIDA</v>
          </cell>
          <cell r="C39" t="str">
            <v>VEHICULAR - MECANICA LIGERA</v>
          </cell>
          <cell r="D39" t="str">
            <v>En cobertura</v>
          </cell>
          <cell r="E39" t="str">
            <v>EXTERNO</v>
          </cell>
          <cell r="F39" t="str">
            <v>LOCAL</v>
          </cell>
          <cell r="G39">
            <v>9806</v>
          </cell>
          <cell r="J39" t="str">
            <v>01-01-2025</v>
          </cell>
        </row>
        <row r="40">
          <cell r="B40" t="str">
            <v>CONCLUIDA</v>
          </cell>
          <cell r="C40" t="str">
            <v>VEHICULAR - MECANICA LIGERA</v>
          </cell>
          <cell r="D40" t="str">
            <v>En cobertura</v>
          </cell>
          <cell r="E40" t="str">
            <v>EXTERNO</v>
          </cell>
          <cell r="F40" t="str">
            <v>FORANEO</v>
          </cell>
          <cell r="G40">
            <v>30272</v>
          </cell>
          <cell r="J40" t="str">
            <v>01-01-2025</v>
          </cell>
        </row>
        <row r="41">
          <cell r="B41" t="str">
            <v>CONCLUIDA</v>
          </cell>
          <cell r="C41" t="str">
            <v>VEHICULAR - REMOLQUE VEHICULAR</v>
          </cell>
          <cell r="D41" t="str">
            <v>En cobertura</v>
          </cell>
          <cell r="E41" t="str">
            <v>EXTERNO</v>
          </cell>
          <cell r="F41" t="str">
            <v>LOCAL</v>
          </cell>
          <cell r="G41">
            <v>83130</v>
          </cell>
          <cell r="J41" t="str">
            <v>01-01-2025</v>
          </cell>
        </row>
        <row r="42">
          <cell r="B42" t="str">
            <v>CONCLUIDA</v>
          </cell>
          <cell r="C42" t="str">
            <v>VEHICULAR - REMOLQUE VEHICULAR</v>
          </cell>
          <cell r="D42" t="str">
            <v>En cobertura</v>
          </cell>
          <cell r="E42" t="str">
            <v>EXTERNO</v>
          </cell>
          <cell r="F42" t="str">
            <v>LOCAL</v>
          </cell>
          <cell r="G42">
            <v>167594</v>
          </cell>
          <cell r="J42" t="str">
            <v>01-01-2025</v>
          </cell>
        </row>
        <row r="43">
          <cell r="B43" t="str">
            <v>CONCLUIDA</v>
          </cell>
          <cell r="C43" t="str">
            <v>VEHICULAR - REMOLQUE VEHICULAR</v>
          </cell>
          <cell r="D43" t="str">
            <v>En cobertura</v>
          </cell>
          <cell r="E43" t="str">
            <v>EXTERNO</v>
          </cell>
          <cell r="F43" t="str">
            <v>FORANEO</v>
          </cell>
          <cell r="G43">
            <v>30790</v>
          </cell>
          <cell r="J43" t="str">
            <v>01-01-2025</v>
          </cell>
        </row>
        <row r="44">
          <cell r="B44" t="str">
            <v>CONCLUIDA</v>
          </cell>
          <cell r="C44" t="str">
            <v>VEHICULAR - MECANICA LIGERA</v>
          </cell>
          <cell r="D44" t="str">
            <v>En cobertura</v>
          </cell>
          <cell r="E44" t="str">
            <v>EXTERNO</v>
          </cell>
          <cell r="F44" t="str">
            <v>FORANEO</v>
          </cell>
          <cell r="G44">
            <v>31516</v>
          </cell>
          <cell r="J44" t="str">
            <v>01-01-2025</v>
          </cell>
        </row>
        <row r="45">
          <cell r="B45" t="str">
            <v>CONCLUIDA</v>
          </cell>
          <cell r="C45" t="str">
            <v>VEHICULAR - REMOLQUE VEHICULAR</v>
          </cell>
          <cell r="D45" t="str">
            <v>En cobertura</v>
          </cell>
          <cell r="E45" t="str">
            <v>EXTERNO</v>
          </cell>
          <cell r="F45" t="str">
            <v>LOCAL</v>
          </cell>
          <cell r="G45">
            <v>26200</v>
          </cell>
          <cell r="J45" t="str">
            <v>01-01-2025</v>
          </cell>
        </row>
        <row r="46">
          <cell r="B46" t="str">
            <v>CANCELADO AL MOMENTO</v>
          </cell>
          <cell r="C46" t="str">
            <v>VEHICULAR - REMOLQUE VEHICULAR</v>
          </cell>
          <cell r="D46" t="str">
            <v>En cobertura</v>
          </cell>
          <cell r="E46" t="str">
            <v xml:space="preserve"> </v>
          </cell>
          <cell r="F46" t="str">
            <v xml:space="preserve"> </v>
          </cell>
          <cell r="G46">
            <v>0</v>
          </cell>
          <cell r="J46" t="str">
            <v>01-01-2025</v>
          </cell>
        </row>
        <row r="47">
          <cell r="B47" t="str">
            <v>CONCLUIDA</v>
          </cell>
          <cell r="C47" t="str">
            <v>VEHICULAR - REMOLQUE VEHICULAR</v>
          </cell>
          <cell r="D47" t="str">
            <v>En cobertura</v>
          </cell>
          <cell r="E47" t="str">
            <v>EXTERNO</v>
          </cell>
          <cell r="F47" t="str">
            <v>FORANEO</v>
          </cell>
          <cell r="G47">
            <v>31617</v>
          </cell>
          <cell r="J47" t="str">
            <v>01-01-2025</v>
          </cell>
        </row>
        <row r="48">
          <cell r="B48" t="str">
            <v>CANCELADO AL MOMENTO</v>
          </cell>
          <cell r="C48" t="str">
            <v>REFERENCIA - REFERENCIA Y CORDINANCION TELEFONICA</v>
          </cell>
          <cell r="D48" t="str">
            <v>En cobertura</v>
          </cell>
          <cell r="E48" t="str">
            <v xml:space="preserve"> </v>
          </cell>
          <cell r="F48" t="str">
            <v xml:space="preserve"> </v>
          </cell>
          <cell r="G48">
            <v>0</v>
          </cell>
          <cell r="J48" t="str">
            <v>01-01-2025</v>
          </cell>
        </row>
        <row r="49">
          <cell r="B49" t="str">
            <v>CONCLUIDA</v>
          </cell>
          <cell r="C49" t="str">
            <v>VEHICULAR - REMOLQUE VEHICULAR</v>
          </cell>
          <cell r="D49" t="str">
            <v>En cobertura</v>
          </cell>
          <cell r="E49" t="str">
            <v>EXTERNO</v>
          </cell>
          <cell r="F49" t="str">
            <v>LOCAL</v>
          </cell>
          <cell r="G49">
            <v>54631</v>
          </cell>
          <cell r="J49" t="str">
            <v>01-01-2025</v>
          </cell>
        </row>
        <row r="50">
          <cell r="B50" t="str">
            <v>CONCLUIDA</v>
          </cell>
          <cell r="C50" t="str">
            <v>VEHICULAR - REMOLQUE VEHICULAR</v>
          </cell>
          <cell r="D50" t="str">
            <v>En cobertura</v>
          </cell>
          <cell r="E50" t="str">
            <v>EXTERNO</v>
          </cell>
          <cell r="F50" t="str">
            <v>FORANEO</v>
          </cell>
          <cell r="G50">
            <v>31977</v>
          </cell>
          <cell r="J50" t="str">
            <v>01-01-2025</v>
          </cell>
        </row>
        <row r="51">
          <cell r="B51" t="str">
            <v>CONCLUIDA</v>
          </cell>
          <cell r="C51" t="str">
            <v>VEHICULAR - REMOLQUE VEHICULAR</v>
          </cell>
          <cell r="D51" t="str">
            <v>En cobertura</v>
          </cell>
          <cell r="E51" t="str">
            <v>EXTERNO</v>
          </cell>
          <cell r="F51" t="str">
            <v>LOCAL</v>
          </cell>
          <cell r="G51">
            <v>44350</v>
          </cell>
          <cell r="J51" t="str">
            <v>01-01-2025</v>
          </cell>
        </row>
        <row r="52">
          <cell r="B52" t="str">
            <v>CONCLUIDA</v>
          </cell>
          <cell r="C52" t="str">
            <v>VEHICULAR - MECANICA LIGERA</v>
          </cell>
          <cell r="D52" t="str">
            <v>En cobertura</v>
          </cell>
          <cell r="E52" t="str">
            <v>EXTERNO</v>
          </cell>
          <cell r="F52" t="str">
            <v>LOCAL</v>
          </cell>
          <cell r="G52">
            <v>47500</v>
          </cell>
          <cell r="J52" t="str">
            <v>01-01-2025</v>
          </cell>
        </row>
        <row r="53">
          <cell r="B53" t="str">
            <v>CANCELADO AL MOMENTO</v>
          </cell>
          <cell r="C53" t="str">
            <v>VEHICULAR - REMOLQUE VEHICULAR</v>
          </cell>
          <cell r="D53" t="str">
            <v>En cobertura</v>
          </cell>
          <cell r="E53" t="str">
            <v xml:space="preserve"> </v>
          </cell>
          <cell r="F53" t="str">
            <v xml:space="preserve"> </v>
          </cell>
          <cell r="G53">
            <v>0</v>
          </cell>
          <cell r="J53" t="str">
            <v>01-01-2025</v>
          </cell>
        </row>
        <row r="54">
          <cell r="B54" t="str">
            <v>CONCLUIDA</v>
          </cell>
          <cell r="C54" t="str">
            <v>VEHICULAR - REMOLQUE VEHICULAR</v>
          </cell>
          <cell r="D54" t="str">
            <v>En cobertura</v>
          </cell>
          <cell r="E54" t="str">
            <v>EXTERNO</v>
          </cell>
          <cell r="F54" t="str">
            <v>FORANEO</v>
          </cell>
          <cell r="G54">
            <v>32821</v>
          </cell>
          <cell r="J54" t="str">
            <v>01-01-2025</v>
          </cell>
        </row>
        <row r="55">
          <cell r="B55" t="str">
            <v>CONCLUIDA</v>
          </cell>
          <cell r="C55" t="str">
            <v>VEHICULAR - REMOLQUE VEHICULAR</v>
          </cell>
          <cell r="D55" t="str">
            <v>En cobertura</v>
          </cell>
          <cell r="E55" t="str">
            <v>EXTERNO</v>
          </cell>
          <cell r="F55" t="str">
            <v>LOCAL</v>
          </cell>
          <cell r="G55">
            <v>98464</v>
          </cell>
          <cell r="J55" t="str">
            <v>01-01-2025</v>
          </cell>
        </row>
        <row r="56">
          <cell r="B56" t="str">
            <v>CONCLUIDA</v>
          </cell>
          <cell r="C56" t="str">
            <v>VEHICULAR - REMOLQUE VEHICULAR</v>
          </cell>
          <cell r="D56" t="str">
            <v>En cobertura</v>
          </cell>
          <cell r="E56" t="str">
            <v>EXTERNO</v>
          </cell>
          <cell r="F56" t="str">
            <v>FORANEO</v>
          </cell>
          <cell r="G56">
            <v>33665</v>
          </cell>
          <cell r="J56" t="str">
            <v>01-01-2025</v>
          </cell>
        </row>
        <row r="57">
          <cell r="B57" t="str">
            <v>CANCELADO AL MOMENTO</v>
          </cell>
          <cell r="C57" t="str">
            <v>REFERENCIA - REFERENCIA Y CORDINANCION TELEFONICA</v>
          </cell>
          <cell r="D57" t="str">
            <v>En cobertura</v>
          </cell>
          <cell r="E57" t="str">
            <v xml:space="preserve"> </v>
          </cell>
          <cell r="F57" t="str">
            <v xml:space="preserve"> </v>
          </cell>
          <cell r="G57">
            <v>0</v>
          </cell>
          <cell r="J57" t="str">
            <v>01-01-2025</v>
          </cell>
        </row>
        <row r="58">
          <cell r="B58" t="str">
            <v>CONCLUIDA</v>
          </cell>
          <cell r="C58" t="str">
            <v>VEHICULAR - REMOLQUE VEHICULAR</v>
          </cell>
          <cell r="D58" t="str">
            <v>En cobertura</v>
          </cell>
          <cell r="E58" t="str">
            <v>EXTERNO</v>
          </cell>
          <cell r="F58" t="str">
            <v>LOCAL</v>
          </cell>
          <cell r="G58">
            <v>105330</v>
          </cell>
          <cell r="J58" t="str">
            <v>01-01-2025</v>
          </cell>
        </row>
        <row r="59">
          <cell r="B59" t="str">
            <v>CONCLUIDA</v>
          </cell>
          <cell r="C59" t="str">
            <v>VEHICULAR - REMOLQUE VEHICULAR</v>
          </cell>
          <cell r="D59" t="str">
            <v>En cobertura</v>
          </cell>
          <cell r="E59" t="str">
            <v>EXTERNO</v>
          </cell>
          <cell r="F59" t="str">
            <v>FORANEO</v>
          </cell>
          <cell r="G59">
            <v>34509</v>
          </cell>
          <cell r="J59" t="str">
            <v>01-01-2025</v>
          </cell>
        </row>
        <row r="60">
          <cell r="B60" t="str">
            <v>CONCLUIDA</v>
          </cell>
          <cell r="C60" t="str">
            <v>ASISTENCIA AL VIAJERO</v>
          </cell>
          <cell r="D60" t="str">
            <v>En cobertura</v>
          </cell>
          <cell r="E60" t="str">
            <v>EXTERNO</v>
          </cell>
          <cell r="F60" t="str">
            <v>FORANEO</v>
          </cell>
          <cell r="G60">
            <v>35000</v>
          </cell>
          <cell r="J60" t="str">
            <v>01-01-2025</v>
          </cell>
        </row>
        <row r="61">
          <cell r="B61" t="str">
            <v>CONCLUIDA</v>
          </cell>
          <cell r="C61" t="str">
            <v>REMIS</v>
          </cell>
          <cell r="D61" t="str">
            <v>En cobertura</v>
          </cell>
          <cell r="E61" t="str">
            <v>EXTERNO</v>
          </cell>
          <cell r="F61" t="str">
            <v>FORANEO</v>
          </cell>
          <cell r="G61">
            <v>35000</v>
          </cell>
          <cell r="J61" t="str">
            <v>01-01-2025</v>
          </cell>
        </row>
        <row r="62">
          <cell r="B62" t="str">
            <v>CONCLUIDA</v>
          </cell>
          <cell r="C62" t="str">
            <v>VEHICULAR - MECANICA LIGERA</v>
          </cell>
          <cell r="D62" t="str">
            <v>En cobertura</v>
          </cell>
          <cell r="E62" t="str">
            <v>EXTERNO</v>
          </cell>
          <cell r="F62" t="str">
            <v>LOCAL</v>
          </cell>
          <cell r="G62">
            <v>8058</v>
          </cell>
          <cell r="J62" t="str">
            <v>01-01-2025</v>
          </cell>
        </row>
        <row r="63">
          <cell r="B63" t="str">
            <v>CONCLUIDA</v>
          </cell>
          <cell r="C63" t="str">
            <v>VEHICULAR - REMOLQUE VEHICULAR</v>
          </cell>
          <cell r="D63" t="str">
            <v>En cobertura</v>
          </cell>
          <cell r="E63" t="str">
            <v>EXTERNO</v>
          </cell>
          <cell r="F63" t="str">
            <v>FORANEO</v>
          </cell>
          <cell r="G63">
            <v>35970</v>
          </cell>
          <cell r="J63" t="str">
            <v>01-01-2025</v>
          </cell>
        </row>
        <row r="64">
          <cell r="B64" t="str">
            <v>CONCLUIDA</v>
          </cell>
          <cell r="C64" t="str">
            <v>VEHICULAR - REMOLQUE VEHICULAR</v>
          </cell>
          <cell r="D64" t="str">
            <v>En cobertura</v>
          </cell>
          <cell r="E64" t="str">
            <v>EXTERNO</v>
          </cell>
          <cell r="F64" t="str">
            <v>FORANEO</v>
          </cell>
          <cell r="G64">
            <v>36200</v>
          </cell>
          <cell r="J64" t="str">
            <v>01-01-2025</v>
          </cell>
        </row>
        <row r="65">
          <cell r="B65" t="str">
            <v>CONCLUIDA</v>
          </cell>
          <cell r="C65" t="str">
            <v>VEHICULAR - REMOLQUE VEHICULAR</v>
          </cell>
          <cell r="D65" t="str">
            <v>En cobertura</v>
          </cell>
          <cell r="E65" t="str">
            <v>EXTERNO</v>
          </cell>
          <cell r="F65" t="str">
            <v>FORANEO</v>
          </cell>
          <cell r="G65">
            <v>36703</v>
          </cell>
          <cell r="J65" t="str">
            <v>01-01-2025</v>
          </cell>
        </row>
        <row r="66">
          <cell r="B66" t="str">
            <v>CONCLUIDA</v>
          </cell>
          <cell r="C66" t="str">
            <v>VEHICULAR - REMOLQUE VEHICULAR</v>
          </cell>
          <cell r="D66" t="str">
            <v>En cobertura</v>
          </cell>
          <cell r="E66" t="str">
            <v>EXTERNO</v>
          </cell>
          <cell r="F66" t="str">
            <v>LOCAL</v>
          </cell>
          <cell r="G66">
            <v>58206</v>
          </cell>
          <cell r="J66" t="str">
            <v>01-01-2025</v>
          </cell>
        </row>
        <row r="67">
          <cell r="B67" t="str">
            <v>CANCELADO AL MOMENTO</v>
          </cell>
          <cell r="C67" t="str">
            <v>REFERENCIA - REFERENCIA Y CORDINANCION TELEFONICA</v>
          </cell>
          <cell r="D67" t="str">
            <v>En cobertura</v>
          </cell>
          <cell r="E67" t="str">
            <v xml:space="preserve"> </v>
          </cell>
          <cell r="F67" t="str">
            <v xml:space="preserve"> </v>
          </cell>
          <cell r="G67">
            <v>0</v>
          </cell>
          <cell r="J67" t="str">
            <v>01-01-2025</v>
          </cell>
        </row>
        <row r="68">
          <cell r="B68" t="str">
            <v>CONCLUIDA</v>
          </cell>
          <cell r="C68" t="str">
            <v>VEHICULAR - REMOLQUE VEHICULAR</v>
          </cell>
          <cell r="D68" t="str">
            <v>En cobertura</v>
          </cell>
          <cell r="E68" t="str">
            <v>EXTERNO</v>
          </cell>
          <cell r="F68" t="str">
            <v>FORANEO</v>
          </cell>
          <cell r="G68">
            <v>37000</v>
          </cell>
          <cell r="J68" t="str">
            <v>01-01-2025</v>
          </cell>
        </row>
        <row r="69">
          <cell r="B69" t="str">
            <v>CONCLUIDA</v>
          </cell>
          <cell r="C69" t="str">
            <v>VEHICULAR - REMOLQUE VEHICULAR</v>
          </cell>
          <cell r="D69" t="str">
            <v>En cobertura</v>
          </cell>
          <cell r="E69" t="str">
            <v>EXTERNO</v>
          </cell>
          <cell r="F69" t="str">
            <v>FORANEO</v>
          </cell>
          <cell r="G69">
            <v>37656</v>
          </cell>
          <cell r="J69" t="str">
            <v>01-01-2025</v>
          </cell>
        </row>
        <row r="70">
          <cell r="B70" t="str">
            <v>CONCLUIDA</v>
          </cell>
          <cell r="C70" t="str">
            <v>VEHICULAR - REMOLQUE VEHICULAR</v>
          </cell>
          <cell r="D70" t="str">
            <v>En cobertura</v>
          </cell>
          <cell r="E70" t="str">
            <v>EXTERNO</v>
          </cell>
          <cell r="F70" t="str">
            <v>FORANEO</v>
          </cell>
          <cell r="G70">
            <v>38150</v>
          </cell>
          <cell r="J70" t="str">
            <v>01-01-2025</v>
          </cell>
        </row>
        <row r="71">
          <cell r="B71" t="str">
            <v>CANCELADO AL MOMENTO</v>
          </cell>
          <cell r="C71" t="str">
            <v>REFERENCIA - REFERENCIA Y CORDINANCION TELEFONICA</v>
          </cell>
          <cell r="D71" t="str">
            <v>En cobertura</v>
          </cell>
          <cell r="E71" t="str">
            <v xml:space="preserve"> </v>
          </cell>
          <cell r="F71" t="str">
            <v xml:space="preserve"> </v>
          </cell>
          <cell r="G71">
            <v>0</v>
          </cell>
          <cell r="J71" t="str">
            <v>01-01-2025</v>
          </cell>
        </row>
        <row r="72">
          <cell r="B72" t="str">
            <v>CONCLUIDA</v>
          </cell>
          <cell r="C72" t="str">
            <v>VEHICULAR - REMOLQUE VEHICULAR</v>
          </cell>
          <cell r="D72" t="str">
            <v>En cobertura</v>
          </cell>
          <cell r="E72" t="str">
            <v>EXTERNO</v>
          </cell>
          <cell r="F72" t="str">
            <v>FORANEO</v>
          </cell>
          <cell r="G72">
            <v>38280</v>
          </cell>
          <cell r="J72" t="str">
            <v>01-01-2025</v>
          </cell>
        </row>
        <row r="73">
          <cell r="B73" t="str">
            <v>CONCLUIDA</v>
          </cell>
          <cell r="C73" t="str">
            <v>VEHICULAR - REMOLQUE VEHICULAR</v>
          </cell>
          <cell r="D73" t="str">
            <v>En cobertura</v>
          </cell>
          <cell r="E73" t="str">
            <v>EXTERNO</v>
          </cell>
          <cell r="F73" t="str">
            <v>FORANEO</v>
          </cell>
          <cell r="G73">
            <v>38610</v>
          </cell>
          <cell r="J73" t="str">
            <v>01-01-2025</v>
          </cell>
        </row>
        <row r="74">
          <cell r="B74" t="str">
            <v>CANCELADO AL MOMENTO</v>
          </cell>
          <cell r="C74" t="str">
            <v>VEHICULAR - REMOLQUE VEHICULAR</v>
          </cell>
          <cell r="D74" t="str">
            <v>En cobertura</v>
          </cell>
          <cell r="E74" t="str">
            <v xml:space="preserve"> </v>
          </cell>
          <cell r="F74" t="str">
            <v xml:space="preserve"> </v>
          </cell>
          <cell r="G74">
            <v>0</v>
          </cell>
          <cell r="J74" t="str">
            <v>01-01-2025</v>
          </cell>
        </row>
        <row r="75">
          <cell r="B75" t="str">
            <v>CONCLUIDA</v>
          </cell>
          <cell r="C75" t="str">
            <v>VEHICULAR - REMOLQUE VEHICULAR</v>
          </cell>
          <cell r="D75" t="str">
            <v>En cobertura</v>
          </cell>
          <cell r="E75" t="str">
            <v>EXTERNO</v>
          </cell>
          <cell r="F75" t="str">
            <v>FORANEO</v>
          </cell>
          <cell r="G75">
            <v>39750</v>
          </cell>
          <cell r="J75" t="str">
            <v>01-01-2025</v>
          </cell>
        </row>
        <row r="76">
          <cell r="B76" t="str">
            <v>CONCLUIDA</v>
          </cell>
          <cell r="C76" t="str">
            <v>VEHICULAR - REMOLQUE VEHICULAR</v>
          </cell>
          <cell r="D76" t="str">
            <v>En cobertura</v>
          </cell>
          <cell r="E76" t="str">
            <v>EXTERNO</v>
          </cell>
          <cell r="F76" t="str">
            <v>FORANEO</v>
          </cell>
          <cell r="G76">
            <v>40000</v>
          </cell>
          <cell r="J76" t="str">
            <v>01-01-2025</v>
          </cell>
        </row>
        <row r="77">
          <cell r="B77" t="str">
            <v>CONCLUIDA</v>
          </cell>
          <cell r="C77" t="str">
            <v>VEHICULAR - MECANICA LIGERA</v>
          </cell>
          <cell r="D77" t="str">
            <v>En cobertura</v>
          </cell>
          <cell r="E77" t="str">
            <v>EXTERNO</v>
          </cell>
          <cell r="F77" t="str">
            <v>LOCAL</v>
          </cell>
          <cell r="G77">
            <v>12000</v>
          </cell>
          <cell r="J77" t="str">
            <v>01-01-2025</v>
          </cell>
        </row>
        <row r="78">
          <cell r="B78" t="str">
            <v>CONCLUIDA</v>
          </cell>
          <cell r="C78" t="str">
            <v>VEHICULAR - MECANICA LIGERA</v>
          </cell>
          <cell r="D78" t="str">
            <v>En cobertura</v>
          </cell>
          <cell r="E78" t="str">
            <v>EXTERNO</v>
          </cell>
          <cell r="F78" t="str">
            <v>FORANEO</v>
          </cell>
          <cell r="G78">
            <v>40392</v>
          </cell>
          <cell r="J78" t="str">
            <v>01-01-2025</v>
          </cell>
        </row>
        <row r="79">
          <cell r="B79" t="str">
            <v>CANCELADO AL MOMENTO</v>
          </cell>
          <cell r="C79" t="str">
            <v>VEHICULAR - REMOLQUE VEHICULAR</v>
          </cell>
          <cell r="D79" t="str">
            <v>En cobertura</v>
          </cell>
          <cell r="E79" t="str">
            <v xml:space="preserve"> </v>
          </cell>
          <cell r="F79" t="str">
            <v xml:space="preserve"> </v>
          </cell>
          <cell r="G79">
            <v>0</v>
          </cell>
          <cell r="J79" t="str">
            <v>01-01-2025</v>
          </cell>
        </row>
        <row r="80">
          <cell r="B80" t="str">
            <v>CONCLUIDA</v>
          </cell>
          <cell r="C80" t="str">
            <v>VEHICULAR - MECANICA LIGERA</v>
          </cell>
          <cell r="D80" t="str">
            <v>En cobertura</v>
          </cell>
          <cell r="E80" t="str">
            <v>EXTERNO</v>
          </cell>
          <cell r="F80" t="str">
            <v>LOCAL</v>
          </cell>
          <cell r="G80">
            <v>15300</v>
          </cell>
          <cell r="J80" t="str">
            <v>01-01-2025</v>
          </cell>
        </row>
        <row r="81">
          <cell r="B81" t="str">
            <v>CANCELADO AL MOMENTO</v>
          </cell>
          <cell r="C81" t="str">
            <v>VEHICULAR - MECANICA LIGERA</v>
          </cell>
          <cell r="D81" t="str">
            <v>En cobertura</v>
          </cell>
          <cell r="E81" t="str">
            <v xml:space="preserve"> </v>
          </cell>
          <cell r="F81" t="str">
            <v xml:space="preserve"> </v>
          </cell>
          <cell r="G81">
            <v>0</v>
          </cell>
          <cell r="J81" t="str">
            <v>01-01-2025</v>
          </cell>
        </row>
        <row r="82">
          <cell r="B82" t="str">
            <v>CONCLUIDA</v>
          </cell>
          <cell r="C82" t="str">
            <v>VEHICULAR - REMOLQUE VEHICULAR</v>
          </cell>
          <cell r="D82" t="str">
            <v>En cobertura</v>
          </cell>
          <cell r="E82" t="str">
            <v>EXTERNO</v>
          </cell>
          <cell r="F82" t="str">
            <v>FORANEO</v>
          </cell>
          <cell r="G82">
            <v>41100</v>
          </cell>
          <cell r="J82" t="str">
            <v>01-01-2025</v>
          </cell>
        </row>
        <row r="83">
          <cell r="B83" t="str">
            <v>CONCLUIDA</v>
          </cell>
          <cell r="C83" t="str">
            <v>VEHICULAR - REMOLQUE VEHICULAR</v>
          </cell>
          <cell r="D83" t="str">
            <v>En cobertura</v>
          </cell>
          <cell r="E83" t="str">
            <v>EXTERNO</v>
          </cell>
          <cell r="F83" t="str">
            <v>FORANEO</v>
          </cell>
          <cell r="G83">
            <v>41360</v>
          </cell>
          <cell r="J83" t="str">
            <v>01-01-2025</v>
          </cell>
        </row>
        <row r="84">
          <cell r="B84" t="str">
            <v>CONCLUIDA</v>
          </cell>
          <cell r="C84" t="str">
            <v>VEHICULAR - REMOLQUE VEHICULAR</v>
          </cell>
          <cell r="D84" t="str">
            <v>En cobertura</v>
          </cell>
          <cell r="E84" t="str">
            <v>EXTERNO</v>
          </cell>
          <cell r="F84" t="str">
            <v>FORANEO</v>
          </cell>
          <cell r="G84">
            <v>41436</v>
          </cell>
          <cell r="J84" t="str">
            <v>01-01-2025</v>
          </cell>
        </row>
        <row r="85">
          <cell r="B85" t="str">
            <v>CONCLUIDA</v>
          </cell>
          <cell r="C85" t="str">
            <v>VEHICULAR - REMOLQUE VEHICULAR</v>
          </cell>
          <cell r="D85" t="str">
            <v>En cobertura</v>
          </cell>
          <cell r="E85" t="str">
            <v>EXTERNO</v>
          </cell>
          <cell r="F85" t="str">
            <v>FORANEO</v>
          </cell>
          <cell r="G85">
            <v>41540</v>
          </cell>
          <cell r="J85" t="str">
            <v>01-01-2025</v>
          </cell>
        </row>
        <row r="86">
          <cell r="B86" t="str">
            <v>CONCLUIDA</v>
          </cell>
          <cell r="C86" t="str">
            <v>VEHICULAR - REMOLQUE VEHICULAR</v>
          </cell>
          <cell r="D86" t="str">
            <v>En cobertura</v>
          </cell>
          <cell r="E86" t="str">
            <v>EXTERNO</v>
          </cell>
          <cell r="F86" t="str">
            <v>FORANEO</v>
          </cell>
          <cell r="G86">
            <v>42070</v>
          </cell>
          <cell r="J86" t="str">
            <v>01-01-2025</v>
          </cell>
        </row>
        <row r="87">
          <cell r="B87" t="str">
            <v>CANCELADO AL MOMENTO</v>
          </cell>
          <cell r="C87" t="str">
            <v>REFERENCIA - REFERENCIA Y CORDINANCION TELEFONICA</v>
          </cell>
          <cell r="D87" t="str">
            <v>En cobertura</v>
          </cell>
          <cell r="E87" t="str">
            <v xml:space="preserve"> </v>
          </cell>
          <cell r="F87" t="str">
            <v xml:space="preserve"> </v>
          </cell>
          <cell r="G87">
            <v>0</v>
          </cell>
          <cell r="J87" t="str">
            <v>01-01-2025</v>
          </cell>
        </row>
        <row r="88">
          <cell r="B88" t="str">
            <v>CONCLUIDA</v>
          </cell>
          <cell r="C88" t="str">
            <v>VEHICULAR - REMOLQUE VEHICULAR</v>
          </cell>
          <cell r="D88" t="str">
            <v>En cobertura</v>
          </cell>
          <cell r="E88" t="str">
            <v>EXTERNO</v>
          </cell>
          <cell r="F88" t="str">
            <v>FORANEO</v>
          </cell>
          <cell r="G88">
            <v>42935</v>
          </cell>
          <cell r="J88" t="str">
            <v>01-01-2025</v>
          </cell>
        </row>
        <row r="89">
          <cell r="B89" t="str">
            <v>CANCELADO AL MOMENTO</v>
          </cell>
          <cell r="C89" t="str">
            <v>VEHICULAR - REMOLQUE VEHICULAR</v>
          </cell>
          <cell r="D89" t="str">
            <v>En cobertura</v>
          </cell>
          <cell r="E89" t="str">
            <v xml:space="preserve"> </v>
          </cell>
          <cell r="F89" t="str">
            <v xml:space="preserve"> </v>
          </cell>
          <cell r="G89">
            <v>0</v>
          </cell>
          <cell r="J89" t="str">
            <v>01-01-2025</v>
          </cell>
        </row>
        <row r="90">
          <cell r="B90" t="str">
            <v>CONCLUIDA</v>
          </cell>
          <cell r="C90" t="str">
            <v>VEHICULAR - REMOLQUE VEHICULAR</v>
          </cell>
          <cell r="D90" t="str">
            <v>En cobertura</v>
          </cell>
          <cell r="E90" t="str">
            <v>EXTERNO</v>
          </cell>
          <cell r="F90" t="str">
            <v>FORANEO</v>
          </cell>
          <cell r="G90">
            <v>43494</v>
          </cell>
          <cell r="J90" t="str">
            <v>01-01-2025</v>
          </cell>
        </row>
        <row r="91">
          <cell r="B91" t="str">
            <v>CONCLUIDA</v>
          </cell>
          <cell r="C91" t="str">
            <v>VEHICULAR - REMOLQUE VEHICULAR</v>
          </cell>
          <cell r="D91" t="str">
            <v>En cobertura</v>
          </cell>
          <cell r="E91" t="str">
            <v>EXTERNO</v>
          </cell>
          <cell r="F91" t="str">
            <v>FORANEO</v>
          </cell>
          <cell r="G91">
            <v>43682</v>
          </cell>
          <cell r="J91" t="str">
            <v>01-01-2025</v>
          </cell>
        </row>
        <row r="92">
          <cell r="B92" t="str">
            <v>CANCELADO POSTERIOR</v>
          </cell>
          <cell r="C92" t="str">
            <v>VEHICULAR - MECANICA LIGERA</v>
          </cell>
          <cell r="D92" t="str">
            <v>En cobertura</v>
          </cell>
          <cell r="E92" t="str">
            <v>EXTERNO</v>
          </cell>
          <cell r="F92" t="str">
            <v>FORANEO</v>
          </cell>
          <cell r="G92">
            <v>0</v>
          </cell>
          <cell r="J92" t="str">
            <v>01-01-2025</v>
          </cell>
        </row>
        <row r="93">
          <cell r="B93" t="str">
            <v>CONCLUIDA</v>
          </cell>
          <cell r="C93" t="str">
            <v>VEHICULAR - MECANICA LIGERA</v>
          </cell>
          <cell r="D93" t="str">
            <v>En cobertura</v>
          </cell>
          <cell r="E93" t="str">
            <v>EXTERNO</v>
          </cell>
          <cell r="F93" t="str">
            <v>LOCAL</v>
          </cell>
          <cell r="G93">
            <v>12846</v>
          </cell>
          <cell r="J93" t="str">
            <v>01-01-2025</v>
          </cell>
        </row>
        <row r="94">
          <cell r="B94" t="str">
            <v>CONCLUIDA</v>
          </cell>
          <cell r="C94" t="str">
            <v>VEHICULAR - REMOLQUE VEHICULAR</v>
          </cell>
          <cell r="D94" t="str">
            <v>En cobertura</v>
          </cell>
          <cell r="E94" t="str">
            <v>EXTERNO</v>
          </cell>
          <cell r="F94" t="str">
            <v>LOCAL</v>
          </cell>
          <cell r="G94">
            <v>40331</v>
          </cell>
          <cell r="J94" t="str">
            <v>01-01-2025</v>
          </cell>
        </row>
        <row r="95">
          <cell r="B95" t="str">
            <v>CONCLUIDA</v>
          </cell>
          <cell r="C95" t="str">
            <v>VEHICULAR - REMOLQUE VEHICULAR</v>
          </cell>
          <cell r="D95" t="str">
            <v>En cobertura</v>
          </cell>
          <cell r="E95" t="str">
            <v>EXTERNO</v>
          </cell>
          <cell r="F95" t="str">
            <v>FORANEO</v>
          </cell>
          <cell r="G95">
            <v>43962</v>
          </cell>
          <cell r="J95" t="str">
            <v>01-01-2025</v>
          </cell>
        </row>
        <row r="96">
          <cell r="B96" t="str">
            <v>CONCLUIDA</v>
          </cell>
          <cell r="C96" t="str">
            <v>VEHICULAR - MECANICA LIGERA</v>
          </cell>
          <cell r="D96" t="str">
            <v>En cobertura</v>
          </cell>
          <cell r="E96" t="str">
            <v>EXTERNO</v>
          </cell>
          <cell r="F96" t="str">
            <v>LOCAL</v>
          </cell>
          <cell r="G96">
            <v>16500</v>
          </cell>
          <cell r="J96" t="str">
            <v>01-01-2025</v>
          </cell>
        </row>
        <row r="97">
          <cell r="B97" t="str">
            <v>CONCLUIDA</v>
          </cell>
          <cell r="C97" t="str">
            <v>VEHICULAR - REMOLQUE VEHICULAR</v>
          </cell>
          <cell r="D97" t="str">
            <v>En cobertura</v>
          </cell>
          <cell r="E97" t="str">
            <v>EXTERNO</v>
          </cell>
          <cell r="F97" t="str">
            <v>LOCAL</v>
          </cell>
          <cell r="G97">
            <v>53440</v>
          </cell>
          <cell r="J97" t="str">
            <v>01-01-2025</v>
          </cell>
        </row>
        <row r="98">
          <cell r="B98" t="str">
            <v>CONCLUIDA</v>
          </cell>
          <cell r="C98" t="str">
            <v>VEHICULAR - REMOLQUE VEHICULAR</v>
          </cell>
          <cell r="D98" t="str">
            <v>En cobertura</v>
          </cell>
          <cell r="E98" t="str">
            <v>EXTERNO</v>
          </cell>
          <cell r="F98" t="str">
            <v>FORANEO</v>
          </cell>
          <cell r="G98">
            <v>44573</v>
          </cell>
          <cell r="J98" t="str">
            <v>01-01-2025</v>
          </cell>
        </row>
        <row r="99">
          <cell r="B99" t="str">
            <v>CANCELADO AL MOMENTO</v>
          </cell>
          <cell r="C99" t="str">
            <v>VEHICULAR - VARIOS VIAL</v>
          </cell>
          <cell r="D99" t="str">
            <v>En cobertura</v>
          </cell>
          <cell r="E99" t="str">
            <v xml:space="preserve"> </v>
          </cell>
          <cell r="F99" t="str">
            <v xml:space="preserve"> </v>
          </cell>
          <cell r="G99">
            <v>0</v>
          </cell>
          <cell r="J99" t="str">
            <v>01-01-2025</v>
          </cell>
        </row>
        <row r="100">
          <cell r="B100" t="str">
            <v>CANCELADO AL MOMENTO</v>
          </cell>
          <cell r="C100" t="str">
            <v>VEHICULAR - MECANICA LIGERA</v>
          </cell>
          <cell r="D100" t="str">
            <v>En cobertura</v>
          </cell>
          <cell r="E100" t="str">
            <v xml:space="preserve"> </v>
          </cell>
          <cell r="F100" t="str">
            <v xml:space="preserve"> </v>
          </cell>
          <cell r="G100">
            <v>0</v>
          </cell>
          <cell r="J100" t="str">
            <v>01-01-2025</v>
          </cell>
        </row>
        <row r="101">
          <cell r="B101" t="str">
            <v>CONCLUIDA</v>
          </cell>
          <cell r="C101" t="str">
            <v>VEHICULAR - REMOLQUE VEHICULAR</v>
          </cell>
          <cell r="D101" t="str">
            <v>En cobertura</v>
          </cell>
          <cell r="E101" t="str">
            <v>EXTERNO</v>
          </cell>
          <cell r="F101" t="str">
            <v>LOCAL</v>
          </cell>
          <cell r="G101">
            <v>69646</v>
          </cell>
          <cell r="J101" t="str">
            <v>01-01-2025</v>
          </cell>
        </row>
        <row r="102">
          <cell r="B102" t="str">
            <v>CANCELADO AL MOMENTO</v>
          </cell>
          <cell r="C102" t="str">
            <v>VEHICULAR - VARIOS VIAL</v>
          </cell>
          <cell r="D102" t="str">
            <v>En cobertura</v>
          </cell>
          <cell r="E102" t="str">
            <v xml:space="preserve"> </v>
          </cell>
          <cell r="F102" t="str">
            <v xml:space="preserve"> </v>
          </cell>
          <cell r="G102">
            <v>0</v>
          </cell>
          <cell r="J102" t="str">
            <v>01-01-2025</v>
          </cell>
        </row>
        <row r="103">
          <cell r="B103" t="str">
            <v>CONCLUIDA</v>
          </cell>
          <cell r="C103" t="str">
            <v>VEHICULAR - REMOLQUE VEHICULAR</v>
          </cell>
          <cell r="D103" t="str">
            <v>En cobertura</v>
          </cell>
          <cell r="E103" t="str">
            <v>EXTERNO</v>
          </cell>
          <cell r="F103" t="str">
            <v>FORANEO</v>
          </cell>
          <cell r="G103">
            <v>44725</v>
          </cell>
          <cell r="J103" t="str">
            <v>01-01-2025</v>
          </cell>
        </row>
        <row r="104">
          <cell r="B104" t="str">
            <v>CONCLUIDA</v>
          </cell>
          <cell r="C104" t="str">
            <v>VEHICULAR - REMOLQUE VEHICULAR</v>
          </cell>
          <cell r="D104" t="str">
            <v>En cobertura</v>
          </cell>
          <cell r="E104" t="str">
            <v>EXTERNO</v>
          </cell>
          <cell r="F104" t="str">
            <v>FORANEO</v>
          </cell>
          <cell r="G104">
            <v>44991</v>
          </cell>
          <cell r="J104" t="str">
            <v>01-01-2025</v>
          </cell>
        </row>
        <row r="105">
          <cell r="B105" t="str">
            <v>CONCLUIDA</v>
          </cell>
          <cell r="C105" t="str">
            <v>VEHICULAR - REMOLQUE VEHICULAR</v>
          </cell>
          <cell r="D105" t="str">
            <v>En cobertura</v>
          </cell>
          <cell r="E105" t="str">
            <v>EXTERNO</v>
          </cell>
          <cell r="F105" t="str">
            <v>LOCAL</v>
          </cell>
          <cell r="G105">
            <v>47481</v>
          </cell>
          <cell r="J105" t="str">
            <v>01-01-2025</v>
          </cell>
        </row>
        <row r="106">
          <cell r="B106" t="str">
            <v>CANCELADO AL MOMENTO</v>
          </cell>
          <cell r="C106" t="str">
            <v>VEHICULAR - REMOLQUE VEHICULAR</v>
          </cell>
          <cell r="D106" t="str">
            <v>En cobertura</v>
          </cell>
          <cell r="E106" t="str">
            <v xml:space="preserve"> </v>
          </cell>
          <cell r="F106" t="str">
            <v xml:space="preserve"> </v>
          </cell>
          <cell r="G106">
            <v>0</v>
          </cell>
          <cell r="J106" t="str">
            <v>01-01-2025</v>
          </cell>
        </row>
        <row r="107">
          <cell r="B107" t="str">
            <v>CANCELADO AL MOMENTO</v>
          </cell>
          <cell r="C107" t="str">
            <v>REFERENCIA - REFERENCIA Y CORDINANCION TELEFONICA</v>
          </cell>
          <cell r="D107" t="str">
            <v>En cobertura</v>
          </cell>
          <cell r="E107" t="str">
            <v xml:space="preserve"> </v>
          </cell>
          <cell r="F107" t="str">
            <v xml:space="preserve"> </v>
          </cell>
          <cell r="G107">
            <v>0</v>
          </cell>
          <cell r="J107" t="str">
            <v>01-01-2025</v>
          </cell>
        </row>
        <row r="108">
          <cell r="B108" t="str">
            <v>CONCLUIDA</v>
          </cell>
          <cell r="C108" t="str">
            <v>VEHICULAR - REMOLQUE VEHICULAR</v>
          </cell>
          <cell r="D108" t="str">
            <v>En cobertura</v>
          </cell>
          <cell r="E108" t="str">
            <v>EXTERNO</v>
          </cell>
          <cell r="F108" t="str">
            <v>FORANEO</v>
          </cell>
          <cell r="G108">
            <v>47169</v>
          </cell>
          <cell r="J108" t="str">
            <v>01-01-2025</v>
          </cell>
        </row>
        <row r="109">
          <cell r="B109" t="str">
            <v>CONCLUIDA</v>
          </cell>
          <cell r="C109" t="str">
            <v>VEHICULAR - REMOLQUE VEHICULAR</v>
          </cell>
          <cell r="D109" t="str">
            <v>En cobertura</v>
          </cell>
          <cell r="E109" t="str">
            <v>EXTERNO</v>
          </cell>
          <cell r="F109" t="str">
            <v>FORANEO</v>
          </cell>
          <cell r="G109">
            <v>47606</v>
          </cell>
          <cell r="J109" t="str">
            <v>01-01-2025</v>
          </cell>
        </row>
        <row r="110">
          <cell r="B110" t="str">
            <v>CANCELADO AL MOMENTO</v>
          </cell>
          <cell r="C110" t="str">
            <v>VEHICULAR - VARIOS VIAL</v>
          </cell>
          <cell r="D110" t="str">
            <v>En cobertura</v>
          </cell>
          <cell r="E110" t="str">
            <v xml:space="preserve"> </v>
          </cell>
          <cell r="F110" t="str">
            <v xml:space="preserve"> </v>
          </cell>
          <cell r="G110">
            <v>0</v>
          </cell>
          <cell r="J110" t="str">
            <v>01-01-2025</v>
          </cell>
        </row>
        <row r="111">
          <cell r="B111" t="str">
            <v>CONCLUIDA</v>
          </cell>
          <cell r="C111" t="str">
            <v>VEHICULAR - REMOLQUE VEHICULAR</v>
          </cell>
          <cell r="D111" t="str">
            <v>En cobertura</v>
          </cell>
          <cell r="E111" t="str">
            <v>EXTERNO</v>
          </cell>
          <cell r="F111" t="str">
            <v>LOCAL</v>
          </cell>
          <cell r="G111">
            <v>75627</v>
          </cell>
          <cell r="J111" t="str">
            <v>01-01-2025</v>
          </cell>
        </row>
        <row r="112">
          <cell r="B112" t="str">
            <v>CONCLUIDA</v>
          </cell>
          <cell r="C112" t="str">
            <v>VEHICULAR - MECANICA LIGERA</v>
          </cell>
          <cell r="D112" t="str">
            <v>En cobertura</v>
          </cell>
          <cell r="E112" t="str">
            <v>EXTERNO</v>
          </cell>
          <cell r="F112" t="str">
            <v>LOCAL</v>
          </cell>
          <cell r="G112">
            <v>41481</v>
          </cell>
          <cell r="J112" t="str">
            <v>01-01-2025</v>
          </cell>
        </row>
        <row r="113">
          <cell r="B113" t="str">
            <v>CONCLUIDA</v>
          </cell>
          <cell r="C113" t="str">
            <v>VEHICULAR - MECANICA LIGERA</v>
          </cell>
          <cell r="D113" t="str">
            <v>En cobertura</v>
          </cell>
          <cell r="E113" t="str">
            <v>EXTERNO</v>
          </cell>
          <cell r="F113" t="str">
            <v>LOCAL</v>
          </cell>
          <cell r="G113">
            <v>37401</v>
          </cell>
          <cell r="J113" t="str">
            <v>01-01-2025</v>
          </cell>
        </row>
        <row r="114">
          <cell r="B114" t="str">
            <v>CONCLUIDA</v>
          </cell>
          <cell r="C114" t="str">
            <v>VEHICULAR - REMOLQUE VEHICULAR</v>
          </cell>
          <cell r="D114" t="str">
            <v>En cobertura</v>
          </cell>
          <cell r="E114" t="str">
            <v>EXTERNO</v>
          </cell>
          <cell r="F114" t="str">
            <v>LOCAL</v>
          </cell>
          <cell r="G114">
            <v>151888</v>
          </cell>
          <cell r="J114" t="str">
            <v>01-01-2025</v>
          </cell>
        </row>
        <row r="115">
          <cell r="B115" t="str">
            <v>CONCLUIDA</v>
          </cell>
          <cell r="C115" t="str">
            <v>VEHICULAR - REMOLQUE VEHICULAR</v>
          </cell>
          <cell r="D115" t="str">
            <v>En cobertura</v>
          </cell>
          <cell r="E115" t="str">
            <v>EXTERNO</v>
          </cell>
          <cell r="F115" t="str">
            <v>LOCAL</v>
          </cell>
          <cell r="G115">
            <v>26750</v>
          </cell>
          <cell r="J115" t="str">
            <v>01-01-2025</v>
          </cell>
        </row>
        <row r="116">
          <cell r="B116" t="str">
            <v>CONCLUIDA</v>
          </cell>
          <cell r="C116" t="str">
            <v>VEHICULAR - REMOLQUE VEHICULAR</v>
          </cell>
          <cell r="D116" t="str">
            <v>En cobertura</v>
          </cell>
          <cell r="E116" t="str">
            <v>EXTERNO</v>
          </cell>
          <cell r="F116" t="str">
            <v>LOCAL</v>
          </cell>
          <cell r="G116">
            <v>33066</v>
          </cell>
          <cell r="J116" t="str">
            <v>01-01-2025</v>
          </cell>
        </row>
        <row r="117">
          <cell r="B117" t="str">
            <v>CONCLUIDA</v>
          </cell>
          <cell r="C117" t="str">
            <v>EXTRACCION</v>
          </cell>
          <cell r="D117" t="str">
            <v>En cobertura</v>
          </cell>
          <cell r="E117" t="str">
            <v>EXTERNO</v>
          </cell>
          <cell r="F117" t="str">
            <v>FORANEO</v>
          </cell>
          <cell r="G117">
            <v>50000</v>
          </cell>
          <cell r="J117" t="str">
            <v>01-01-2025</v>
          </cell>
        </row>
        <row r="118">
          <cell r="B118" t="str">
            <v>CONCLUIDA</v>
          </cell>
          <cell r="C118" t="str">
            <v>VEHICULAR - REMOLQUE VEHICULAR</v>
          </cell>
          <cell r="D118" t="str">
            <v>En cobertura</v>
          </cell>
          <cell r="E118" t="str">
            <v>EXTERNO</v>
          </cell>
          <cell r="F118" t="str">
            <v>FORANEO</v>
          </cell>
          <cell r="G118">
            <v>50000</v>
          </cell>
          <cell r="J118" t="str">
            <v>01-01-2025</v>
          </cell>
        </row>
        <row r="119">
          <cell r="B119" t="str">
            <v>CONCLUIDA</v>
          </cell>
          <cell r="C119" t="str">
            <v>VEHICULAR - REMOLQUE VEHICULAR</v>
          </cell>
          <cell r="D119" t="str">
            <v>En cobertura</v>
          </cell>
          <cell r="E119" t="str">
            <v>EXTERNO</v>
          </cell>
          <cell r="F119" t="str">
            <v>LOCAL</v>
          </cell>
          <cell r="G119">
            <v>49780</v>
          </cell>
          <cell r="J119" t="str">
            <v>01-01-2025</v>
          </cell>
        </row>
        <row r="120">
          <cell r="B120" t="str">
            <v>CONCLUIDA</v>
          </cell>
          <cell r="C120" t="str">
            <v>VEHICULAR - MECANICA LIGERA</v>
          </cell>
          <cell r="D120" t="str">
            <v>En cobertura</v>
          </cell>
          <cell r="E120" t="str">
            <v>EXTERNO</v>
          </cell>
          <cell r="F120" t="str">
            <v>LOCAL</v>
          </cell>
          <cell r="G120">
            <v>57360</v>
          </cell>
          <cell r="J120" t="str">
            <v>01-01-2025</v>
          </cell>
        </row>
        <row r="121">
          <cell r="B121" t="str">
            <v>CONCLUIDA</v>
          </cell>
          <cell r="C121" t="str">
            <v>VEHICULAR - REMOLQUE VEHICULAR</v>
          </cell>
          <cell r="D121" t="str">
            <v>En cobertura</v>
          </cell>
          <cell r="E121" t="str">
            <v>EXTERNO</v>
          </cell>
          <cell r="F121" t="str">
            <v>LOCAL</v>
          </cell>
          <cell r="G121">
            <v>54741</v>
          </cell>
          <cell r="J121" t="str">
            <v>01-01-2025</v>
          </cell>
        </row>
        <row r="122">
          <cell r="B122" t="str">
            <v>CANCELADO AL MOMENTO</v>
          </cell>
          <cell r="C122" t="str">
            <v>REFERENCIA - REFERENCIA Y CORDINANCION TELEFONICA</v>
          </cell>
          <cell r="D122" t="str">
            <v>En cobertura</v>
          </cell>
          <cell r="E122" t="str">
            <v xml:space="preserve"> </v>
          </cell>
          <cell r="F122" t="str">
            <v xml:space="preserve"> </v>
          </cell>
          <cell r="G122">
            <v>0</v>
          </cell>
          <cell r="J122" t="str">
            <v>01-01-2025</v>
          </cell>
        </row>
        <row r="123">
          <cell r="B123" t="str">
            <v>CANCELADO AL MOMENTO</v>
          </cell>
          <cell r="C123" t="str">
            <v>VEHICULAR - MECANICA LIGERA</v>
          </cell>
          <cell r="D123" t="str">
            <v>En cobertura</v>
          </cell>
          <cell r="E123" t="str">
            <v xml:space="preserve"> </v>
          </cell>
          <cell r="F123" t="str">
            <v xml:space="preserve"> </v>
          </cell>
          <cell r="G123">
            <v>0</v>
          </cell>
          <cell r="J123" t="str">
            <v>01-01-2025</v>
          </cell>
        </row>
        <row r="124">
          <cell r="B124" t="str">
            <v>CONCLUIDA</v>
          </cell>
          <cell r="C124" t="str">
            <v>VEHICULAR - REMOLQUE VEHICULAR</v>
          </cell>
          <cell r="D124" t="str">
            <v>En cobertura</v>
          </cell>
          <cell r="E124" t="str">
            <v>EXTERNO</v>
          </cell>
          <cell r="F124" t="str">
            <v>LOCAL</v>
          </cell>
          <cell r="G124">
            <v>110704</v>
          </cell>
          <cell r="J124" t="str">
            <v>01-01-2025</v>
          </cell>
        </row>
        <row r="125">
          <cell r="B125" t="str">
            <v>CANCELADO AL MOMENTO</v>
          </cell>
          <cell r="C125" t="str">
            <v>REFERENCIA - REFERENCIA Y CORDINANCION TELEFONICA</v>
          </cell>
          <cell r="D125" t="str">
            <v>En cobertura</v>
          </cell>
          <cell r="E125" t="str">
            <v xml:space="preserve"> </v>
          </cell>
          <cell r="F125" t="str">
            <v xml:space="preserve"> </v>
          </cell>
          <cell r="G125">
            <v>0</v>
          </cell>
          <cell r="J125" t="str">
            <v>01-01-2025</v>
          </cell>
        </row>
        <row r="126">
          <cell r="B126" t="str">
            <v>CANCELADO POSTERIOR</v>
          </cell>
          <cell r="C126" t="str">
            <v>VEHICULAR - REMOLQUE VEHICULAR</v>
          </cell>
          <cell r="D126" t="str">
            <v>En cobertura</v>
          </cell>
          <cell r="E126" t="str">
            <v>EXTERNO</v>
          </cell>
          <cell r="F126" t="str">
            <v xml:space="preserve"> </v>
          </cell>
          <cell r="G126">
            <v>0</v>
          </cell>
          <cell r="J126" t="str">
            <v>01-01-2025</v>
          </cell>
        </row>
        <row r="127">
          <cell r="B127" t="str">
            <v>CONCLUIDA</v>
          </cell>
          <cell r="C127" t="str">
            <v>VEHICULAR - REMOLQUE VEHICULAR</v>
          </cell>
          <cell r="D127" t="str">
            <v>En cobertura</v>
          </cell>
          <cell r="E127" t="str">
            <v>EXTERNO</v>
          </cell>
          <cell r="F127" t="str">
            <v>LOCAL</v>
          </cell>
          <cell r="G127">
            <v>132826</v>
          </cell>
          <cell r="J127" t="str">
            <v>01-01-2025</v>
          </cell>
        </row>
        <row r="128">
          <cell r="B128" t="str">
            <v>CONCLUIDA</v>
          </cell>
          <cell r="C128" t="str">
            <v>VEHICULAR - MECANICA LIGERA</v>
          </cell>
          <cell r="D128" t="str">
            <v>En cobertura</v>
          </cell>
          <cell r="E128" t="str">
            <v>EXTERNO</v>
          </cell>
          <cell r="F128" t="str">
            <v>LOCAL</v>
          </cell>
          <cell r="G128">
            <v>14000</v>
          </cell>
          <cell r="J128" t="str">
            <v>01-01-2025</v>
          </cell>
        </row>
        <row r="129">
          <cell r="B129" t="str">
            <v>CONCLUIDA</v>
          </cell>
          <cell r="C129" t="str">
            <v>VEHICULAR - REMOLQUE VEHICULAR</v>
          </cell>
          <cell r="D129" t="str">
            <v>En cobertura</v>
          </cell>
          <cell r="E129" t="str">
            <v>EXTERNO</v>
          </cell>
          <cell r="F129" t="str">
            <v>FORANEO</v>
          </cell>
          <cell r="G129">
            <v>52731</v>
          </cell>
          <cell r="J129" t="str">
            <v>01-01-2025</v>
          </cell>
        </row>
        <row r="130">
          <cell r="B130" t="str">
            <v>CONCLUIDA</v>
          </cell>
          <cell r="C130" t="str">
            <v>VEHICULAR - REMOLQUE VEHICULAR</v>
          </cell>
          <cell r="D130" t="str">
            <v>En cobertura</v>
          </cell>
          <cell r="E130" t="str">
            <v>EXTERNO</v>
          </cell>
          <cell r="F130" t="str">
            <v>FORANEO</v>
          </cell>
          <cell r="G130">
            <v>54425</v>
          </cell>
          <cell r="J130" t="str">
            <v>01-01-2025</v>
          </cell>
        </row>
        <row r="131">
          <cell r="B131" t="str">
            <v>CONCLUIDA</v>
          </cell>
          <cell r="C131" t="str">
            <v>VEHICULAR - REMOLQUE VEHICULAR</v>
          </cell>
          <cell r="D131" t="str">
            <v>En cobertura</v>
          </cell>
          <cell r="E131" t="str">
            <v>EXTERNO</v>
          </cell>
          <cell r="F131" t="str">
            <v>LOCAL</v>
          </cell>
          <cell r="G131">
            <v>49504</v>
          </cell>
          <cell r="J131" t="str">
            <v>01-01-2025</v>
          </cell>
        </row>
        <row r="132">
          <cell r="B132" t="str">
            <v>CONCLUIDA</v>
          </cell>
          <cell r="C132" t="str">
            <v>VEHICULAR - REMOLQUE VEHICULAR</v>
          </cell>
          <cell r="D132" t="str">
            <v>En cobertura</v>
          </cell>
          <cell r="E132" t="str">
            <v>EXTERNO</v>
          </cell>
          <cell r="F132" t="str">
            <v>LOCAL</v>
          </cell>
          <cell r="G132">
            <v>132551</v>
          </cell>
          <cell r="J132" t="str">
            <v>01-01-2025</v>
          </cell>
        </row>
        <row r="133">
          <cell r="B133" t="str">
            <v>CONCLUIDA</v>
          </cell>
          <cell r="C133" t="str">
            <v>VEHICULAR - MECANICA LIGERA</v>
          </cell>
          <cell r="D133" t="str">
            <v>En cobertura</v>
          </cell>
          <cell r="E133" t="str">
            <v>EXTERNO</v>
          </cell>
          <cell r="F133" t="str">
            <v>LOCAL</v>
          </cell>
          <cell r="G133">
            <v>8058</v>
          </cell>
          <cell r="J133" t="str">
            <v>01-01-2025</v>
          </cell>
        </row>
        <row r="134">
          <cell r="B134" t="str">
            <v>CANCELADO AL MOMENTO</v>
          </cell>
          <cell r="C134" t="str">
            <v>REFERENCIA - REFERENCIA Y CORDINANCION TELEFONICA</v>
          </cell>
          <cell r="D134" t="str">
            <v>En cobertura</v>
          </cell>
          <cell r="E134" t="str">
            <v xml:space="preserve"> </v>
          </cell>
          <cell r="F134" t="str">
            <v xml:space="preserve"> </v>
          </cell>
          <cell r="G134">
            <v>0</v>
          </cell>
          <cell r="J134" t="str">
            <v>01-01-2025</v>
          </cell>
        </row>
        <row r="135">
          <cell r="B135" t="str">
            <v>CANCELADO AL MOMENTO</v>
          </cell>
          <cell r="C135" t="str">
            <v>REFERENCIA - REFERENCIA Y CORDINANCION TELEFONICA</v>
          </cell>
          <cell r="D135" t="str">
            <v>En cobertura</v>
          </cell>
          <cell r="E135" t="str">
            <v xml:space="preserve"> </v>
          </cell>
          <cell r="F135" t="str">
            <v xml:space="preserve"> </v>
          </cell>
          <cell r="G135">
            <v>0</v>
          </cell>
          <cell r="J135" t="str">
            <v>01-01-2025</v>
          </cell>
        </row>
        <row r="136">
          <cell r="B136" t="str">
            <v>CONCLUIDA</v>
          </cell>
          <cell r="C136" t="str">
            <v>VEHICULAR - REMOLQUE VEHICULAR</v>
          </cell>
          <cell r="D136" t="str">
            <v>En cobertura</v>
          </cell>
          <cell r="E136" t="str">
            <v>EXTERNO</v>
          </cell>
          <cell r="F136" t="str">
            <v>LOCAL</v>
          </cell>
          <cell r="G136">
            <v>89488</v>
          </cell>
          <cell r="J136" t="str">
            <v>01-01-2025</v>
          </cell>
        </row>
        <row r="137">
          <cell r="B137" t="str">
            <v>CONCLUIDA</v>
          </cell>
          <cell r="C137" t="str">
            <v>VEHICULAR - REMOLQUE VEHICULAR</v>
          </cell>
          <cell r="D137" t="str">
            <v>En cobertura</v>
          </cell>
          <cell r="E137" t="str">
            <v>EXTERNO</v>
          </cell>
          <cell r="F137" t="str">
            <v>LOCAL</v>
          </cell>
          <cell r="G137">
            <v>53916</v>
          </cell>
          <cell r="J137" t="str">
            <v>01-01-2025</v>
          </cell>
        </row>
        <row r="138">
          <cell r="B138" t="str">
            <v>CONCLUIDA</v>
          </cell>
          <cell r="C138" t="str">
            <v>VEHICULAR - REMOLQUE VEHICULAR</v>
          </cell>
          <cell r="D138" t="str">
            <v>En cobertura</v>
          </cell>
          <cell r="F138" t="str">
            <v>LOCAL</v>
          </cell>
          <cell r="G138">
            <v>27500</v>
          </cell>
          <cell r="J138" t="str">
            <v>01-01-2025</v>
          </cell>
        </row>
        <row r="139">
          <cell r="B139" t="str">
            <v>CONCLUIDA</v>
          </cell>
          <cell r="C139" t="str">
            <v>VEHICULAR - REMOLQUE VEHICULAR</v>
          </cell>
          <cell r="D139" t="str">
            <v>En cobertura</v>
          </cell>
          <cell r="E139" t="str">
            <v>EXTERNO</v>
          </cell>
          <cell r="F139" t="str">
            <v>LOCAL</v>
          </cell>
          <cell r="G139">
            <v>62438</v>
          </cell>
          <cell r="J139" t="str">
            <v>01-01-2025</v>
          </cell>
        </row>
        <row r="140">
          <cell r="B140" t="str">
            <v>CANCELADO AL MOMENTO</v>
          </cell>
          <cell r="C140" t="str">
            <v>REFERENCIA - REFERENCIA Y CORDINANCION TELEFONICA</v>
          </cell>
          <cell r="D140" t="str">
            <v>En cobertura</v>
          </cell>
          <cell r="E140" t="str">
            <v xml:space="preserve"> </v>
          </cell>
          <cell r="F140" t="str">
            <v xml:space="preserve"> </v>
          </cell>
          <cell r="G140">
            <v>0</v>
          </cell>
          <cell r="J140" t="str">
            <v>01-01-2025</v>
          </cell>
        </row>
        <row r="141">
          <cell r="B141" t="str">
            <v>CANCELADO AL MOMENTO</v>
          </cell>
          <cell r="C141" t="str">
            <v>REFERENCIA - REFERENCIA Y CORDINANCION TELEFONICA</v>
          </cell>
          <cell r="D141" t="str">
            <v>En cobertura</v>
          </cell>
          <cell r="E141" t="str">
            <v xml:space="preserve"> </v>
          </cell>
          <cell r="F141" t="str">
            <v xml:space="preserve"> </v>
          </cell>
          <cell r="G141">
            <v>0</v>
          </cell>
          <cell r="J141" t="str">
            <v>01-01-2025</v>
          </cell>
        </row>
        <row r="142">
          <cell r="B142" t="str">
            <v>CANCELADO AL MOMENTO</v>
          </cell>
          <cell r="C142" t="str">
            <v>REFERENCIA - REFERENCIA Y CORDINANCION TELEFONICA</v>
          </cell>
          <cell r="D142" t="str">
            <v>En cobertura</v>
          </cell>
          <cell r="E142" t="str">
            <v xml:space="preserve"> </v>
          </cell>
          <cell r="F142" t="str">
            <v xml:space="preserve"> </v>
          </cell>
          <cell r="G142">
            <v>0</v>
          </cell>
          <cell r="J142" t="str">
            <v>01-01-2025</v>
          </cell>
        </row>
        <row r="143">
          <cell r="B143" t="str">
            <v>CANCELADO AL MOMENTO</v>
          </cell>
          <cell r="C143" t="str">
            <v>VEHICULAR - MECANICA LIGERA</v>
          </cell>
          <cell r="D143" t="str">
            <v>En cobertura</v>
          </cell>
          <cell r="E143" t="str">
            <v xml:space="preserve"> </v>
          </cell>
          <cell r="F143" t="str">
            <v xml:space="preserve"> </v>
          </cell>
          <cell r="G143">
            <v>0</v>
          </cell>
          <cell r="J143" t="str">
            <v>01-01-2025</v>
          </cell>
        </row>
        <row r="144">
          <cell r="B144" t="str">
            <v>CONCLUIDA</v>
          </cell>
          <cell r="C144" t="str">
            <v>VEHICULAR - REMOLQUE VEHICULAR</v>
          </cell>
          <cell r="D144" t="str">
            <v>En cobertura</v>
          </cell>
          <cell r="E144" t="str">
            <v>EXTERNO</v>
          </cell>
          <cell r="F144" t="str">
            <v>LOCAL</v>
          </cell>
          <cell r="G144">
            <v>44350</v>
          </cell>
          <cell r="J144" t="str">
            <v>01-01-2025</v>
          </cell>
        </row>
        <row r="145">
          <cell r="B145" t="str">
            <v>CONCLUIDA</v>
          </cell>
          <cell r="C145" t="str">
            <v>VEHICULAR - MECANICA LIGERA</v>
          </cell>
          <cell r="D145" t="str">
            <v>En cobertura</v>
          </cell>
          <cell r="E145" t="str">
            <v>EXTERNO</v>
          </cell>
          <cell r="F145" t="str">
            <v>LOCAL</v>
          </cell>
          <cell r="G145">
            <v>14000</v>
          </cell>
          <cell r="J145" t="str">
            <v>01-01-2025</v>
          </cell>
        </row>
        <row r="146">
          <cell r="B146" t="str">
            <v>CONCLUIDA</v>
          </cell>
          <cell r="C146" t="str">
            <v>VEHICULAR - REMOLQUE VEHICULAR</v>
          </cell>
          <cell r="D146" t="str">
            <v>En cobertura</v>
          </cell>
          <cell r="E146" t="str">
            <v>EXTERNO</v>
          </cell>
          <cell r="F146" t="str">
            <v>LOCAL</v>
          </cell>
          <cell r="G146">
            <v>66071</v>
          </cell>
          <cell r="J146" t="str">
            <v>01-01-2025</v>
          </cell>
        </row>
        <row r="147">
          <cell r="B147" t="str">
            <v>CANCELADO AL MOMENTO</v>
          </cell>
          <cell r="C147" t="str">
            <v>REFERENCIA - REFERENCIA Y CORDINANCION TELEFONICA</v>
          </cell>
          <cell r="D147" t="str">
            <v>En cobertura</v>
          </cell>
          <cell r="E147" t="str">
            <v xml:space="preserve"> </v>
          </cell>
          <cell r="F147" t="str">
            <v xml:space="preserve"> </v>
          </cell>
          <cell r="G147">
            <v>0</v>
          </cell>
          <cell r="J147" t="str">
            <v>01-01-2025</v>
          </cell>
        </row>
        <row r="148">
          <cell r="B148" t="str">
            <v>CANCELADO AL MOMENTO</v>
          </cell>
          <cell r="C148" t="str">
            <v>REFERENCIA - REFERENCIA Y CORDINANCION TELEFONICA</v>
          </cell>
          <cell r="D148" t="str">
            <v>En cobertura</v>
          </cell>
          <cell r="E148" t="str">
            <v xml:space="preserve"> </v>
          </cell>
          <cell r="F148" t="str">
            <v xml:space="preserve"> </v>
          </cell>
          <cell r="G148">
            <v>0</v>
          </cell>
          <cell r="J148" t="str">
            <v>01-01-2025</v>
          </cell>
        </row>
        <row r="149">
          <cell r="B149" t="str">
            <v>CONCLUIDA</v>
          </cell>
          <cell r="C149" t="str">
            <v>VEHICULAR - REMOLQUE VEHICULAR</v>
          </cell>
          <cell r="D149" t="str">
            <v>En cobertura</v>
          </cell>
          <cell r="E149" t="str">
            <v>EXTERNO</v>
          </cell>
          <cell r="F149" t="str">
            <v>LOCAL</v>
          </cell>
          <cell r="G149">
            <v>28599</v>
          </cell>
          <cell r="J149" t="str">
            <v>01-01-2025</v>
          </cell>
        </row>
        <row r="150">
          <cell r="B150" t="str">
            <v>CANCELADO AL MOMENTO</v>
          </cell>
          <cell r="C150" t="str">
            <v>REFERENCIA - REFERENCIA Y CORDINANCION TELEFONICA</v>
          </cell>
          <cell r="D150" t="str">
            <v>En cobertura</v>
          </cell>
          <cell r="E150" t="str">
            <v xml:space="preserve"> </v>
          </cell>
          <cell r="F150" t="str">
            <v xml:space="preserve"> </v>
          </cell>
          <cell r="G150">
            <v>0</v>
          </cell>
          <cell r="J150" t="str">
            <v>01-01-2025</v>
          </cell>
        </row>
        <row r="151">
          <cell r="B151" t="str">
            <v>CONCLUIDA</v>
          </cell>
          <cell r="C151" t="str">
            <v>VEHICULAR - REMOLQUE VEHICULAR</v>
          </cell>
          <cell r="D151" t="str">
            <v>En cobertura</v>
          </cell>
          <cell r="E151" t="str">
            <v>EXTERNO</v>
          </cell>
          <cell r="F151" t="str">
            <v>FORANEO</v>
          </cell>
          <cell r="G151">
            <v>59672</v>
          </cell>
          <cell r="J151" t="str">
            <v>01-01-2025</v>
          </cell>
        </row>
        <row r="152">
          <cell r="B152" t="str">
            <v>CANCELADO POSTERIOR</v>
          </cell>
          <cell r="C152" t="str">
            <v>VEHICULAR - REMOLQUE VEHICULAR</v>
          </cell>
          <cell r="D152" t="str">
            <v>En cobertura</v>
          </cell>
          <cell r="E152" t="str">
            <v>EXTERNO</v>
          </cell>
          <cell r="F152" t="str">
            <v xml:space="preserve"> </v>
          </cell>
          <cell r="G152">
            <v>0</v>
          </cell>
          <cell r="J152" t="str">
            <v>01-01-2025</v>
          </cell>
        </row>
        <row r="153">
          <cell r="B153" t="str">
            <v>CONCLUIDA</v>
          </cell>
          <cell r="C153" t="str">
            <v>VEHICULAR - MECANICA LIGERA</v>
          </cell>
          <cell r="D153" t="str">
            <v>En cobertura</v>
          </cell>
          <cell r="E153" t="str">
            <v>EXTERNO</v>
          </cell>
          <cell r="F153" t="str">
            <v>LOCAL</v>
          </cell>
          <cell r="G153">
            <v>17808</v>
          </cell>
          <cell r="J153" t="str">
            <v>01-01-2025</v>
          </cell>
        </row>
        <row r="154">
          <cell r="B154" t="str">
            <v>CONCLUIDA</v>
          </cell>
          <cell r="C154" t="str">
            <v>VEHICULAR - REMOLQUE VEHICULAR</v>
          </cell>
          <cell r="D154" t="str">
            <v>En cobertura</v>
          </cell>
          <cell r="E154" t="str">
            <v>EXTERNO</v>
          </cell>
          <cell r="F154" t="str">
            <v>LOCAL</v>
          </cell>
          <cell r="G154">
            <v>57594</v>
          </cell>
          <cell r="J154" t="str">
            <v>01-01-2025</v>
          </cell>
        </row>
        <row r="155">
          <cell r="B155" t="str">
            <v>CONCLUIDA</v>
          </cell>
          <cell r="C155" t="str">
            <v>VEHICULAR - REMOLQUE VEHICULAR</v>
          </cell>
          <cell r="D155" t="str">
            <v>En cobertura</v>
          </cell>
          <cell r="E155" t="str">
            <v>EXTERNO</v>
          </cell>
          <cell r="F155" t="str">
            <v>LOCAL</v>
          </cell>
          <cell r="G155">
            <v>97092</v>
          </cell>
          <cell r="J155" t="str">
            <v>01-01-2025</v>
          </cell>
        </row>
        <row r="156">
          <cell r="B156" t="str">
            <v>CANCELADO AL MOMENTO</v>
          </cell>
          <cell r="C156" t="str">
            <v>REFERENCIA - REFERENCIA Y CORDINANCION TELEFONICA</v>
          </cell>
          <cell r="D156" t="str">
            <v>En cobertura</v>
          </cell>
          <cell r="E156" t="str">
            <v xml:space="preserve"> </v>
          </cell>
          <cell r="F156" t="str">
            <v xml:space="preserve"> </v>
          </cell>
          <cell r="G156">
            <v>0</v>
          </cell>
          <cell r="J156" t="str">
            <v>01-01-2025</v>
          </cell>
        </row>
        <row r="157">
          <cell r="B157" t="str">
            <v>CONCLUIDA</v>
          </cell>
          <cell r="C157" t="str">
            <v>VEHICULAR - REMOLQUE VEHICULAR</v>
          </cell>
          <cell r="D157" t="str">
            <v>En cobertura</v>
          </cell>
          <cell r="E157" t="str">
            <v>EXTERNO</v>
          </cell>
          <cell r="F157" t="str">
            <v>FORANEO</v>
          </cell>
          <cell r="G157">
            <v>60500</v>
          </cell>
          <cell r="J157" t="str">
            <v>01-01-2025</v>
          </cell>
        </row>
        <row r="158">
          <cell r="B158" t="str">
            <v>CONCLUIDA</v>
          </cell>
          <cell r="C158" t="str">
            <v>VEHICULAR - REMOLQUE VEHICULAR</v>
          </cell>
          <cell r="D158" t="str">
            <v>En cobertura</v>
          </cell>
          <cell r="E158" t="str">
            <v>EXTERNO</v>
          </cell>
          <cell r="F158" t="str">
            <v>FORANEO</v>
          </cell>
          <cell r="G158">
            <v>60800</v>
          </cell>
          <cell r="J158" t="str">
            <v>01-01-2025</v>
          </cell>
        </row>
        <row r="159">
          <cell r="B159" t="str">
            <v>CONCLUIDA</v>
          </cell>
          <cell r="C159" t="str">
            <v>VEHICULAR - REMOLQUE VEHICULAR</v>
          </cell>
          <cell r="D159" t="str">
            <v>En cobertura</v>
          </cell>
          <cell r="E159" t="str">
            <v>EXTERNO</v>
          </cell>
          <cell r="F159" t="str">
            <v>LOCAL</v>
          </cell>
          <cell r="G159">
            <v>45530</v>
          </cell>
          <cell r="J159" t="str">
            <v>01-01-2025</v>
          </cell>
        </row>
        <row r="160">
          <cell r="B160" t="str">
            <v>CANCELADO AL MOMENTO</v>
          </cell>
          <cell r="C160" t="str">
            <v>REFERENCIA - REFERENCIA Y CORDINANCION TELEFONICA</v>
          </cell>
          <cell r="D160" t="str">
            <v>En cobertura</v>
          </cell>
          <cell r="E160" t="str">
            <v xml:space="preserve"> </v>
          </cell>
          <cell r="F160" t="str">
            <v xml:space="preserve"> </v>
          </cell>
          <cell r="G160">
            <v>0</v>
          </cell>
          <cell r="J160" t="str">
            <v>01-01-2025</v>
          </cell>
        </row>
        <row r="161">
          <cell r="B161" t="str">
            <v>CONCLUIDA</v>
          </cell>
          <cell r="C161" t="str">
            <v>VEHICULAR - REMOLQUE VEHICULAR</v>
          </cell>
          <cell r="D161" t="str">
            <v>En cobertura</v>
          </cell>
          <cell r="E161" t="str">
            <v>EXTERNO</v>
          </cell>
          <cell r="F161" t="str">
            <v>LOCAL</v>
          </cell>
          <cell r="G161">
            <v>37264</v>
          </cell>
          <cell r="J161" t="str">
            <v>01-01-2025</v>
          </cell>
        </row>
        <row r="162">
          <cell r="B162" t="str">
            <v>CONCLUIDA</v>
          </cell>
          <cell r="C162" t="str">
            <v>EXTRACCION</v>
          </cell>
          <cell r="D162" t="str">
            <v>En cobertura</v>
          </cell>
          <cell r="E162" t="str">
            <v>EXTERNO</v>
          </cell>
          <cell r="F162" t="str">
            <v>LOCAL</v>
          </cell>
          <cell r="G162">
            <v>50000</v>
          </cell>
          <cell r="J162" t="str">
            <v>01-01-2025</v>
          </cell>
        </row>
        <row r="163">
          <cell r="B163" t="str">
            <v>CONCLUIDA</v>
          </cell>
          <cell r="C163" t="str">
            <v>VEHICULAR - MECANICA LIGERA</v>
          </cell>
          <cell r="D163" t="str">
            <v>En cobertura</v>
          </cell>
          <cell r="E163" t="str">
            <v>EXTERNO</v>
          </cell>
          <cell r="F163" t="str">
            <v>LOCAL</v>
          </cell>
          <cell r="G163">
            <v>22996</v>
          </cell>
          <cell r="J163" t="str">
            <v>01-01-2025</v>
          </cell>
        </row>
        <row r="164">
          <cell r="B164" t="str">
            <v>CONCLUIDA</v>
          </cell>
          <cell r="C164" t="str">
            <v>VEHICULAR - REMOLQUE VEHICULAR</v>
          </cell>
          <cell r="D164" t="str">
            <v>En cobertura</v>
          </cell>
          <cell r="E164" t="str">
            <v>EXTERNO</v>
          </cell>
          <cell r="F164" t="str">
            <v>LOCAL</v>
          </cell>
          <cell r="G164">
            <v>53916</v>
          </cell>
          <cell r="J164" t="str">
            <v>01-01-2025</v>
          </cell>
        </row>
        <row r="165">
          <cell r="B165" t="str">
            <v>CONCLUIDA</v>
          </cell>
          <cell r="C165" t="str">
            <v>VEHICULAR - REMOLQUE VEHICULAR</v>
          </cell>
          <cell r="D165" t="str">
            <v>En cobertura</v>
          </cell>
          <cell r="E165" t="str">
            <v>EXTERNO</v>
          </cell>
          <cell r="F165" t="str">
            <v>FORANEO</v>
          </cell>
          <cell r="G165">
            <v>64450</v>
          </cell>
          <cell r="J165" t="str">
            <v>01-01-2025</v>
          </cell>
        </row>
        <row r="166">
          <cell r="B166" t="str">
            <v>CONCLUIDA</v>
          </cell>
          <cell r="C166" t="str">
            <v>VEHICULAR - REMOLQUE VEHICULAR</v>
          </cell>
          <cell r="D166" t="str">
            <v>En cobertura</v>
          </cell>
          <cell r="E166" t="str">
            <v>EXTERNO</v>
          </cell>
          <cell r="F166" t="str">
            <v>LOCAL</v>
          </cell>
          <cell r="G166">
            <v>44608</v>
          </cell>
          <cell r="J166" t="str">
            <v>01-01-2025</v>
          </cell>
        </row>
        <row r="167">
          <cell r="B167" t="str">
            <v>CONCLUIDA</v>
          </cell>
          <cell r="C167" t="str">
            <v>VEHICULAR - MECANICA LIGERA</v>
          </cell>
          <cell r="D167" t="str">
            <v>En cobertura</v>
          </cell>
          <cell r="E167" t="str">
            <v>EXTERNO</v>
          </cell>
          <cell r="F167" t="str">
            <v>LOCAL</v>
          </cell>
          <cell r="G167">
            <v>28400</v>
          </cell>
          <cell r="J167" t="str">
            <v>01-01-2025</v>
          </cell>
        </row>
        <row r="168">
          <cell r="B168" t="str">
            <v>CANCELADO AL MOMENTO</v>
          </cell>
          <cell r="C168" t="str">
            <v>REFERENCIA - REFERENCIA Y CORDINANCION TELEFONICA</v>
          </cell>
          <cell r="D168" t="str">
            <v>En cobertura</v>
          </cell>
          <cell r="E168" t="str">
            <v xml:space="preserve"> </v>
          </cell>
          <cell r="F168" t="str">
            <v xml:space="preserve"> </v>
          </cell>
          <cell r="G168">
            <v>0</v>
          </cell>
          <cell r="J168" t="str">
            <v>01-01-2025</v>
          </cell>
        </row>
        <row r="169">
          <cell r="B169" t="str">
            <v>CANCELADO AL MOMENTO</v>
          </cell>
          <cell r="C169" t="str">
            <v>VEHICULAR - VARIOS VIAL</v>
          </cell>
          <cell r="D169" t="str">
            <v>En cobertura</v>
          </cell>
          <cell r="E169" t="str">
            <v xml:space="preserve"> </v>
          </cell>
          <cell r="F169" t="str">
            <v xml:space="preserve"> </v>
          </cell>
          <cell r="G169">
            <v>0</v>
          </cell>
          <cell r="J169" t="str">
            <v>01-01-2025</v>
          </cell>
        </row>
        <row r="170">
          <cell r="B170" t="str">
            <v>CONCLUIDA</v>
          </cell>
          <cell r="C170" t="str">
            <v>VEHICULAR - REMOLQUE VEHICULAR</v>
          </cell>
          <cell r="D170" t="str">
            <v>En cobertura</v>
          </cell>
          <cell r="E170" t="str">
            <v>EXTERNO</v>
          </cell>
          <cell r="F170" t="str">
            <v>LOCAL</v>
          </cell>
          <cell r="G170">
            <v>50041</v>
          </cell>
          <cell r="J170" t="str">
            <v>01-01-2025</v>
          </cell>
        </row>
        <row r="171">
          <cell r="B171" t="str">
            <v>CANCELADO AL MOMENTO</v>
          </cell>
          <cell r="C171" t="str">
            <v>REFERENCIA - REFERENCIA Y CORDINANCION TELEFONICA</v>
          </cell>
          <cell r="D171" t="str">
            <v>En cobertura</v>
          </cell>
          <cell r="E171" t="str">
            <v xml:space="preserve"> </v>
          </cell>
          <cell r="F171" t="str">
            <v xml:space="preserve"> </v>
          </cell>
          <cell r="G171">
            <v>0</v>
          </cell>
          <cell r="J171" t="str">
            <v>01-01-2025</v>
          </cell>
        </row>
        <row r="172">
          <cell r="B172" t="str">
            <v>CONCLUIDA</v>
          </cell>
          <cell r="C172" t="str">
            <v>VEHICULAR - MECANICA LIGERA</v>
          </cell>
          <cell r="D172" t="str">
            <v>En cobertura</v>
          </cell>
          <cell r="E172" t="str">
            <v>EXTERNO</v>
          </cell>
          <cell r="F172" t="str">
            <v>LOCAL</v>
          </cell>
          <cell r="G172">
            <v>10004</v>
          </cell>
          <cell r="J172" t="str">
            <v>01-01-2025</v>
          </cell>
        </row>
        <row r="173">
          <cell r="B173" t="str">
            <v>CONCLUIDA</v>
          </cell>
          <cell r="C173" t="str">
            <v>VEHICULAR - REMOLQUE VEHICULAR</v>
          </cell>
          <cell r="D173" t="str">
            <v>En cobertura</v>
          </cell>
          <cell r="E173" t="str">
            <v>EXTERNO</v>
          </cell>
          <cell r="F173" t="str">
            <v>LOCAL</v>
          </cell>
          <cell r="G173">
            <v>43792</v>
          </cell>
          <cell r="J173" t="str">
            <v>01-01-2025</v>
          </cell>
        </row>
        <row r="174">
          <cell r="B174" t="str">
            <v>CONCLUIDA</v>
          </cell>
          <cell r="C174" t="str">
            <v>VEHICULAR - REMOLQUE VEHICULAR</v>
          </cell>
          <cell r="D174" t="str">
            <v>En cobertura</v>
          </cell>
          <cell r="E174" t="str">
            <v>EXTERNO</v>
          </cell>
          <cell r="F174" t="str">
            <v>LOCAL</v>
          </cell>
          <cell r="G174">
            <v>69088</v>
          </cell>
          <cell r="J174" t="str">
            <v>01-01-2025</v>
          </cell>
        </row>
        <row r="175">
          <cell r="B175" t="str">
            <v>CONCLUIDA</v>
          </cell>
          <cell r="C175" t="str">
            <v>VEHICULAR - REMOLQUE VEHICULAR</v>
          </cell>
          <cell r="D175" t="str">
            <v>En cobertura</v>
          </cell>
          <cell r="E175" t="str">
            <v>EXTERNO</v>
          </cell>
          <cell r="F175" t="str">
            <v>LOCAL</v>
          </cell>
          <cell r="G175">
            <v>104176</v>
          </cell>
          <cell r="J175" t="str">
            <v>01-01-2025</v>
          </cell>
        </row>
        <row r="176">
          <cell r="B176" t="str">
            <v>CANCELADO AL MOMENTO</v>
          </cell>
          <cell r="C176" t="str">
            <v>VEHICULAR - MECANICA LIGERA</v>
          </cell>
          <cell r="D176" t="str">
            <v>En cobertura</v>
          </cell>
          <cell r="E176" t="str">
            <v xml:space="preserve"> </v>
          </cell>
          <cell r="F176" t="str">
            <v xml:space="preserve"> </v>
          </cell>
          <cell r="G176">
            <v>0</v>
          </cell>
          <cell r="J176" t="str">
            <v>01-01-2025</v>
          </cell>
        </row>
        <row r="177">
          <cell r="B177" t="str">
            <v>CANCELADO AL MOMENTO</v>
          </cell>
          <cell r="C177" t="str">
            <v>VEHICULAR - REMOLQUE VEHICULAR</v>
          </cell>
          <cell r="D177" t="str">
            <v>En cobertura</v>
          </cell>
          <cell r="E177" t="str">
            <v xml:space="preserve"> </v>
          </cell>
          <cell r="F177" t="str">
            <v xml:space="preserve"> </v>
          </cell>
          <cell r="G177">
            <v>0</v>
          </cell>
          <cell r="J177" t="str">
            <v>01-01-2025</v>
          </cell>
        </row>
        <row r="178">
          <cell r="B178" t="str">
            <v>CANCELADO AL MOMENTO</v>
          </cell>
          <cell r="C178" t="str">
            <v>REFERENCIA - REFERENCIA Y CORDINANCION TELEFONICA</v>
          </cell>
          <cell r="D178" t="str">
            <v>En cobertura</v>
          </cell>
          <cell r="E178" t="str">
            <v xml:space="preserve"> </v>
          </cell>
          <cell r="F178" t="str">
            <v xml:space="preserve"> </v>
          </cell>
          <cell r="G178">
            <v>0</v>
          </cell>
          <cell r="J178" t="str">
            <v>01-01-2025</v>
          </cell>
        </row>
        <row r="179">
          <cell r="B179" t="str">
            <v>CONCLUIDA</v>
          </cell>
          <cell r="C179" t="str">
            <v>VEHICULAR - MECANICA LIGERA</v>
          </cell>
          <cell r="D179" t="str">
            <v>En cobertura</v>
          </cell>
          <cell r="E179" t="str">
            <v>EXTERNO</v>
          </cell>
          <cell r="F179" t="str">
            <v>FORANEO</v>
          </cell>
          <cell r="G179">
            <v>64916</v>
          </cell>
          <cell r="J179" t="str">
            <v>01-01-2025</v>
          </cell>
        </row>
        <row r="180">
          <cell r="B180" t="str">
            <v>CANCELADO AL MOMENTO</v>
          </cell>
          <cell r="C180" t="str">
            <v>REFERENCIA - REFERENCIA Y CORDINANCION TELEFONICA</v>
          </cell>
          <cell r="D180" t="str">
            <v>En cobertura</v>
          </cell>
          <cell r="E180" t="str">
            <v xml:space="preserve"> </v>
          </cell>
          <cell r="F180" t="str">
            <v xml:space="preserve"> </v>
          </cell>
          <cell r="G180">
            <v>0</v>
          </cell>
          <cell r="J180" t="str">
            <v>01-01-2025</v>
          </cell>
        </row>
        <row r="181">
          <cell r="B181" t="str">
            <v>CANCELADO AL MOMENTO</v>
          </cell>
          <cell r="C181" t="str">
            <v>VEHICULAR - MECANICA LIGERA</v>
          </cell>
          <cell r="D181" t="str">
            <v>En cobertura</v>
          </cell>
          <cell r="E181" t="str">
            <v xml:space="preserve"> </v>
          </cell>
          <cell r="F181" t="str">
            <v xml:space="preserve"> </v>
          </cell>
          <cell r="G181">
            <v>0</v>
          </cell>
          <cell r="J181" t="str">
            <v>01-01-2025</v>
          </cell>
        </row>
        <row r="182">
          <cell r="B182" t="str">
            <v>CONCLUIDA</v>
          </cell>
          <cell r="C182" t="str">
            <v>VEHICULAR - REMOLQUE VEHICULAR</v>
          </cell>
          <cell r="D182" t="str">
            <v>En cobertura</v>
          </cell>
          <cell r="E182" t="str">
            <v>EXTERNO</v>
          </cell>
          <cell r="F182" t="str">
            <v>FORANEO</v>
          </cell>
          <cell r="G182">
            <v>65000</v>
          </cell>
          <cell r="J182" t="str">
            <v>01-01-2025</v>
          </cell>
        </row>
        <row r="183">
          <cell r="B183" t="str">
            <v>CANCELADO AL MOMENTO</v>
          </cell>
          <cell r="C183" t="str">
            <v>REFERENCIA - REFERENCIA Y CORDINANCION TELEFONICA</v>
          </cell>
          <cell r="D183" t="str">
            <v>En cobertura</v>
          </cell>
          <cell r="E183" t="str">
            <v xml:space="preserve"> </v>
          </cell>
          <cell r="F183" t="str">
            <v xml:space="preserve"> </v>
          </cell>
          <cell r="G183">
            <v>0</v>
          </cell>
          <cell r="J183" t="str">
            <v>01-01-2025</v>
          </cell>
        </row>
        <row r="184">
          <cell r="B184" t="str">
            <v>CANCELADO AL MOMENTO</v>
          </cell>
          <cell r="C184" t="str">
            <v>REFERENCIA - REFERENCIA Y CORDINANCION TELEFONICA</v>
          </cell>
          <cell r="D184" t="str">
            <v>En cobertura</v>
          </cell>
          <cell r="E184" t="str">
            <v xml:space="preserve"> </v>
          </cell>
          <cell r="F184" t="str">
            <v xml:space="preserve"> </v>
          </cell>
          <cell r="G184">
            <v>0</v>
          </cell>
          <cell r="J184" t="str">
            <v>01-01-2025</v>
          </cell>
        </row>
        <row r="185">
          <cell r="B185" t="str">
            <v>CONCLUIDA</v>
          </cell>
          <cell r="C185" t="str">
            <v>VEHICULAR - REMOLQUE VEHICULAR</v>
          </cell>
          <cell r="D185" t="str">
            <v>En cobertura</v>
          </cell>
          <cell r="E185" t="str">
            <v>EXTERNO</v>
          </cell>
          <cell r="F185" t="str">
            <v>FORANEO</v>
          </cell>
          <cell r="G185">
            <v>67605</v>
          </cell>
          <cell r="J185" t="str">
            <v>01-01-2025</v>
          </cell>
        </row>
        <row r="186">
          <cell r="B186" t="str">
            <v>CANCELADO AL MOMENTO</v>
          </cell>
          <cell r="C186" t="str">
            <v>VEHICULAR - REMOLQUE VEHICULAR</v>
          </cell>
          <cell r="D186" t="str">
            <v>En cobertura</v>
          </cell>
          <cell r="E186" t="str">
            <v xml:space="preserve"> </v>
          </cell>
          <cell r="F186" t="str">
            <v xml:space="preserve"> </v>
          </cell>
          <cell r="G186">
            <v>0</v>
          </cell>
          <cell r="J186" t="str">
            <v>01-01-2025</v>
          </cell>
        </row>
        <row r="187">
          <cell r="B187" t="str">
            <v>CANCELADO AL MOMENTO</v>
          </cell>
          <cell r="C187" t="str">
            <v>REFERENCIA - REFERENCIA Y CORDINANCION TELEFONICA</v>
          </cell>
          <cell r="D187" t="str">
            <v>En cobertura</v>
          </cell>
          <cell r="E187" t="str">
            <v xml:space="preserve"> </v>
          </cell>
          <cell r="F187" t="str">
            <v xml:space="preserve"> </v>
          </cell>
          <cell r="G187">
            <v>0</v>
          </cell>
          <cell r="J187" t="str">
            <v>01-01-2025</v>
          </cell>
        </row>
        <row r="188">
          <cell r="B188" t="str">
            <v>CANCELADO AL MOMENTO</v>
          </cell>
          <cell r="C188" t="str">
            <v>VEHICULAR - REMOLQUE VEHICULAR</v>
          </cell>
          <cell r="D188" t="str">
            <v>En cobertura</v>
          </cell>
          <cell r="E188" t="str">
            <v xml:space="preserve"> </v>
          </cell>
          <cell r="F188" t="str">
            <v xml:space="preserve"> </v>
          </cell>
          <cell r="G188">
            <v>0</v>
          </cell>
          <cell r="J188" t="str">
            <v>01-01-2025</v>
          </cell>
        </row>
        <row r="189">
          <cell r="B189" t="str">
            <v>CONCLUIDA</v>
          </cell>
          <cell r="C189" t="str">
            <v>VEHICULAR - MECANICA LIGERA</v>
          </cell>
          <cell r="D189" t="str">
            <v>En cobertura</v>
          </cell>
          <cell r="E189" t="str">
            <v>EXTERNO</v>
          </cell>
          <cell r="F189" t="str">
            <v>LOCAL</v>
          </cell>
          <cell r="G189">
            <v>23500</v>
          </cell>
          <cell r="J189" t="str">
            <v>01-01-2025</v>
          </cell>
        </row>
        <row r="190">
          <cell r="B190" t="str">
            <v>CONCLUIDA</v>
          </cell>
          <cell r="C190" t="str">
            <v>VEHICULAR - REMOLQUE VEHICULAR</v>
          </cell>
          <cell r="D190" t="str">
            <v>En cobertura</v>
          </cell>
          <cell r="E190" t="str">
            <v>EXTERNO</v>
          </cell>
          <cell r="F190" t="str">
            <v>FORANEO</v>
          </cell>
          <cell r="G190">
            <v>68816</v>
          </cell>
          <cell r="J190" t="str">
            <v>01-01-2025</v>
          </cell>
        </row>
        <row r="191">
          <cell r="B191" t="str">
            <v>CONCLUIDA</v>
          </cell>
          <cell r="C191" t="str">
            <v>VEHICULAR - REMOLQUE VEHICULAR</v>
          </cell>
          <cell r="D191" t="str">
            <v>En cobertura</v>
          </cell>
          <cell r="E191" t="str">
            <v>EXTERNO</v>
          </cell>
          <cell r="F191" t="str">
            <v>FORANEO</v>
          </cell>
          <cell r="G191">
            <v>70000</v>
          </cell>
          <cell r="J191" t="str">
            <v>01-01-2025</v>
          </cell>
        </row>
        <row r="192">
          <cell r="B192" t="str">
            <v>CONCLUIDA</v>
          </cell>
          <cell r="C192" t="str">
            <v>VEHICULAR - REMOLQUE VEHICULAR</v>
          </cell>
          <cell r="D192" t="str">
            <v>En cobertura</v>
          </cell>
          <cell r="E192" t="str">
            <v>EXTERNO</v>
          </cell>
          <cell r="F192" t="str">
            <v>FORANEO</v>
          </cell>
          <cell r="G192">
            <v>70650</v>
          </cell>
          <cell r="J192" t="str">
            <v>01-01-2025</v>
          </cell>
        </row>
        <row r="193">
          <cell r="B193" t="str">
            <v>CONCLUIDA</v>
          </cell>
          <cell r="C193" t="str">
            <v>VEHICULAR - MECANICA LIGERA</v>
          </cell>
          <cell r="D193" t="str">
            <v>En cobertura</v>
          </cell>
          <cell r="E193" t="str">
            <v>EXTERNO</v>
          </cell>
          <cell r="F193" t="str">
            <v>LOCAL</v>
          </cell>
          <cell r="G193">
            <v>14470</v>
          </cell>
          <cell r="J193" t="str">
            <v>01-01-2025</v>
          </cell>
        </row>
        <row r="194">
          <cell r="B194" t="str">
            <v>CONCLUIDA</v>
          </cell>
          <cell r="C194" t="str">
            <v>VEHICULAR - REMOLQUE VEHICULAR</v>
          </cell>
          <cell r="D194" t="str">
            <v>En cobertura</v>
          </cell>
          <cell r="E194" t="str">
            <v>EXTERNO</v>
          </cell>
          <cell r="F194" t="str">
            <v>FORANEO</v>
          </cell>
          <cell r="G194">
            <v>75865</v>
          </cell>
          <cell r="J194" t="str">
            <v>01-01-2025</v>
          </cell>
        </row>
        <row r="195">
          <cell r="B195" t="str">
            <v>CONCLUIDA</v>
          </cell>
          <cell r="C195" t="str">
            <v>VEHICULAR - REMOLQUE VEHICULAR</v>
          </cell>
          <cell r="D195" t="str">
            <v>En cobertura</v>
          </cell>
          <cell r="E195" t="str">
            <v>EXTERNO</v>
          </cell>
          <cell r="F195" t="str">
            <v>LOCAL</v>
          </cell>
          <cell r="G195">
            <v>89592</v>
          </cell>
          <cell r="J195" t="str">
            <v>01-01-2025</v>
          </cell>
        </row>
        <row r="196">
          <cell r="B196" t="str">
            <v>CANCELADO POSTERIOR</v>
          </cell>
          <cell r="C196" t="str">
            <v>VEHICULAR - REMOLQUE VEHICULAR</v>
          </cell>
          <cell r="D196" t="str">
            <v>En cobertura</v>
          </cell>
          <cell r="E196" t="str">
            <v>EXTERNO</v>
          </cell>
          <cell r="F196" t="str">
            <v xml:space="preserve"> </v>
          </cell>
          <cell r="G196">
            <v>0</v>
          </cell>
          <cell r="J196" t="str">
            <v>01-01-2025</v>
          </cell>
        </row>
        <row r="197">
          <cell r="B197" t="str">
            <v>CANCELADO AL MOMENTO</v>
          </cell>
          <cell r="C197" t="str">
            <v>REFERENCIA - REFERENCIA Y CORDINANCION TELEFONICA</v>
          </cell>
          <cell r="D197" t="str">
            <v>En cobertura</v>
          </cell>
          <cell r="E197" t="str">
            <v xml:space="preserve"> </v>
          </cell>
          <cell r="F197" t="str">
            <v xml:space="preserve"> </v>
          </cell>
          <cell r="G197">
            <v>0</v>
          </cell>
          <cell r="J197" t="str">
            <v>01-01-2025</v>
          </cell>
        </row>
        <row r="198">
          <cell r="B198" t="str">
            <v>CANCELADO AL MOMENTO</v>
          </cell>
          <cell r="C198" t="str">
            <v>REFERENCIA - REFERENCIA Y CORDINANCION TELEFONICA</v>
          </cell>
          <cell r="D198" t="str">
            <v>En cobertura</v>
          </cell>
          <cell r="E198" t="str">
            <v xml:space="preserve"> </v>
          </cell>
          <cell r="F198" t="str">
            <v xml:space="preserve"> </v>
          </cell>
          <cell r="G198">
            <v>0</v>
          </cell>
          <cell r="J198" t="str">
            <v>01-01-2025</v>
          </cell>
        </row>
        <row r="199">
          <cell r="B199" t="str">
            <v>CONCLUIDA</v>
          </cell>
          <cell r="C199" t="str">
            <v>VEHICULAR - REMOLQUE VEHICULAR</v>
          </cell>
          <cell r="D199" t="str">
            <v>En cobertura</v>
          </cell>
          <cell r="E199" t="str">
            <v>EXTERNO</v>
          </cell>
          <cell r="F199" t="str">
            <v>LOCAL</v>
          </cell>
          <cell r="G199">
            <v>75065</v>
          </cell>
          <cell r="J199" t="str">
            <v>01-01-2025</v>
          </cell>
        </row>
        <row r="200">
          <cell r="B200" t="str">
            <v>CONCLUIDA</v>
          </cell>
          <cell r="C200" t="str">
            <v>VEHICULAR - REMOLQUE VEHICULAR</v>
          </cell>
          <cell r="D200" t="str">
            <v>En cobertura</v>
          </cell>
          <cell r="E200" t="str">
            <v>EXTERNO</v>
          </cell>
          <cell r="F200" t="str">
            <v>LOCAL</v>
          </cell>
          <cell r="G200">
            <v>51136</v>
          </cell>
          <cell r="J200" t="str">
            <v>01-01-2025</v>
          </cell>
        </row>
        <row r="201">
          <cell r="B201" t="str">
            <v>CONCLUIDA</v>
          </cell>
          <cell r="C201" t="str">
            <v>VEHICULAR - REMOLQUE VEHICULAR</v>
          </cell>
          <cell r="D201" t="str">
            <v>En cobertura</v>
          </cell>
          <cell r="E201" t="str">
            <v>EXTERNO</v>
          </cell>
          <cell r="F201" t="str">
            <v>LOCAL</v>
          </cell>
          <cell r="G201">
            <v>42941</v>
          </cell>
          <cell r="J201" t="str">
            <v>01-01-2025</v>
          </cell>
        </row>
        <row r="202">
          <cell r="B202" t="str">
            <v>CANCELADO AL MOMENTO</v>
          </cell>
          <cell r="C202" t="str">
            <v>VEHICULAR - REMOLQUE VEHICULAR</v>
          </cell>
          <cell r="D202" t="str">
            <v>En cobertura</v>
          </cell>
          <cell r="E202" t="str">
            <v xml:space="preserve"> </v>
          </cell>
          <cell r="F202" t="str">
            <v xml:space="preserve"> </v>
          </cell>
          <cell r="G202">
            <v>0</v>
          </cell>
          <cell r="J202" t="str">
            <v>01-01-2025</v>
          </cell>
        </row>
        <row r="203">
          <cell r="B203" t="str">
            <v>CONCLUIDA</v>
          </cell>
          <cell r="C203" t="str">
            <v>VEHICULAR - REMOLQUE VEHICULAR</v>
          </cell>
          <cell r="D203" t="str">
            <v>En cobertura</v>
          </cell>
          <cell r="E203" t="str">
            <v>EXTERNO</v>
          </cell>
          <cell r="F203" t="str">
            <v>LOCAL</v>
          </cell>
          <cell r="G203">
            <v>51903</v>
          </cell>
          <cell r="J203" t="str">
            <v>01-01-2025</v>
          </cell>
        </row>
        <row r="204">
          <cell r="B204" t="str">
            <v>CONCLUIDA</v>
          </cell>
          <cell r="C204" t="str">
            <v>VEHICULAR - MECANICA LIGERA</v>
          </cell>
          <cell r="D204" t="str">
            <v>En cobertura</v>
          </cell>
          <cell r="E204" t="str">
            <v>EXTERNO</v>
          </cell>
          <cell r="F204" t="str">
            <v>LOCAL</v>
          </cell>
          <cell r="G204">
            <v>35520</v>
          </cell>
          <cell r="J204" t="str">
            <v>01-01-2025</v>
          </cell>
        </row>
        <row r="205">
          <cell r="B205" t="str">
            <v>CANCELADO AL MOMENTO</v>
          </cell>
          <cell r="C205" t="str">
            <v>REFERENCIA - REFERENCIA Y CORDINANCION TELEFONICA</v>
          </cell>
          <cell r="D205" t="str">
            <v>En cobertura</v>
          </cell>
          <cell r="E205" t="str">
            <v xml:space="preserve"> </v>
          </cell>
          <cell r="F205" t="str">
            <v xml:space="preserve"> </v>
          </cell>
          <cell r="G205">
            <v>0</v>
          </cell>
          <cell r="J205" t="str">
            <v>01-01-2025</v>
          </cell>
        </row>
        <row r="206">
          <cell r="B206" t="str">
            <v>CONCLUIDA</v>
          </cell>
          <cell r="C206" t="str">
            <v>VEHICULAR - REMOLQUE VEHICULAR</v>
          </cell>
          <cell r="D206" t="str">
            <v>En cobertura</v>
          </cell>
          <cell r="E206" t="str">
            <v>EXTERNO</v>
          </cell>
          <cell r="F206" t="str">
            <v>LOCAL</v>
          </cell>
          <cell r="G206">
            <v>87500</v>
          </cell>
          <cell r="J206" t="str">
            <v>01-01-2025</v>
          </cell>
        </row>
        <row r="207">
          <cell r="B207" t="str">
            <v>CONCLUIDA</v>
          </cell>
          <cell r="C207" t="str">
            <v>VEHICULAR - MECANICA LIGERA</v>
          </cell>
          <cell r="D207" t="str">
            <v>En cobertura</v>
          </cell>
          <cell r="E207" t="str">
            <v>EXTERNO</v>
          </cell>
          <cell r="F207" t="str">
            <v>FORANEO</v>
          </cell>
          <cell r="G207">
            <v>79265</v>
          </cell>
          <cell r="J207" t="str">
            <v>01-01-2025</v>
          </cell>
        </row>
        <row r="208">
          <cell r="B208" t="str">
            <v>CONCLUIDA</v>
          </cell>
          <cell r="C208" t="str">
            <v>VEHICULAR - REMOLQUE VEHICULAR</v>
          </cell>
          <cell r="D208" t="str">
            <v>En cobertura</v>
          </cell>
          <cell r="E208" t="str">
            <v>EXTERNO</v>
          </cell>
          <cell r="F208" t="str">
            <v>FORANEO</v>
          </cell>
          <cell r="G208">
            <v>80000</v>
          </cell>
          <cell r="J208" t="str">
            <v>01-01-2025</v>
          </cell>
        </row>
        <row r="209">
          <cell r="B209" t="str">
            <v>CONCLUIDA</v>
          </cell>
          <cell r="C209" t="str">
            <v>VEHICULAR - REMOLQUE VEHICULAR</v>
          </cell>
          <cell r="D209" t="str">
            <v>En cobertura</v>
          </cell>
          <cell r="E209" t="str">
            <v>EXTERNO</v>
          </cell>
          <cell r="F209" t="str">
            <v>LOCAL</v>
          </cell>
          <cell r="G209">
            <v>69967</v>
          </cell>
          <cell r="J209" t="str">
            <v>01-01-2025</v>
          </cell>
        </row>
        <row r="210">
          <cell r="B210" t="str">
            <v>CONCLUIDA</v>
          </cell>
          <cell r="C210" t="str">
            <v>VEHICULAR - REMOLQUE VEHICULAR</v>
          </cell>
          <cell r="D210" t="str">
            <v>En cobertura</v>
          </cell>
          <cell r="E210" t="str">
            <v>EXTERNO</v>
          </cell>
          <cell r="F210" t="str">
            <v>LOCAL</v>
          </cell>
          <cell r="G210">
            <v>48666</v>
          </cell>
          <cell r="J210" t="str">
            <v>01-01-2025</v>
          </cell>
        </row>
        <row r="211">
          <cell r="B211" t="str">
            <v>CONCLUIDA</v>
          </cell>
          <cell r="C211" t="str">
            <v>VEHICULAR - REMOLQUE VEHICULAR</v>
          </cell>
          <cell r="D211" t="str">
            <v>En cobertura</v>
          </cell>
          <cell r="E211" t="str">
            <v>EXTERNO</v>
          </cell>
          <cell r="F211" t="str">
            <v>LOCAL</v>
          </cell>
          <cell r="G211">
            <v>37637</v>
          </cell>
          <cell r="J211" t="str">
            <v>01-01-2025</v>
          </cell>
        </row>
        <row r="212">
          <cell r="B212" t="str">
            <v>CANCELADO AL MOMENTO</v>
          </cell>
          <cell r="C212" t="str">
            <v>REFERENCIA - REFERENCIA Y CORDINANCION TELEFONICA</v>
          </cell>
          <cell r="D212" t="str">
            <v>En cobertura</v>
          </cell>
          <cell r="E212" t="str">
            <v xml:space="preserve"> </v>
          </cell>
          <cell r="F212" t="str">
            <v xml:space="preserve"> </v>
          </cell>
          <cell r="G212">
            <v>0</v>
          </cell>
          <cell r="J212" t="str">
            <v>01-01-2025</v>
          </cell>
        </row>
        <row r="213">
          <cell r="B213" t="str">
            <v>CONCLUIDA</v>
          </cell>
          <cell r="C213" t="str">
            <v>VEHICULAR - REMOLQUE VEHICULAR</v>
          </cell>
          <cell r="D213" t="str">
            <v>En cobertura</v>
          </cell>
          <cell r="E213" t="str">
            <v>EXTERNO</v>
          </cell>
          <cell r="F213" t="str">
            <v>LOCAL</v>
          </cell>
          <cell r="G213">
            <v>57338</v>
          </cell>
          <cell r="J213" t="str">
            <v>01-01-2025</v>
          </cell>
        </row>
        <row r="214">
          <cell r="B214" t="str">
            <v>CANCELADO AL MOMENTO</v>
          </cell>
          <cell r="C214" t="str">
            <v>REFERENCIA - REFERENCIA Y CORDINANCION TELEFONICA</v>
          </cell>
          <cell r="D214" t="str">
            <v>En cobertura</v>
          </cell>
          <cell r="E214" t="str">
            <v xml:space="preserve"> </v>
          </cell>
          <cell r="F214" t="str">
            <v xml:space="preserve"> </v>
          </cell>
          <cell r="G214">
            <v>0</v>
          </cell>
          <cell r="J214" t="str">
            <v>01-01-2025</v>
          </cell>
        </row>
        <row r="215">
          <cell r="B215" t="str">
            <v>CONCLUIDA</v>
          </cell>
          <cell r="C215" t="str">
            <v>VEHICULAR - REMOLQUE VEHICULAR</v>
          </cell>
          <cell r="D215" t="str">
            <v>En cobertura</v>
          </cell>
          <cell r="E215" t="str">
            <v>EXTERNO</v>
          </cell>
          <cell r="F215" t="str">
            <v>LOCAL</v>
          </cell>
          <cell r="G215">
            <v>29920</v>
          </cell>
          <cell r="J215" t="str">
            <v>01-01-2025</v>
          </cell>
        </row>
        <row r="216">
          <cell r="B216" t="str">
            <v>CONCLUIDA</v>
          </cell>
          <cell r="C216" t="str">
            <v>VEHICULAR - REMOLQUE VEHICULAR</v>
          </cell>
          <cell r="D216" t="str">
            <v>En cobertura</v>
          </cell>
          <cell r="E216" t="str">
            <v>EXTERNO</v>
          </cell>
          <cell r="F216" t="str">
            <v>LOCAL</v>
          </cell>
          <cell r="G216">
            <v>40938</v>
          </cell>
          <cell r="J216" t="str">
            <v>01-01-2025</v>
          </cell>
        </row>
        <row r="217">
          <cell r="B217" t="str">
            <v>CONCLUIDA</v>
          </cell>
          <cell r="C217" t="str">
            <v>VEHICULAR - MECANICA LIGERA</v>
          </cell>
          <cell r="D217" t="str">
            <v>En cobertura</v>
          </cell>
          <cell r="E217" t="str">
            <v>EXTERNO</v>
          </cell>
          <cell r="F217" t="str">
            <v>LOCAL</v>
          </cell>
          <cell r="G217">
            <v>15950</v>
          </cell>
          <cell r="J217" t="str">
            <v>01-01-2025</v>
          </cell>
        </row>
        <row r="218">
          <cell r="B218" t="str">
            <v>CANCELADO AL MOMENTO</v>
          </cell>
          <cell r="C218" t="str">
            <v>VEHICULAR - REMOLQUE VEHICULAR</v>
          </cell>
          <cell r="D218" t="str">
            <v>En cobertura</v>
          </cell>
          <cell r="E218" t="str">
            <v xml:space="preserve"> </v>
          </cell>
          <cell r="F218" t="str">
            <v xml:space="preserve"> </v>
          </cell>
          <cell r="G218">
            <v>0</v>
          </cell>
          <cell r="J218" t="str">
            <v>01-01-2025</v>
          </cell>
        </row>
        <row r="219">
          <cell r="B219" t="str">
            <v>CANCELADO AL MOMENTO</v>
          </cell>
          <cell r="C219" t="str">
            <v>REFERENCIA - REFERENCIA Y CORDINANCION TELEFONICA</v>
          </cell>
          <cell r="D219" t="str">
            <v>En cobertura</v>
          </cell>
          <cell r="E219" t="str">
            <v xml:space="preserve"> </v>
          </cell>
          <cell r="F219" t="str">
            <v xml:space="preserve"> </v>
          </cell>
          <cell r="G219">
            <v>0</v>
          </cell>
          <cell r="J219" t="str">
            <v>01-01-2025</v>
          </cell>
        </row>
        <row r="220">
          <cell r="B220" t="str">
            <v>CANCELADO AL MOMENTO</v>
          </cell>
          <cell r="C220" t="str">
            <v>VEHICULAR - REMOLQUE VEHICULAR</v>
          </cell>
          <cell r="D220" t="str">
            <v>En cobertura</v>
          </cell>
          <cell r="E220" t="str">
            <v xml:space="preserve"> </v>
          </cell>
          <cell r="F220" t="str">
            <v xml:space="preserve"> </v>
          </cell>
          <cell r="G220">
            <v>0</v>
          </cell>
          <cell r="J220" t="str">
            <v>01-01-2025</v>
          </cell>
        </row>
        <row r="221">
          <cell r="B221" t="str">
            <v>CANCELADO AL MOMENTO</v>
          </cell>
          <cell r="C221" t="str">
            <v>VEHICULAR - REMOLQUE VEHICULAR</v>
          </cell>
          <cell r="D221" t="str">
            <v>En cobertura</v>
          </cell>
          <cell r="E221" t="str">
            <v xml:space="preserve"> </v>
          </cell>
          <cell r="F221" t="str">
            <v xml:space="preserve"> </v>
          </cell>
          <cell r="G221">
            <v>0</v>
          </cell>
          <cell r="J221" t="str">
            <v>01-01-2025</v>
          </cell>
        </row>
        <row r="222">
          <cell r="B222" t="str">
            <v>CONCLUIDA</v>
          </cell>
          <cell r="C222" t="str">
            <v>VEHICULAR - REMOLQUE VEHICULAR</v>
          </cell>
          <cell r="D222" t="str">
            <v>En cobertura</v>
          </cell>
          <cell r="E222" t="str">
            <v>EXTERNO</v>
          </cell>
          <cell r="F222" t="str">
            <v>LOCAL</v>
          </cell>
          <cell r="G222">
            <v>73180</v>
          </cell>
          <cell r="J222" t="str">
            <v>01-01-2025</v>
          </cell>
        </row>
        <row r="223">
          <cell r="B223" t="str">
            <v>CANCELADO AL MOMENTO</v>
          </cell>
          <cell r="C223" t="str">
            <v>REFERENCIA - REFERENCIA Y CORDINANCION TELEFONICA</v>
          </cell>
          <cell r="D223" t="str">
            <v>En cobertura</v>
          </cell>
          <cell r="E223" t="str">
            <v xml:space="preserve"> </v>
          </cell>
          <cell r="F223" t="str">
            <v xml:space="preserve"> </v>
          </cell>
          <cell r="G223">
            <v>0</v>
          </cell>
          <cell r="J223" t="str">
            <v>01-01-2025</v>
          </cell>
        </row>
        <row r="224">
          <cell r="B224" t="str">
            <v>CANCELADO AL MOMENTO</v>
          </cell>
          <cell r="C224" t="str">
            <v>VEHICULAR - REMOLQUE VEHICULAR</v>
          </cell>
          <cell r="D224" t="str">
            <v>En cobertura</v>
          </cell>
          <cell r="E224" t="str">
            <v xml:space="preserve"> </v>
          </cell>
          <cell r="F224" t="str">
            <v xml:space="preserve"> </v>
          </cell>
          <cell r="G224">
            <v>0</v>
          </cell>
          <cell r="J224" t="str">
            <v>01-01-2025</v>
          </cell>
        </row>
        <row r="225">
          <cell r="B225" t="str">
            <v>CONCLUIDA</v>
          </cell>
          <cell r="C225" t="str">
            <v>VEHICULAR - REMOLQUE VEHICULAR</v>
          </cell>
          <cell r="D225" t="str">
            <v>En cobertura</v>
          </cell>
          <cell r="E225" t="str">
            <v>EXTERNO</v>
          </cell>
          <cell r="F225" t="str">
            <v>LOCAL</v>
          </cell>
          <cell r="G225">
            <v>103089</v>
          </cell>
          <cell r="J225" t="str">
            <v>01-01-2025</v>
          </cell>
        </row>
        <row r="226">
          <cell r="B226" t="str">
            <v>CONCLUIDA</v>
          </cell>
          <cell r="C226" t="str">
            <v>VEHICULAR - REMOLQUE VEHICULAR</v>
          </cell>
          <cell r="D226" t="str">
            <v>En cobertura</v>
          </cell>
          <cell r="E226" t="str">
            <v>EXTERNO</v>
          </cell>
          <cell r="F226" t="str">
            <v>FORANEO</v>
          </cell>
          <cell r="G226">
            <v>84823</v>
          </cell>
          <cell r="J226" t="str">
            <v>01-01-2025</v>
          </cell>
        </row>
        <row r="227">
          <cell r="B227" t="str">
            <v>CONCLUIDA</v>
          </cell>
          <cell r="C227" t="str">
            <v>VEHICULAR - REMOLQUE VEHICULAR</v>
          </cell>
          <cell r="D227" t="str">
            <v>En cobertura</v>
          </cell>
          <cell r="E227" t="str">
            <v>EXTERNO</v>
          </cell>
          <cell r="F227" t="str">
            <v>LOCAL</v>
          </cell>
          <cell r="G227">
            <v>83772</v>
          </cell>
          <cell r="J227" t="str">
            <v>01-01-2025</v>
          </cell>
        </row>
        <row r="228">
          <cell r="B228" t="str">
            <v>CONCLUIDA</v>
          </cell>
          <cell r="C228" t="str">
            <v>VEHICULAR - REMOLQUE VEHICULAR</v>
          </cell>
          <cell r="D228" t="str">
            <v>En cobertura</v>
          </cell>
          <cell r="E228" t="str">
            <v>EXTERNO</v>
          </cell>
          <cell r="F228" t="str">
            <v>FORANEO</v>
          </cell>
          <cell r="G228">
            <v>85155</v>
          </cell>
          <cell r="J228" t="str">
            <v>01-01-2025</v>
          </cell>
        </row>
        <row r="229">
          <cell r="B229" t="str">
            <v>CANCELADO AL MOMENTO</v>
          </cell>
          <cell r="C229" t="str">
            <v>REFERENCIA - REFERENCIA Y CORDINANCION TELEFONICA</v>
          </cell>
          <cell r="D229" t="str">
            <v>En cobertura</v>
          </cell>
          <cell r="E229" t="str">
            <v xml:space="preserve"> </v>
          </cell>
          <cell r="F229" t="str">
            <v xml:space="preserve"> </v>
          </cell>
          <cell r="G229">
            <v>0</v>
          </cell>
          <cell r="J229" t="str">
            <v>01-01-2025</v>
          </cell>
        </row>
        <row r="230">
          <cell r="B230" t="str">
            <v>CANCELADO AL MOMENTO</v>
          </cell>
          <cell r="C230" t="str">
            <v>REFERENCIA - REFERENCIA Y CORDINANCION TELEFONICA</v>
          </cell>
          <cell r="D230" t="str">
            <v>En cobertura</v>
          </cell>
          <cell r="E230" t="str">
            <v xml:space="preserve"> </v>
          </cell>
          <cell r="F230" t="str">
            <v xml:space="preserve"> </v>
          </cell>
          <cell r="G230">
            <v>0</v>
          </cell>
          <cell r="J230" t="str">
            <v>01-01-2025</v>
          </cell>
        </row>
        <row r="231">
          <cell r="B231" t="str">
            <v>CANCELADO POSTERIOR</v>
          </cell>
          <cell r="C231" t="str">
            <v>EXTRACCION</v>
          </cell>
          <cell r="D231" t="str">
            <v>En cobertura</v>
          </cell>
          <cell r="E231" t="str">
            <v>EXTERNO</v>
          </cell>
          <cell r="F231" t="str">
            <v>LOCAL</v>
          </cell>
          <cell r="G231">
            <v>0</v>
          </cell>
          <cell r="J231" t="str">
            <v>01-01-2025</v>
          </cell>
        </row>
        <row r="232">
          <cell r="B232" t="str">
            <v>CONCLUIDA</v>
          </cell>
          <cell r="C232" t="str">
            <v>VEHICULAR - REMOLQUE VEHICULAR</v>
          </cell>
          <cell r="D232" t="str">
            <v>En cobertura</v>
          </cell>
          <cell r="E232" t="str">
            <v>EXTERNO</v>
          </cell>
          <cell r="F232" t="str">
            <v>FORANEO</v>
          </cell>
          <cell r="G232">
            <v>86580</v>
          </cell>
          <cell r="J232" t="str">
            <v>01-01-2025</v>
          </cell>
        </row>
        <row r="233">
          <cell r="B233" t="str">
            <v>CONCLUIDA</v>
          </cell>
          <cell r="C233" t="str">
            <v>VEHICULAR - REMOLQUE VEHICULAR</v>
          </cell>
          <cell r="D233" t="str">
            <v>En cobertura</v>
          </cell>
          <cell r="E233" t="str">
            <v>EXTERNO</v>
          </cell>
          <cell r="F233" t="str">
            <v>LOCAL</v>
          </cell>
          <cell r="G233">
            <v>80241</v>
          </cell>
          <cell r="J233" t="str">
            <v>01-01-2025</v>
          </cell>
        </row>
        <row r="234">
          <cell r="B234" t="str">
            <v>CONCLUIDA</v>
          </cell>
          <cell r="C234" t="str">
            <v>VEHICULAR - REMOLQUE VEHICULAR</v>
          </cell>
          <cell r="D234" t="str">
            <v>En cobertura</v>
          </cell>
          <cell r="E234" t="str">
            <v>EXTERNO</v>
          </cell>
          <cell r="F234" t="str">
            <v>LOCAL</v>
          </cell>
          <cell r="G234">
            <v>38947</v>
          </cell>
          <cell r="J234" t="str">
            <v>01-01-2025</v>
          </cell>
        </row>
        <row r="235">
          <cell r="B235" t="str">
            <v>CANCELADO POSTERIOR</v>
          </cell>
          <cell r="C235" t="str">
            <v>VEHICULAR - REMOLQUE VEHICULAR</v>
          </cell>
          <cell r="D235" t="str">
            <v>En cobertura</v>
          </cell>
          <cell r="E235" t="str">
            <v>EXTERNO</v>
          </cell>
          <cell r="F235" t="str">
            <v xml:space="preserve"> </v>
          </cell>
          <cell r="G235">
            <v>0</v>
          </cell>
          <cell r="J235" t="str">
            <v>01-01-2025</v>
          </cell>
        </row>
        <row r="236">
          <cell r="B236" t="str">
            <v>CONCLUIDA</v>
          </cell>
          <cell r="C236" t="str">
            <v>VEHICULAR - REMOLQUE VEHICULAR</v>
          </cell>
          <cell r="D236" t="str">
            <v>En cobertura</v>
          </cell>
          <cell r="E236" t="str">
            <v>EXTERNO</v>
          </cell>
          <cell r="F236" t="str">
            <v>FORANEO</v>
          </cell>
          <cell r="G236">
            <v>94050</v>
          </cell>
          <cell r="J236" t="str">
            <v>01-01-2025</v>
          </cell>
        </row>
        <row r="237">
          <cell r="B237" t="str">
            <v>CONCLUIDA</v>
          </cell>
          <cell r="C237" t="str">
            <v>VEHICULAR - REMOLQUE VEHICULAR</v>
          </cell>
          <cell r="D237" t="str">
            <v>En cobertura</v>
          </cell>
          <cell r="E237" t="str">
            <v>EXTERNO</v>
          </cell>
          <cell r="F237" t="str">
            <v>LOCAL</v>
          </cell>
          <cell r="G237">
            <v>64495</v>
          </cell>
          <cell r="J237" t="str">
            <v>01-01-2025</v>
          </cell>
        </row>
        <row r="238">
          <cell r="B238" t="str">
            <v>CANCELADO AL MOMENTO</v>
          </cell>
          <cell r="C238" t="str">
            <v>VEHICULAR - REMOLQUE VEHICULAR</v>
          </cell>
          <cell r="D238" t="str">
            <v>En cobertura</v>
          </cell>
          <cell r="E238" t="str">
            <v xml:space="preserve"> </v>
          </cell>
          <cell r="F238" t="str">
            <v xml:space="preserve"> </v>
          </cell>
          <cell r="G238">
            <v>0</v>
          </cell>
          <cell r="J238" t="str">
            <v>01-01-2025</v>
          </cell>
        </row>
        <row r="239">
          <cell r="B239" t="str">
            <v>CONCLUIDA</v>
          </cell>
          <cell r="C239" t="str">
            <v>VEHICULAR - MECANICA LIGERA</v>
          </cell>
          <cell r="D239" t="str">
            <v>En cobertura</v>
          </cell>
          <cell r="E239" t="str">
            <v>EXTERNO</v>
          </cell>
          <cell r="F239" t="str">
            <v>LOCAL</v>
          </cell>
          <cell r="G239">
            <v>29920</v>
          </cell>
          <cell r="J239" t="str">
            <v>01-01-2025</v>
          </cell>
        </row>
        <row r="240">
          <cell r="B240" t="str">
            <v>CONCLUIDA</v>
          </cell>
          <cell r="C240" t="str">
            <v>VEHICULAR - REMOLQUE VEHICULAR</v>
          </cell>
          <cell r="D240" t="str">
            <v>En cobertura</v>
          </cell>
          <cell r="E240" t="str">
            <v>EXTERNO</v>
          </cell>
          <cell r="F240" t="str">
            <v>FORANEO</v>
          </cell>
          <cell r="G240">
            <v>95000</v>
          </cell>
          <cell r="J240" t="str">
            <v>01-01-2025</v>
          </cell>
        </row>
        <row r="241">
          <cell r="B241" t="str">
            <v>CANCELADO AL MOMENTO</v>
          </cell>
          <cell r="C241" t="str">
            <v>VEHICULAR - REMOLQUE VEHICULAR</v>
          </cell>
          <cell r="D241" t="str">
            <v>En cobertura</v>
          </cell>
          <cell r="E241" t="str">
            <v xml:space="preserve"> </v>
          </cell>
          <cell r="F241" t="str">
            <v xml:space="preserve"> </v>
          </cell>
          <cell r="G241">
            <v>0</v>
          </cell>
          <cell r="J241" t="str">
            <v>01-01-2025</v>
          </cell>
        </row>
        <row r="242">
          <cell r="B242" t="str">
            <v>CANCELADO AL MOMENTO</v>
          </cell>
          <cell r="C242" t="str">
            <v>REFERENCIA - REFERENCIA Y CORDINANCION TELEFONICA</v>
          </cell>
          <cell r="D242" t="str">
            <v>En cobertura</v>
          </cell>
          <cell r="E242" t="str">
            <v xml:space="preserve"> </v>
          </cell>
          <cell r="F242" t="str">
            <v xml:space="preserve"> </v>
          </cell>
          <cell r="G242">
            <v>0</v>
          </cell>
          <cell r="J242" t="str">
            <v>01-01-2025</v>
          </cell>
        </row>
        <row r="243">
          <cell r="B243" t="str">
            <v>CANCELADO AL MOMENTO</v>
          </cell>
          <cell r="C243" t="str">
            <v>VEHICULAR - MECANICA LIGERA</v>
          </cell>
          <cell r="D243" t="str">
            <v>En cobertura</v>
          </cell>
          <cell r="E243" t="str">
            <v xml:space="preserve"> </v>
          </cell>
          <cell r="F243" t="str">
            <v xml:space="preserve"> </v>
          </cell>
          <cell r="G243">
            <v>0</v>
          </cell>
          <cell r="J243" t="str">
            <v>01-01-2025</v>
          </cell>
        </row>
        <row r="244">
          <cell r="B244" t="str">
            <v>CONCLUIDA</v>
          </cell>
          <cell r="C244" t="str">
            <v>VEHICULAR - MECANICA LIGERA</v>
          </cell>
          <cell r="D244" t="str">
            <v>En cobertura</v>
          </cell>
          <cell r="E244" t="str">
            <v>EXTERNO</v>
          </cell>
          <cell r="F244" t="str">
            <v>LOCAL</v>
          </cell>
          <cell r="G244">
            <v>57801</v>
          </cell>
          <cell r="J244" t="str">
            <v>01-01-2025</v>
          </cell>
        </row>
        <row r="245">
          <cell r="B245" t="str">
            <v>CONCLUIDA</v>
          </cell>
          <cell r="C245" t="str">
            <v>VEHICULAR - REMOLQUE VEHICULAR</v>
          </cell>
          <cell r="D245" t="str">
            <v>En cobertura</v>
          </cell>
          <cell r="E245" t="str">
            <v>EXTERNO</v>
          </cell>
          <cell r="F245" t="str">
            <v>LOCAL</v>
          </cell>
          <cell r="G245">
            <v>41567</v>
          </cell>
          <cell r="J245" t="str">
            <v>01-01-2025</v>
          </cell>
        </row>
        <row r="246">
          <cell r="B246" t="str">
            <v>CANCELADO AL MOMENTO</v>
          </cell>
          <cell r="C246" t="str">
            <v>REFERENCIA - REFERENCIA Y CORDINANCION TELEFONICA</v>
          </cell>
          <cell r="D246" t="str">
            <v>En cobertura</v>
          </cell>
          <cell r="E246" t="str">
            <v xml:space="preserve"> </v>
          </cell>
          <cell r="F246" t="str">
            <v xml:space="preserve"> </v>
          </cell>
          <cell r="G246">
            <v>0</v>
          </cell>
          <cell r="J246" t="str">
            <v>01-01-2025</v>
          </cell>
        </row>
        <row r="247">
          <cell r="B247" t="str">
            <v>CONCLUIDA</v>
          </cell>
          <cell r="C247" t="str">
            <v>VEHICULAR - MECANICA LIGERA</v>
          </cell>
          <cell r="D247" t="str">
            <v>En cobertura</v>
          </cell>
          <cell r="E247" t="str">
            <v>EXTERNO</v>
          </cell>
          <cell r="F247" t="str">
            <v>LOCAL</v>
          </cell>
          <cell r="G247">
            <v>17126</v>
          </cell>
          <cell r="J247" t="str">
            <v>01-01-2025</v>
          </cell>
        </row>
        <row r="248">
          <cell r="B248" t="str">
            <v>CONCLUIDA</v>
          </cell>
          <cell r="C248" t="str">
            <v>VEHICULAR - REMOLQUE VEHICULAR</v>
          </cell>
          <cell r="D248" t="str">
            <v>En cobertura</v>
          </cell>
          <cell r="E248" t="str">
            <v>EXTERNO</v>
          </cell>
          <cell r="F248" t="str">
            <v>FORANEO</v>
          </cell>
          <cell r="G248">
            <v>101379</v>
          </cell>
          <cell r="J248" t="str">
            <v>01-01-2025</v>
          </cell>
        </row>
        <row r="249">
          <cell r="B249" t="str">
            <v>CONCLUIDA</v>
          </cell>
          <cell r="C249" t="str">
            <v>VEHICULAR - REMOLQUE VEHICULAR</v>
          </cell>
          <cell r="D249" t="str">
            <v>En cobertura</v>
          </cell>
          <cell r="E249" t="str">
            <v>EXTERNO</v>
          </cell>
          <cell r="F249" t="str">
            <v>FORANEO</v>
          </cell>
          <cell r="G249">
            <v>103644</v>
          </cell>
          <cell r="J249" t="str">
            <v>01-01-2025</v>
          </cell>
        </row>
        <row r="250">
          <cell r="B250" t="str">
            <v>CONCLUIDA</v>
          </cell>
          <cell r="C250" t="str">
            <v>VEHICULAR - REMOLQUE VEHICULAR</v>
          </cell>
          <cell r="D250" t="str">
            <v>En cobertura</v>
          </cell>
          <cell r="E250" t="str">
            <v>EXTERNO</v>
          </cell>
          <cell r="F250" t="str">
            <v>LOCAL</v>
          </cell>
          <cell r="G250">
            <v>90752</v>
          </cell>
          <cell r="J250" t="str">
            <v>01-01-2025</v>
          </cell>
        </row>
        <row r="251">
          <cell r="B251" t="str">
            <v>CANCELADO POSTERIOR</v>
          </cell>
          <cell r="C251" t="str">
            <v>VEHICULAR - MECANICA LIGERA</v>
          </cell>
          <cell r="D251" t="str">
            <v>En cobertura</v>
          </cell>
          <cell r="E251" t="str">
            <v>EXTERNO</v>
          </cell>
          <cell r="F251" t="str">
            <v xml:space="preserve"> </v>
          </cell>
          <cell r="G251">
            <v>0</v>
          </cell>
          <cell r="J251" t="str">
            <v>01-01-2025</v>
          </cell>
        </row>
        <row r="252">
          <cell r="B252" t="str">
            <v>CONCLUIDA</v>
          </cell>
          <cell r="C252" t="str">
            <v>VEHICULAR - MECANICA LIGERA</v>
          </cell>
          <cell r="D252" t="str">
            <v>En cobertura</v>
          </cell>
          <cell r="E252" t="str">
            <v>EXTERNO</v>
          </cell>
          <cell r="F252" t="str">
            <v>FORANEO</v>
          </cell>
          <cell r="G252">
            <v>106800</v>
          </cell>
          <cell r="J252" t="str">
            <v>01-01-2025</v>
          </cell>
        </row>
        <row r="253">
          <cell r="B253" t="str">
            <v>CONCLUIDA</v>
          </cell>
          <cell r="C253" t="str">
            <v>VEHICULAR - MECANICA LIGERA</v>
          </cell>
          <cell r="D253" t="str">
            <v>En cobertura</v>
          </cell>
          <cell r="E253" t="str">
            <v>EXTERNO</v>
          </cell>
          <cell r="F253" t="str">
            <v>LOCAL</v>
          </cell>
          <cell r="G253">
            <v>10004</v>
          </cell>
          <cell r="J253" t="str">
            <v>01-01-2025</v>
          </cell>
        </row>
        <row r="254">
          <cell r="B254" t="str">
            <v>CONCLUIDA</v>
          </cell>
          <cell r="C254" t="str">
            <v>VEHICULAR - REMOLQUE VEHICULAR</v>
          </cell>
          <cell r="D254" t="str">
            <v>En cobertura</v>
          </cell>
          <cell r="E254" t="str">
            <v>EXTERNO</v>
          </cell>
          <cell r="F254" t="str">
            <v>LOCAL</v>
          </cell>
          <cell r="G254">
            <v>30600</v>
          </cell>
          <cell r="J254" t="str">
            <v>01-01-2025</v>
          </cell>
        </row>
        <row r="255">
          <cell r="B255" t="str">
            <v>CONCLUIDA</v>
          </cell>
          <cell r="C255" t="str">
            <v>VEHICULAR - REMOLQUE VEHICULAR</v>
          </cell>
          <cell r="D255" t="str">
            <v>En cobertura</v>
          </cell>
          <cell r="E255" t="str">
            <v>EXTERNO</v>
          </cell>
          <cell r="F255" t="str">
            <v>FORANEO</v>
          </cell>
          <cell r="G255">
            <v>109000</v>
          </cell>
          <cell r="J255" t="str">
            <v>01-01-2025</v>
          </cell>
        </row>
        <row r="256">
          <cell r="B256" t="str">
            <v>CONCLUIDA</v>
          </cell>
          <cell r="C256" t="str">
            <v>VEHICULAR - REMOLQUE VEHICULAR</v>
          </cell>
          <cell r="D256" t="str">
            <v>En cobertura</v>
          </cell>
          <cell r="E256" t="str">
            <v>EXTERNO</v>
          </cell>
          <cell r="F256" t="str">
            <v>LOCAL</v>
          </cell>
          <cell r="G256">
            <v>58921</v>
          </cell>
          <cell r="J256" t="str">
            <v>01-01-2025</v>
          </cell>
        </row>
        <row r="257">
          <cell r="B257" t="str">
            <v>CANCELADO AL MOMENTO</v>
          </cell>
          <cell r="C257" t="str">
            <v>VEHICULAR - REMOLQUE VEHICULAR</v>
          </cell>
          <cell r="D257" t="str">
            <v>En cobertura</v>
          </cell>
          <cell r="E257" t="str">
            <v xml:space="preserve"> </v>
          </cell>
          <cell r="F257" t="str">
            <v xml:space="preserve"> </v>
          </cell>
          <cell r="G257">
            <v>0</v>
          </cell>
          <cell r="J257" t="str">
            <v>01-01-2025</v>
          </cell>
        </row>
        <row r="258">
          <cell r="B258" t="str">
            <v>CONCLUIDA</v>
          </cell>
          <cell r="C258" t="str">
            <v>VEHICULAR - REMOLQUE VEHICULAR</v>
          </cell>
          <cell r="D258" t="str">
            <v>En cobertura</v>
          </cell>
          <cell r="E258" t="str">
            <v>EXTERNO</v>
          </cell>
          <cell r="F258" t="str">
            <v>LOCAL</v>
          </cell>
          <cell r="G258">
            <v>43800</v>
          </cell>
          <cell r="J258" t="str">
            <v>01-01-2025</v>
          </cell>
        </row>
        <row r="259">
          <cell r="B259" t="str">
            <v>CONCLUIDA</v>
          </cell>
          <cell r="C259" t="str">
            <v>VEHICULAR - REMOLQUE VEHICULAR</v>
          </cell>
          <cell r="D259" t="str">
            <v>En cobertura</v>
          </cell>
          <cell r="E259" t="str">
            <v>EXTERNO</v>
          </cell>
          <cell r="F259" t="str">
            <v>FORANEO</v>
          </cell>
          <cell r="G259">
            <v>114150</v>
          </cell>
          <cell r="J259" t="str">
            <v>01-01-2025</v>
          </cell>
        </row>
        <row r="260">
          <cell r="B260" t="str">
            <v>CANCELADO AL MOMENTO</v>
          </cell>
          <cell r="C260" t="str">
            <v>VEHICULAR - REMOLQUE VEHICULAR</v>
          </cell>
          <cell r="D260" t="str">
            <v>En cobertura</v>
          </cell>
          <cell r="E260" t="str">
            <v xml:space="preserve"> </v>
          </cell>
          <cell r="F260" t="str">
            <v xml:space="preserve"> </v>
          </cell>
          <cell r="G260">
            <v>0</v>
          </cell>
          <cell r="J260" t="str">
            <v>01-01-2025</v>
          </cell>
        </row>
        <row r="261">
          <cell r="B261" t="str">
            <v>CONCLUIDA</v>
          </cell>
          <cell r="C261" t="str">
            <v>VEHICULAR - MECANICA LIGERA</v>
          </cell>
          <cell r="D261" t="str">
            <v>En cobertura</v>
          </cell>
          <cell r="E261" t="str">
            <v>EXTERNO</v>
          </cell>
          <cell r="F261" t="str">
            <v>LOCAL</v>
          </cell>
          <cell r="G261">
            <v>29920</v>
          </cell>
          <cell r="J261" t="str">
            <v>01-01-2025</v>
          </cell>
        </row>
        <row r="262">
          <cell r="B262" t="str">
            <v>CANCELADO AL MOMENTO</v>
          </cell>
          <cell r="C262" t="str">
            <v>VEHICULAR - REMOLQUE VEHICULAR</v>
          </cell>
          <cell r="D262" t="str">
            <v>En cobertura</v>
          </cell>
          <cell r="E262" t="str">
            <v xml:space="preserve"> </v>
          </cell>
          <cell r="F262" t="str">
            <v xml:space="preserve"> </v>
          </cell>
          <cell r="G262">
            <v>0</v>
          </cell>
          <cell r="J262" t="str">
            <v>01-01-2025</v>
          </cell>
        </row>
        <row r="263">
          <cell r="B263" t="str">
            <v>CANCELADO AL MOMENTO</v>
          </cell>
          <cell r="C263" t="str">
            <v>REFERENCIA - REFERENCIA Y CORDINANCION TELEFONICA</v>
          </cell>
          <cell r="D263" t="str">
            <v>En cobertura</v>
          </cell>
          <cell r="E263" t="str">
            <v xml:space="preserve"> </v>
          </cell>
          <cell r="F263" t="str">
            <v xml:space="preserve"> </v>
          </cell>
          <cell r="G263">
            <v>0</v>
          </cell>
          <cell r="J263" t="str">
            <v>01-01-2025</v>
          </cell>
        </row>
        <row r="264">
          <cell r="B264" t="str">
            <v>CANCELADO AL MOMENTO</v>
          </cell>
          <cell r="C264" t="str">
            <v>REFERENCIA - REFERENCIA Y CORDINANCION TELEFONICA</v>
          </cell>
          <cell r="D264" t="str">
            <v>En cobertura</v>
          </cell>
          <cell r="E264" t="str">
            <v xml:space="preserve"> </v>
          </cell>
          <cell r="F264" t="str">
            <v xml:space="preserve"> </v>
          </cell>
          <cell r="G264">
            <v>0</v>
          </cell>
          <cell r="J264" t="str">
            <v>01-01-2025</v>
          </cell>
        </row>
        <row r="265">
          <cell r="B265" t="str">
            <v>CONCLUIDA</v>
          </cell>
          <cell r="C265" t="str">
            <v>VEHICULAR - REMOLQUE VEHICULAR</v>
          </cell>
          <cell r="D265" t="str">
            <v>En cobertura</v>
          </cell>
          <cell r="E265" t="str">
            <v>EXTERNO</v>
          </cell>
          <cell r="F265" t="str">
            <v>FORANEO</v>
          </cell>
          <cell r="G265">
            <v>134695</v>
          </cell>
          <cell r="J265" t="str">
            <v>01-01-2025</v>
          </cell>
        </row>
        <row r="266">
          <cell r="B266" t="str">
            <v>CONCLUIDA</v>
          </cell>
          <cell r="C266" t="str">
            <v>VEHICULAR - REMOLQUE VEHICULAR</v>
          </cell>
          <cell r="D266" t="str">
            <v>En cobertura</v>
          </cell>
          <cell r="E266" t="str">
            <v>EXTERNO</v>
          </cell>
          <cell r="F266" t="str">
            <v>LOCAL</v>
          </cell>
          <cell r="G266">
            <v>51553</v>
          </cell>
          <cell r="J266" t="str">
            <v>01-01-2025</v>
          </cell>
        </row>
        <row r="267">
          <cell r="B267" t="str">
            <v>CONCLUIDA</v>
          </cell>
          <cell r="C267" t="str">
            <v>VEHICULAR - REMOLQUE VEHICULAR</v>
          </cell>
          <cell r="D267" t="str">
            <v>En cobertura</v>
          </cell>
          <cell r="E267" t="str">
            <v>EXTERNO</v>
          </cell>
          <cell r="F267" t="str">
            <v>FORANEO</v>
          </cell>
          <cell r="G267">
            <v>136640</v>
          </cell>
          <cell r="J267" t="str">
            <v>01-01-2025</v>
          </cell>
        </row>
        <row r="268">
          <cell r="B268" t="str">
            <v>CONCLUIDA</v>
          </cell>
          <cell r="C268" t="str">
            <v>VEHICULAR - MECANICA LIGERA</v>
          </cell>
          <cell r="D268" t="str">
            <v>En cobertura</v>
          </cell>
          <cell r="E268" t="str">
            <v>EXTERNO</v>
          </cell>
          <cell r="F268" t="str">
            <v>LOCAL</v>
          </cell>
          <cell r="G268">
            <v>14000</v>
          </cell>
          <cell r="J268" t="str">
            <v>01-01-2025</v>
          </cell>
        </row>
        <row r="269">
          <cell r="B269" t="str">
            <v>CANCELADO AL MOMENTO</v>
          </cell>
          <cell r="C269" t="str">
            <v>VEHICULAR - MECANICA LIGERA</v>
          </cell>
          <cell r="D269" t="str">
            <v>En cobertura</v>
          </cell>
          <cell r="E269" t="str">
            <v xml:space="preserve"> </v>
          </cell>
          <cell r="F269" t="str">
            <v xml:space="preserve"> </v>
          </cell>
          <cell r="G269">
            <v>0</v>
          </cell>
          <cell r="J269" t="str">
            <v>01-01-2025</v>
          </cell>
        </row>
        <row r="270">
          <cell r="B270" t="str">
            <v>CONCLUIDA</v>
          </cell>
          <cell r="C270" t="str">
            <v>VEHICULAR - REMOLQUE VEHICULAR</v>
          </cell>
          <cell r="D270" t="str">
            <v>En cobertura</v>
          </cell>
          <cell r="E270" t="str">
            <v>EXTERNO</v>
          </cell>
          <cell r="F270" t="str">
            <v>FORANEO</v>
          </cell>
          <cell r="G270">
            <v>143190</v>
          </cell>
          <cell r="J270" t="str">
            <v>01-01-2025</v>
          </cell>
        </row>
        <row r="271">
          <cell r="B271" t="str">
            <v>CONCLUIDA</v>
          </cell>
          <cell r="C271" t="str">
            <v>VEHICULAR - REMOLQUE VEHICULAR</v>
          </cell>
          <cell r="D271" t="str">
            <v>En cobertura</v>
          </cell>
          <cell r="E271" t="str">
            <v>EXTERNO</v>
          </cell>
          <cell r="F271" t="str">
            <v>FORANEO</v>
          </cell>
          <cell r="G271">
            <v>143775</v>
          </cell>
          <cell r="J271" t="str">
            <v>01-01-2025</v>
          </cell>
        </row>
        <row r="272">
          <cell r="B272" t="str">
            <v>CONCLUIDA</v>
          </cell>
          <cell r="C272" t="str">
            <v>VEHICULAR - REMOLQUE VEHICULAR</v>
          </cell>
          <cell r="D272" t="str">
            <v>En cobertura</v>
          </cell>
          <cell r="E272" t="str">
            <v>EXTERNO</v>
          </cell>
          <cell r="F272" t="str">
            <v>FORANEO</v>
          </cell>
          <cell r="G272">
            <v>145728</v>
          </cell>
          <cell r="J272" t="str">
            <v>01-01-2025</v>
          </cell>
        </row>
        <row r="273">
          <cell r="B273" t="str">
            <v>CONCLUIDA</v>
          </cell>
          <cell r="C273" t="str">
            <v>EXTRACCION</v>
          </cell>
          <cell r="D273" t="str">
            <v>En cobertura</v>
          </cell>
          <cell r="E273" t="str">
            <v>EXTERNO</v>
          </cell>
          <cell r="F273" t="str">
            <v>FORANEO</v>
          </cell>
          <cell r="G273">
            <v>146251</v>
          </cell>
          <cell r="J273" t="str">
            <v>01-01-2025</v>
          </cell>
        </row>
        <row r="274">
          <cell r="B274" t="str">
            <v>CANCELADO AL MOMENTO</v>
          </cell>
          <cell r="C274" t="str">
            <v>REFERENCIA - REFERENCIA Y CORDINANCION TELEFONICA</v>
          </cell>
          <cell r="D274" t="str">
            <v>En cobertura</v>
          </cell>
          <cell r="E274" t="str">
            <v xml:space="preserve"> </v>
          </cell>
          <cell r="F274" t="str">
            <v xml:space="preserve"> </v>
          </cell>
          <cell r="G274">
            <v>0</v>
          </cell>
          <cell r="J274" t="str">
            <v>01-01-2025</v>
          </cell>
        </row>
        <row r="275">
          <cell r="B275" t="str">
            <v>CONCLUIDA</v>
          </cell>
          <cell r="C275" t="str">
            <v>VEHICULAR - REMOLQUE VEHICULAR</v>
          </cell>
          <cell r="D275" t="str">
            <v>En cobertura</v>
          </cell>
          <cell r="E275" t="str">
            <v>EXTERNO</v>
          </cell>
          <cell r="F275" t="str">
            <v>LOCAL</v>
          </cell>
          <cell r="G275">
            <v>102681</v>
          </cell>
          <cell r="J275" t="str">
            <v>01-01-2025</v>
          </cell>
        </row>
        <row r="276">
          <cell r="B276" t="str">
            <v>CANCELADO AL MOMENTO</v>
          </cell>
          <cell r="C276" t="str">
            <v>REFERENCIA - REFERENCIA Y CORDINANCION TELEFONICA</v>
          </cell>
          <cell r="D276" t="str">
            <v>En cobertura</v>
          </cell>
          <cell r="E276" t="str">
            <v xml:space="preserve"> </v>
          </cell>
          <cell r="F276" t="str">
            <v xml:space="preserve"> </v>
          </cell>
          <cell r="G276">
            <v>0</v>
          </cell>
          <cell r="J276" t="str">
            <v>01-01-2025</v>
          </cell>
        </row>
        <row r="277">
          <cell r="B277" t="str">
            <v>CONCLUIDA</v>
          </cell>
          <cell r="C277" t="str">
            <v>VEHICULAR - REMOLQUE VEHICULAR</v>
          </cell>
          <cell r="D277" t="str">
            <v>En cobertura</v>
          </cell>
          <cell r="E277" t="str">
            <v>EXTERNO</v>
          </cell>
          <cell r="F277" t="str">
            <v>LOCAL</v>
          </cell>
          <cell r="G277">
            <v>34448</v>
          </cell>
          <cell r="J277" t="str">
            <v>01-01-2025</v>
          </cell>
        </row>
        <row r="278">
          <cell r="B278" t="str">
            <v>CONCLUIDA</v>
          </cell>
          <cell r="C278" t="str">
            <v>VEHICULAR - REMOLQUE VEHICULAR</v>
          </cell>
          <cell r="D278" t="str">
            <v>En cobertura</v>
          </cell>
          <cell r="E278" t="str">
            <v>EXTERNO</v>
          </cell>
          <cell r="F278" t="str">
            <v>LOCAL</v>
          </cell>
          <cell r="G278">
            <v>59636</v>
          </cell>
          <cell r="J278" t="str">
            <v>01-01-2025</v>
          </cell>
        </row>
        <row r="279">
          <cell r="B279" t="str">
            <v>CONCLUIDA</v>
          </cell>
          <cell r="C279" t="str">
            <v>VEHICULAR - REMOLQUE VEHICULAR</v>
          </cell>
          <cell r="D279" t="str">
            <v>En cobertura</v>
          </cell>
          <cell r="E279" t="str">
            <v>EXTERNO</v>
          </cell>
          <cell r="F279" t="str">
            <v>LOCAL</v>
          </cell>
          <cell r="G279">
            <v>79161</v>
          </cell>
          <cell r="J279" t="str">
            <v>01-01-2025</v>
          </cell>
        </row>
        <row r="280">
          <cell r="B280" t="str">
            <v>CONCLUIDA</v>
          </cell>
          <cell r="C280" t="str">
            <v>VEHICULAR - REMOLQUE VEHICULAR</v>
          </cell>
          <cell r="D280" t="str">
            <v>En cobertura</v>
          </cell>
          <cell r="E280" t="str">
            <v>EXTERNO</v>
          </cell>
          <cell r="F280" t="str">
            <v>LOCAL</v>
          </cell>
          <cell r="G280">
            <v>77511</v>
          </cell>
          <cell r="J280" t="str">
            <v>01-01-2025</v>
          </cell>
        </row>
        <row r="281">
          <cell r="B281" t="str">
            <v>CONCLUIDA</v>
          </cell>
          <cell r="C281" t="str">
            <v>VEHICULAR - REMOLQUE VEHICULAR</v>
          </cell>
          <cell r="D281" t="str">
            <v>En cobertura</v>
          </cell>
          <cell r="E281" t="str">
            <v>EXTERNO</v>
          </cell>
          <cell r="F281" t="str">
            <v>FORANEO</v>
          </cell>
          <cell r="G281">
            <v>151719</v>
          </cell>
          <cell r="J281" t="str">
            <v>01-01-2025</v>
          </cell>
        </row>
        <row r="282">
          <cell r="B282" t="str">
            <v>CONCLUIDA</v>
          </cell>
          <cell r="C282" t="str">
            <v>VEHICULAR - REMOLQUE VEHICULAR</v>
          </cell>
          <cell r="D282" t="str">
            <v>En cobertura</v>
          </cell>
          <cell r="E282" t="str">
            <v>EXTERNO</v>
          </cell>
          <cell r="F282" t="str">
            <v>FORANEO</v>
          </cell>
          <cell r="G282">
            <v>152950</v>
          </cell>
          <cell r="J282" t="str">
            <v>01-01-2025</v>
          </cell>
        </row>
        <row r="283">
          <cell r="B283" t="str">
            <v>CONCLUIDA</v>
          </cell>
          <cell r="C283" t="str">
            <v>VEHICULAR - MECANICA LIGERA</v>
          </cell>
          <cell r="D283" t="str">
            <v>En cobertura</v>
          </cell>
          <cell r="E283" t="str">
            <v>EXTERNO</v>
          </cell>
          <cell r="F283" t="str">
            <v>LOCAL</v>
          </cell>
          <cell r="G283">
            <v>19342</v>
          </cell>
          <cell r="J283" t="str">
            <v>01-01-2025</v>
          </cell>
        </row>
        <row r="284">
          <cell r="B284" t="str">
            <v>CANCELADO AL MOMENTO</v>
          </cell>
          <cell r="C284" t="str">
            <v>REFERENCIA - REFERENCIA Y CORDINANCION TELEFONICA</v>
          </cell>
          <cell r="D284" t="str">
            <v>En cobertura</v>
          </cell>
          <cell r="E284" t="str">
            <v xml:space="preserve"> </v>
          </cell>
          <cell r="F284" t="str">
            <v xml:space="preserve"> </v>
          </cell>
          <cell r="G284">
            <v>0</v>
          </cell>
          <cell r="J284" t="str">
            <v>01-01-2025</v>
          </cell>
        </row>
        <row r="285">
          <cell r="B285" t="str">
            <v>CANCELADO POSTERIOR</v>
          </cell>
          <cell r="C285" t="str">
            <v>VEHICULAR - REMOLQUE VEHICULAR</v>
          </cell>
          <cell r="D285" t="str">
            <v>En cobertura</v>
          </cell>
          <cell r="E285" t="str">
            <v>EXTERNO</v>
          </cell>
          <cell r="F285" t="str">
            <v xml:space="preserve"> </v>
          </cell>
          <cell r="G285">
            <v>0</v>
          </cell>
          <cell r="J285" t="str">
            <v>01-01-2025</v>
          </cell>
        </row>
        <row r="286">
          <cell r="B286" t="str">
            <v>CONCLUIDA</v>
          </cell>
          <cell r="C286" t="str">
            <v>EXTRACCION</v>
          </cell>
          <cell r="D286" t="str">
            <v>En cobertura</v>
          </cell>
          <cell r="E286" t="str">
            <v>EXTERNO</v>
          </cell>
          <cell r="F286" t="str">
            <v>FORANEO</v>
          </cell>
          <cell r="G286">
            <v>157726</v>
          </cell>
          <cell r="J286" t="str">
            <v>01-01-2025</v>
          </cell>
        </row>
        <row r="287">
          <cell r="B287" t="str">
            <v>CANCELADO AL MOMENTO</v>
          </cell>
          <cell r="C287" t="str">
            <v>REFERENCIA - REFERENCIA Y CORDINANCION TELEFONICA</v>
          </cell>
          <cell r="D287" t="str">
            <v>En cobertura</v>
          </cell>
          <cell r="E287" t="str">
            <v xml:space="preserve"> </v>
          </cell>
          <cell r="F287" t="str">
            <v xml:space="preserve"> </v>
          </cell>
          <cell r="G287">
            <v>0</v>
          </cell>
          <cell r="J287" t="str">
            <v>01-01-2025</v>
          </cell>
        </row>
        <row r="288">
          <cell r="B288" t="str">
            <v>CONCLUIDA</v>
          </cell>
          <cell r="C288" t="str">
            <v>VEHICULAR - REMOLQUE VEHICULAR</v>
          </cell>
          <cell r="D288" t="str">
            <v>En cobertura</v>
          </cell>
          <cell r="E288" t="str">
            <v>EXTERNO</v>
          </cell>
          <cell r="F288" t="str">
            <v>FORANEO</v>
          </cell>
          <cell r="G288">
            <v>160947</v>
          </cell>
          <cell r="J288" t="str">
            <v>01-01-2025</v>
          </cell>
        </row>
        <row r="289">
          <cell r="B289" t="str">
            <v>CONCLUIDA</v>
          </cell>
          <cell r="C289" t="str">
            <v>VEHICULAR - REMOLQUE VEHICULAR</v>
          </cell>
          <cell r="D289" t="str">
            <v>En cobertura</v>
          </cell>
          <cell r="E289" t="str">
            <v>EXTERNO</v>
          </cell>
          <cell r="F289" t="str">
            <v>LOCAL</v>
          </cell>
          <cell r="G289">
            <v>60000</v>
          </cell>
          <cell r="J289" t="str">
            <v>01-01-2025</v>
          </cell>
        </row>
        <row r="290">
          <cell r="B290" t="str">
            <v>CONCLUIDA</v>
          </cell>
          <cell r="C290" t="str">
            <v>VEHICULAR - REMOLQUE VEHICULAR</v>
          </cell>
          <cell r="D290" t="str">
            <v>En cobertura</v>
          </cell>
          <cell r="E290" t="str">
            <v>EXTERNO</v>
          </cell>
          <cell r="F290" t="str">
            <v>LOCAL</v>
          </cell>
          <cell r="G290">
            <v>40000</v>
          </cell>
          <cell r="J290" t="str">
            <v>01-01-2025</v>
          </cell>
        </row>
        <row r="291">
          <cell r="B291" t="str">
            <v>CONCLUIDA</v>
          </cell>
          <cell r="C291" t="str">
            <v>VEHICULAR - REMOLQUE VEHICULAR</v>
          </cell>
          <cell r="D291" t="str">
            <v>En cobertura</v>
          </cell>
          <cell r="E291" t="str">
            <v>EXTERNO</v>
          </cell>
          <cell r="F291" t="str">
            <v>FORANEO</v>
          </cell>
          <cell r="G291">
            <v>160956</v>
          </cell>
          <cell r="J291" t="str">
            <v>01-01-2025</v>
          </cell>
        </row>
        <row r="292">
          <cell r="B292" t="str">
            <v>CANCELADO POSTERIOR</v>
          </cell>
          <cell r="C292" t="str">
            <v>VEHICULAR - REMOLQUE VEHICULAR</v>
          </cell>
          <cell r="D292" t="str">
            <v>En cobertura</v>
          </cell>
          <cell r="E292" t="str">
            <v>EXTERNO</v>
          </cell>
          <cell r="F292" t="str">
            <v xml:space="preserve"> </v>
          </cell>
          <cell r="G292">
            <v>0</v>
          </cell>
          <cell r="J292" t="str">
            <v>01-01-2025</v>
          </cell>
        </row>
        <row r="293">
          <cell r="B293" t="str">
            <v>CANCELADO AL MOMENTO</v>
          </cell>
          <cell r="C293" t="str">
            <v>VEHICULAR - MECANICA LIGERA</v>
          </cell>
          <cell r="D293" t="str">
            <v>En cobertura</v>
          </cell>
          <cell r="E293" t="str">
            <v xml:space="preserve"> </v>
          </cell>
          <cell r="F293" t="str">
            <v xml:space="preserve"> </v>
          </cell>
          <cell r="G293">
            <v>0</v>
          </cell>
          <cell r="J293" t="str">
            <v>01-01-2025</v>
          </cell>
        </row>
        <row r="294">
          <cell r="B294" t="str">
            <v>CANCELADO AL MOMENTO</v>
          </cell>
          <cell r="C294" t="str">
            <v>VEHICULAR - REMOLQUE VEHICULAR</v>
          </cell>
          <cell r="D294" t="str">
            <v>En cobertura</v>
          </cell>
          <cell r="E294" t="str">
            <v xml:space="preserve"> </v>
          </cell>
          <cell r="F294" t="str">
            <v xml:space="preserve"> </v>
          </cell>
          <cell r="G294">
            <v>0</v>
          </cell>
          <cell r="J294" t="str">
            <v>01-01-2025</v>
          </cell>
        </row>
        <row r="295">
          <cell r="B295" t="str">
            <v>CONCLUIDA</v>
          </cell>
          <cell r="C295" t="str">
            <v>VEHICULAR - REMOLQUE VEHICULAR</v>
          </cell>
          <cell r="D295" t="str">
            <v>En cobertura</v>
          </cell>
          <cell r="E295" t="str">
            <v>EXTERNO</v>
          </cell>
          <cell r="F295" t="str">
            <v>FORANEO</v>
          </cell>
          <cell r="G295">
            <v>168200</v>
          </cell>
          <cell r="J295" t="str">
            <v>01-01-2025</v>
          </cell>
        </row>
        <row r="296">
          <cell r="B296" t="str">
            <v>CONCLUIDA</v>
          </cell>
          <cell r="C296" t="str">
            <v>VEHICULAR - REMOLQUE VEHICULAR</v>
          </cell>
          <cell r="D296" t="str">
            <v>En cobertura</v>
          </cell>
          <cell r="E296" t="str">
            <v>EXTERNO</v>
          </cell>
          <cell r="F296" t="str">
            <v>LOCAL</v>
          </cell>
          <cell r="G296">
            <v>39712</v>
          </cell>
          <cell r="J296" t="str">
            <v>01-01-2025</v>
          </cell>
        </row>
        <row r="297">
          <cell r="B297" t="str">
            <v>CONCLUIDA</v>
          </cell>
          <cell r="C297" t="str">
            <v>VEHICULAR - REMOLQUE VEHICULAR</v>
          </cell>
          <cell r="D297" t="str">
            <v>En cobertura</v>
          </cell>
          <cell r="E297" t="str">
            <v>EXTERNO</v>
          </cell>
          <cell r="F297" t="str">
            <v>LOCAL</v>
          </cell>
          <cell r="G297">
            <v>59636</v>
          </cell>
          <cell r="J297" t="str">
            <v>01-01-2025</v>
          </cell>
        </row>
        <row r="298">
          <cell r="B298" t="str">
            <v>CONCLUIDA</v>
          </cell>
          <cell r="C298" t="str">
            <v>VEHICULAR - REMOLQUE VEHICULAR</v>
          </cell>
          <cell r="D298" t="str">
            <v>En cobertura</v>
          </cell>
          <cell r="E298" t="str">
            <v>EXTERNO</v>
          </cell>
          <cell r="F298" t="str">
            <v>LOCAL</v>
          </cell>
          <cell r="G298">
            <v>32368</v>
          </cell>
          <cell r="J298" t="str">
            <v>01-01-2025</v>
          </cell>
        </row>
        <row r="299">
          <cell r="B299" t="str">
            <v>CONCLUIDA</v>
          </cell>
          <cell r="C299" t="str">
            <v>VEHICULAR - REMOLQUE VEHICULAR</v>
          </cell>
          <cell r="D299" t="str">
            <v>En cobertura</v>
          </cell>
          <cell r="E299" t="str">
            <v>EXTERNO</v>
          </cell>
          <cell r="F299" t="str">
            <v>LOCAL</v>
          </cell>
          <cell r="G299">
            <v>39457</v>
          </cell>
          <cell r="J299" t="str">
            <v>01-01-2025</v>
          </cell>
        </row>
        <row r="300">
          <cell r="B300" t="str">
            <v>CANCELADO AL MOMENTO</v>
          </cell>
          <cell r="C300" t="str">
            <v>VEHICULAR - REMOLQUE VEHICULAR</v>
          </cell>
          <cell r="D300" t="str">
            <v>En cobertura</v>
          </cell>
          <cell r="E300" t="str">
            <v xml:space="preserve"> </v>
          </cell>
          <cell r="F300" t="str">
            <v xml:space="preserve"> </v>
          </cell>
          <cell r="G300">
            <v>0</v>
          </cell>
          <cell r="J300" t="str">
            <v>01-01-2025</v>
          </cell>
        </row>
        <row r="301">
          <cell r="B301" t="str">
            <v>CONCLUIDA</v>
          </cell>
          <cell r="C301" t="str">
            <v>VEHICULAR - REMOLQUE VEHICULAR</v>
          </cell>
          <cell r="D301" t="str">
            <v>En cobertura</v>
          </cell>
          <cell r="E301" t="str">
            <v>EXTERNO</v>
          </cell>
          <cell r="F301" t="str">
            <v>FORANEO</v>
          </cell>
          <cell r="G301">
            <v>178084</v>
          </cell>
          <cell r="J301" t="str">
            <v>01-01-2025</v>
          </cell>
        </row>
        <row r="302">
          <cell r="B302" t="str">
            <v>CONCLUIDA</v>
          </cell>
          <cell r="C302" t="str">
            <v>VEHICULAR - REMOLQUE VEHICULAR</v>
          </cell>
          <cell r="D302" t="str">
            <v>En cobertura</v>
          </cell>
          <cell r="E302" t="str">
            <v>EXTERNO</v>
          </cell>
          <cell r="F302" t="str">
            <v>FORANEO</v>
          </cell>
          <cell r="G302">
            <v>183048</v>
          </cell>
          <cell r="J302" t="str">
            <v>01-01-2025</v>
          </cell>
        </row>
        <row r="303">
          <cell r="B303" t="str">
            <v>CONCLUIDA</v>
          </cell>
          <cell r="C303" t="str">
            <v>VEHICULAR - REMOLQUE VEHICULAR</v>
          </cell>
          <cell r="D303" t="str">
            <v>En cobertura</v>
          </cell>
          <cell r="E303" t="str">
            <v>EXTERNO</v>
          </cell>
          <cell r="F303" t="str">
            <v>FORANEO</v>
          </cell>
          <cell r="G303">
            <v>183773</v>
          </cell>
          <cell r="J303" t="str">
            <v>01-01-2025</v>
          </cell>
        </row>
        <row r="304">
          <cell r="B304" t="str">
            <v>CONCLUIDA</v>
          </cell>
          <cell r="C304" t="str">
            <v>VEHICULAR - REMOLQUE VEHICULAR</v>
          </cell>
          <cell r="D304" t="str">
            <v>En cobertura</v>
          </cell>
          <cell r="E304" t="str">
            <v>EXTERNO</v>
          </cell>
          <cell r="F304" t="str">
            <v>LOCAL</v>
          </cell>
          <cell r="G304">
            <v>81801</v>
          </cell>
          <cell r="J304" t="str">
            <v>01-01-2025</v>
          </cell>
        </row>
        <row r="305">
          <cell r="B305" t="str">
            <v>CONCLUIDA</v>
          </cell>
          <cell r="C305" t="str">
            <v>VEHICULAR - REMOLQUE VEHICULAR</v>
          </cell>
          <cell r="D305" t="str">
            <v>En cobertura</v>
          </cell>
          <cell r="E305" t="str">
            <v>EXTERNO</v>
          </cell>
          <cell r="F305" t="str">
            <v>LOCAL</v>
          </cell>
          <cell r="G305">
            <v>117400</v>
          </cell>
          <cell r="J305" t="str">
            <v>01-01-2025</v>
          </cell>
        </row>
        <row r="306">
          <cell r="B306" t="str">
            <v>CANCELADO AL MOMENTO</v>
          </cell>
          <cell r="C306" t="str">
            <v>VEHICULAR - REMOLQUE VEHICULAR</v>
          </cell>
          <cell r="D306" t="str">
            <v>En cobertura</v>
          </cell>
          <cell r="E306" t="str">
            <v xml:space="preserve"> </v>
          </cell>
          <cell r="F306" t="str">
            <v xml:space="preserve"> </v>
          </cell>
          <cell r="G306">
            <v>0</v>
          </cell>
          <cell r="J306" t="str">
            <v>01-01-2025</v>
          </cell>
        </row>
        <row r="307">
          <cell r="B307" t="str">
            <v>CONCLUIDA</v>
          </cell>
          <cell r="C307" t="str">
            <v>VEHICULAR - REMOLQUE VEHICULAR</v>
          </cell>
          <cell r="D307" t="str">
            <v>En cobertura</v>
          </cell>
          <cell r="E307" t="str">
            <v>EXTERNO</v>
          </cell>
          <cell r="F307" t="str">
            <v>FORANEO</v>
          </cell>
          <cell r="G307">
            <v>186826</v>
          </cell>
          <cell r="J307" t="str">
            <v>01-01-2025</v>
          </cell>
        </row>
        <row r="308">
          <cell r="B308" t="str">
            <v>CONCLUIDA</v>
          </cell>
          <cell r="C308" t="str">
            <v>VEHICULAR - REMOLQUE VEHICULAR</v>
          </cell>
          <cell r="D308" t="str">
            <v>En cobertura</v>
          </cell>
          <cell r="E308" t="str">
            <v>EXTERNO</v>
          </cell>
          <cell r="F308" t="str">
            <v>LOCAL</v>
          </cell>
          <cell r="G308">
            <v>57491</v>
          </cell>
          <cell r="J308" t="str">
            <v>01-01-2025</v>
          </cell>
        </row>
        <row r="309">
          <cell r="B309" t="str">
            <v>CONCLUIDA</v>
          </cell>
          <cell r="C309" t="str">
            <v>VEHICULAR - REMOLQUE VEHICULAR</v>
          </cell>
          <cell r="D309" t="str">
            <v>En cobertura</v>
          </cell>
          <cell r="E309" t="str">
            <v>EXTERNO</v>
          </cell>
          <cell r="F309" t="str">
            <v>LOCAL</v>
          </cell>
          <cell r="G309">
            <v>52656</v>
          </cell>
          <cell r="J309" t="str">
            <v>01-01-2025</v>
          </cell>
        </row>
        <row r="310">
          <cell r="B310" t="str">
            <v>CONCLUIDA</v>
          </cell>
          <cell r="C310" t="str">
            <v>VEHICULAR - MECANICA LIGERA</v>
          </cell>
          <cell r="D310" t="str">
            <v>En cobertura</v>
          </cell>
          <cell r="E310" t="str">
            <v>EXTERNO</v>
          </cell>
          <cell r="F310" t="str">
            <v>LOCAL</v>
          </cell>
          <cell r="G310">
            <v>43250</v>
          </cell>
          <cell r="J310" t="str">
            <v>01-01-2025</v>
          </cell>
        </row>
        <row r="311">
          <cell r="B311" t="str">
            <v>CONCLUIDA</v>
          </cell>
          <cell r="C311" t="str">
            <v>VEHICULAR - REMOLQUE VEHICULAR</v>
          </cell>
          <cell r="D311" t="str">
            <v>En cobertura</v>
          </cell>
          <cell r="E311" t="str">
            <v>EXTERNO</v>
          </cell>
          <cell r="F311" t="str">
            <v>LOCAL</v>
          </cell>
          <cell r="G311">
            <v>24000</v>
          </cell>
          <cell r="J311" t="str">
            <v>01-01-2025</v>
          </cell>
        </row>
        <row r="312">
          <cell r="B312" t="str">
            <v>CONCLUIDA</v>
          </cell>
          <cell r="C312" t="str">
            <v>VEHICULAR - REMOLQUE VEHICULAR</v>
          </cell>
          <cell r="D312" t="str">
            <v>En cobertura</v>
          </cell>
          <cell r="E312" t="str">
            <v>EXTERNO</v>
          </cell>
          <cell r="F312" t="str">
            <v>LOCAL</v>
          </cell>
          <cell r="G312">
            <v>72352</v>
          </cell>
          <cell r="J312" t="str">
            <v>01-01-2025</v>
          </cell>
        </row>
        <row r="313">
          <cell r="B313" t="str">
            <v>CONCLUIDA</v>
          </cell>
          <cell r="C313" t="str">
            <v>VEHICULAR - REMOLQUE VEHICULAR</v>
          </cell>
          <cell r="D313" t="str">
            <v>En cobertura</v>
          </cell>
          <cell r="E313" t="str">
            <v>EXTERNO</v>
          </cell>
          <cell r="F313" t="str">
            <v>FORANEO</v>
          </cell>
          <cell r="G313">
            <v>197580</v>
          </cell>
          <cell r="J313" t="str">
            <v>01-01-2025</v>
          </cell>
        </row>
        <row r="314">
          <cell r="B314" t="str">
            <v>CONCLUIDA</v>
          </cell>
          <cell r="C314" t="str">
            <v>VEHICULAR - MECANICA LIGERA</v>
          </cell>
          <cell r="D314" t="str">
            <v>En cobertura</v>
          </cell>
          <cell r="E314" t="str">
            <v>EXTERNO</v>
          </cell>
          <cell r="F314" t="str">
            <v>LOCAL</v>
          </cell>
          <cell r="G314">
            <v>19342</v>
          </cell>
          <cell r="J314" t="str">
            <v>01-01-2025</v>
          </cell>
        </row>
        <row r="315">
          <cell r="B315" t="str">
            <v>CONCLUIDA</v>
          </cell>
          <cell r="C315" t="str">
            <v>VEHICULAR - MECANICA LIGERA</v>
          </cell>
          <cell r="D315" t="str">
            <v>En cobertura</v>
          </cell>
          <cell r="E315" t="str">
            <v>EXTERNO</v>
          </cell>
          <cell r="F315" t="str">
            <v>LOCAL</v>
          </cell>
          <cell r="G315">
            <v>18009</v>
          </cell>
          <cell r="J315" t="str">
            <v>01-01-2025</v>
          </cell>
        </row>
        <row r="316">
          <cell r="B316" t="str">
            <v>CONCLUIDA</v>
          </cell>
          <cell r="C316" t="str">
            <v>VEHICULAR - REMOLQUE VEHICULAR</v>
          </cell>
          <cell r="D316" t="str">
            <v>En cobertura</v>
          </cell>
          <cell r="E316" t="str">
            <v>EXTERNO</v>
          </cell>
          <cell r="F316" t="str">
            <v>FORANEO</v>
          </cell>
          <cell r="G316">
            <v>206540</v>
          </cell>
          <cell r="J316" t="str">
            <v>01-01-2025</v>
          </cell>
        </row>
        <row r="317">
          <cell r="B317" t="str">
            <v>CONCLUIDA</v>
          </cell>
          <cell r="C317" t="str">
            <v>VEHICULAR - REMOLQUE VEHICULAR</v>
          </cell>
          <cell r="D317" t="str">
            <v>En cobertura</v>
          </cell>
          <cell r="E317" t="str">
            <v>EXTERNO</v>
          </cell>
          <cell r="F317" t="str">
            <v>FORANEO</v>
          </cell>
          <cell r="G317">
            <v>206545</v>
          </cell>
          <cell r="J317" t="str">
            <v>01-01-2025</v>
          </cell>
        </row>
        <row r="318">
          <cell r="B318" t="str">
            <v>CANCELADO AL MOMENTO</v>
          </cell>
          <cell r="C318" t="str">
            <v>VEHICULAR - REMOLQUE VEHICULAR</v>
          </cell>
          <cell r="D318" t="str">
            <v>En cobertura</v>
          </cell>
          <cell r="E318" t="str">
            <v xml:space="preserve"> </v>
          </cell>
          <cell r="F318" t="str">
            <v xml:space="preserve"> </v>
          </cell>
          <cell r="G318">
            <v>0</v>
          </cell>
          <cell r="J318" t="str">
            <v>01-01-2025</v>
          </cell>
        </row>
        <row r="319">
          <cell r="B319" t="str">
            <v>CONCLUIDA</v>
          </cell>
          <cell r="C319" t="str">
            <v>VEHICULAR - REMOLQUE VEHICULAR</v>
          </cell>
          <cell r="D319" t="str">
            <v>En cobertura</v>
          </cell>
          <cell r="E319" t="str">
            <v>EXTERNO</v>
          </cell>
          <cell r="F319" t="str">
            <v>FORANEO</v>
          </cell>
          <cell r="G319">
            <v>207249</v>
          </cell>
          <cell r="J319" t="str">
            <v>01-01-2025</v>
          </cell>
        </row>
        <row r="320">
          <cell r="B320" t="str">
            <v>CONCLUIDA</v>
          </cell>
          <cell r="C320" t="str">
            <v>VEHICULAR - REMOLQUE VEHICULAR</v>
          </cell>
          <cell r="D320" t="str">
            <v>En cobertura</v>
          </cell>
          <cell r="E320" t="str">
            <v>EXTERNO</v>
          </cell>
          <cell r="F320" t="str">
            <v>FORANEO</v>
          </cell>
          <cell r="G320">
            <v>219550</v>
          </cell>
          <cell r="J320" t="str">
            <v>01-01-2025</v>
          </cell>
        </row>
        <row r="321">
          <cell r="B321" t="str">
            <v>CONCLUIDA</v>
          </cell>
          <cell r="C321" t="str">
            <v>VEHICULAR - REMOLQUE VEHICULAR</v>
          </cell>
          <cell r="D321" t="str">
            <v>En cobertura</v>
          </cell>
          <cell r="E321" t="str">
            <v>EXTERNO</v>
          </cell>
          <cell r="F321" t="str">
            <v>FORANEO</v>
          </cell>
          <cell r="G321">
            <v>226553</v>
          </cell>
          <cell r="J321" t="str">
            <v>01-01-2025</v>
          </cell>
        </row>
        <row r="322">
          <cell r="B322" t="str">
            <v>CONCLUIDA</v>
          </cell>
          <cell r="C322" t="str">
            <v>VEHICULAR - REMOLQUE VEHICULAR</v>
          </cell>
          <cell r="D322" t="str">
            <v>En cobertura</v>
          </cell>
          <cell r="E322" t="str">
            <v>EXTERNO</v>
          </cell>
          <cell r="F322" t="str">
            <v>LOCAL</v>
          </cell>
          <cell r="G322">
            <v>83301</v>
          </cell>
          <cell r="J322" t="str">
            <v>01-01-2025</v>
          </cell>
        </row>
        <row r="323">
          <cell r="B323" t="str">
            <v>CONCLUIDA</v>
          </cell>
          <cell r="C323" t="str">
            <v>VEHICULAR - REMOLQUE VEHICULAR</v>
          </cell>
          <cell r="D323" t="str">
            <v>En cobertura</v>
          </cell>
          <cell r="E323" t="str">
            <v>EXTERNO</v>
          </cell>
          <cell r="F323" t="str">
            <v>LOCAL</v>
          </cell>
          <cell r="G323">
            <v>46261</v>
          </cell>
          <cell r="J323" t="str">
            <v>01-01-2025</v>
          </cell>
        </row>
        <row r="324">
          <cell r="B324" t="str">
            <v>CANCELADO AL MOMENTO</v>
          </cell>
          <cell r="C324" t="str">
            <v>REFERENCIA - REFERENCIA Y CORDINANCION TELEFONICA</v>
          </cell>
          <cell r="D324" t="str">
            <v>En cobertura</v>
          </cell>
          <cell r="E324" t="str">
            <v xml:space="preserve"> </v>
          </cell>
          <cell r="F324" t="str">
            <v xml:space="preserve"> </v>
          </cell>
          <cell r="G324">
            <v>0</v>
          </cell>
          <cell r="J324" t="str">
            <v>01-01-2025</v>
          </cell>
        </row>
        <row r="325">
          <cell r="B325" t="str">
            <v>CONCLUIDA</v>
          </cell>
          <cell r="C325" t="str">
            <v>VEHICULAR - REMOLQUE VEHICULAR</v>
          </cell>
          <cell r="D325" t="str">
            <v>En cobertura</v>
          </cell>
          <cell r="E325" t="str">
            <v>EXTERNO</v>
          </cell>
          <cell r="F325" t="str">
            <v>LOCAL</v>
          </cell>
          <cell r="G325">
            <v>58526</v>
          </cell>
          <cell r="J325" t="str">
            <v>01-01-2025</v>
          </cell>
        </row>
        <row r="326">
          <cell r="B326" t="str">
            <v>CANCELADO AL MOMENTO</v>
          </cell>
          <cell r="C326" t="str">
            <v>VEHICULAR - REMOLQUE VEHICULAR</v>
          </cell>
          <cell r="D326" t="str">
            <v>En cobertura</v>
          </cell>
          <cell r="E326" t="str">
            <v xml:space="preserve"> </v>
          </cell>
          <cell r="F326" t="str">
            <v xml:space="preserve"> </v>
          </cell>
          <cell r="G326">
            <v>0</v>
          </cell>
          <cell r="J326" t="str">
            <v>01-01-2025</v>
          </cell>
        </row>
        <row r="327">
          <cell r="B327" t="str">
            <v>CONCLUIDA</v>
          </cell>
          <cell r="C327" t="str">
            <v>VEHICULAR - REMOLQUE VEHICULAR</v>
          </cell>
          <cell r="D327" t="str">
            <v>En cobertura</v>
          </cell>
          <cell r="E327" t="str">
            <v>EXTERNO</v>
          </cell>
          <cell r="F327" t="str">
            <v>LOCAL</v>
          </cell>
          <cell r="G327">
            <v>50797</v>
          </cell>
          <cell r="J327" t="str">
            <v>01-01-2025</v>
          </cell>
        </row>
        <row r="328">
          <cell r="B328" t="str">
            <v>CANCELADO AL MOMENTO</v>
          </cell>
          <cell r="C328" t="str">
            <v>REFERENCIA - REFERENCIA Y CORDINANCION TELEFONICA</v>
          </cell>
          <cell r="D328" t="str">
            <v>En cobertura</v>
          </cell>
          <cell r="E328" t="str">
            <v xml:space="preserve"> </v>
          </cell>
          <cell r="F328" t="str">
            <v xml:space="preserve"> </v>
          </cell>
          <cell r="G328">
            <v>0</v>
          </cell>
          <cell r="J328" t="str">
            <v>01-01-2025</v>
          </cell>
        </row>
        <row r="329">
          <cell r="B329" t="str">
            <v>CANCELADO AL MOMENTO</v>
          </cell>
          <cell r="C329" t="str">
            <v>REFERENCIA - REFERENCIA Y CORDINANCION TELEFONICA</v>
          </cell>
          <cell r="D329" t="str">
            <v>En cobertura</v>
          </cell>
          <cell r="E329" t="str">
            <v xml:space="preserve"> </v>
          </cell>
          <cell r="F329" t="str">
            <v xml:space="preserve"> </v>
          </cell>
          <cell r="G329">
            <v>0</v>
          </cell>
          <cell r="J329" t="str">
            <v>01-01-2025</v>
          </cell>
        </row>
        <row r="330">
          <cell r="B330" t="str">
            <v>CONCLUIDA</v>
          </cell>
          <cell r="C330" t="str">
            <v>VEHICULAR - MECANICA LIGERA</v>
          </cell>
          <cell r="D330" t="str">
            <v>En cobertura</v>
          </cell>
          <cell r="E330" t="str">
            <v>EXTERNO</v>
          </cell>
          <cell r="F330" t="str">
            <v>LOCAL</v>
          </cell>
          <cell r="G330">
            <v>13500</v>
          </cell>
          <cell r="J330" t="str">
            <v>01-01-2025</v>
          </cell>
        </row>
        <row r="331">
          <cell r="B331" t="str">
            <v>CONCLUIDA</v>
          </cell>
          <cell r="C331" t="str">
            <v>VEHICULAR - REMOLQUE VEHICULAR</v>
          </cell>
          <cell r="D331" t="str">
            <v>En cobertura</v>
          </cell>
          <cell r="E331" t="str">
            <v>EXTERNO</v>
          </cell>
          <cell r="F331" t="str">
            <v>FORANEO</v>
          </cell>
          <cell r="G331">
            <v>264690</v>
          </cell>
          <cell r="J331" t="str">
            <v>01-01-2025</v>
          </cell>
        </row>
        <row r="332">
          <cell r="B332" t="str">
            <v>CONCLUIDA</v>
          </cell>
          <cell r="C332" t="str">
            <v>VEHICULAR - REMOLQUE VEHICULAR</v>
          </cell>
          <cell r="D332" t="str">
            <v>En cobertura</v>
          </cell>
          <cell r="E332" t="str">
            <v>EXTERNO</v>
          </cell>
          <cell r="F332" t="str">
            <v>FORANEO</v>
          </cell>
          <cell r="G332">
            <v>268004</v>
          </cell>
          <cell r="J332" t="str">
            <v>01-01-2025</v>
          </cell>
        </row>
        <row r="333">
          <cell r="B333" t="str">
            <v>CANCELADO AL MOMENTO</v>
          </cell>
          <cell r="C333" t="str">
            <v>VEHICULAR - MECANICA LIGERA</v>
          </cell>
          <cell r="D333" t="str">
            <v>En cobertura</v>
          </cell>
          <cell r="E333" t="str">
            <v xml:space="preserve"> </v>
          </cell>
          <cell r="F333" t="str">
            <v xml:space="preserve"> </v>
          </cell>
          <cell r="G333">
            <v>0</v>
          </cell>
          <cell r="J333" t="str">
            <v>01-01-2025</v>
          </cell>
        </row>
        <row r="334">
          <cell r="B334" t="str">
            <v>CONCLUIDA</v>
          </cell>
          <cell r="C334" t="str">
            <v>VEHICULAR - REMOLQUE VEHICULAR</v>
          </cell>
          <cell r="D334" t="str">
            <v>En cobertura</v>
          </cell>
          <cell r="E334" t="str">
            <v>EXTERNO</v>
          </cell>
          <cell r="F334" t="str">
            <v>LOCAL</v>
          </cell>
          <cell r="G334">
            <v>43792</v>
          </cell>
          <cell r="J334" t="str">
            <v>01-01-2025</v>
          </cell>
        </row>
        <row r="335">
          <cell r="B335" t="str">
            <v>CANCELADO AL MOMENTO</v>
          </cell>
          <cell r="C335" t="str">
            <v>VEHICULAR - MECANICA LIGERA</v>
          </cell>
          <cell r="D335" t="str">
            <v>En cobertura</v>
          </cell>
          <cell r="E335" t="str">
            <v xml:space="preserve"> </v>
          </cell>
          <cell r="F335" t="str">
            <v xml:space="preserve"> </v>
          </cell>
          <cell r="G335">
            <v>0</v>
          </cell>
          <cell r="J335" t="str">
            <v>01-01-2025</v>
          </cell>
        </row>
        <row r="336">
          <cell r="B336" t="str">
            <v>CONCLUIDA</v>
          </cell>
          <cell r="C336" t="str">
            <v>VEHICULAR - REMOLQUE VEHICULAR</v>
          </cell>
          <cell r="D336" t="str">
            <v>En cobertura</v>
          </cell>
          <cell r="E336" t="str">
            <v>EXTERNO</v>
          </cell>
          <cell r="F336" t="str">
            <v>FORANEO</v>
          </cell>
          <cell r="G336">
            <v>280588</v>
          </cell>
          <cell r="J336" t="str">
            <v>01-01-2025</v>
          </cell>
        </row>
        <row r="337">
          <cell r="B337" t="str">
            <v>CONCLUIDA</v>
          </cell>
          <cell r="C337" t="str">
            <v>VEHICULAR - REMOLQUE VEHICULAR</v>
          </cell>
          <cell r="D337" t="str">
            <v>En cobertura</v>
          </cell>
          <cell r="E337" t="str">
            <v>EXTERNO</v>
          </cell>
          <cell r="F337" t="str">
            <v>FORANEO</v>
          </cell>
          <cell r="G337">
            <v>285450</v>
          </cell>
          <cell r="J337" t="str">
            <v>01-01-2025</v>
          </cell>
        </row>
        <row r="338">
          <cell r="B338" t="str">
            <v>CONCLUIDA</v>
          </cell>
          <cell r="C338" t="str">
            <v>VEHICULAR - REMOLQUE VEHICULAR</v>
          </cell>
          <cell r="D338" t="str">
            <v>En cobertura</v>
          </cell>
          <cell r="E338" t="str">
            <v>EXTERNO</v>
          </cell>
          <cell r="F338" t="str">
            <v>LOCAL</v>
          </cell>
          <cell r="G338">
            <v>35034</v>
          </cell>
          <cell r="J338" t="str">
            <v>01-01-2025</v>
          </cell>
        </row>
        <row r="339">
          <cell r="B339" t="str">
            <v>CONCLUIDA</v>
          </cell>
          <cell r="C339" t="str">
            <v>VEHICULAR - REMOLQUE VEHICULAR</v>
          </cell>
          <cell r="D339" t="str">
            <v>En cobertura</v>
          </cell>
          <cell r="E339" t="str">
            <v>EXTERNO</v>
          </cell>
          <cell r="F339" t="str">
            <v>FORANEO</v>
          </cell>
          <cell r="G339">
            <v>289680</v>
          </cell>
          <cell r="J339" t="str">
            <v>01-01-2025</v>
          </cell>
        </row>
        <row r="340">
          <cell r="B340" t="str">
            <v>CONCLUIDA</v>
          </cell>
          <cell r="C340" t="str">
            <v>VEHICULAR - REMOLQUE VEHICULAR</v>
          </cell>
          <cell r="D340" t="str">
            <v>En cobertura</v>
          </cell>
          <cell r="E340" t="str">
            <v>EXTERNO</v>
          </cell>
          <cell r="F340" t="str">
            <v>LOCAL</v>
          </cell>
          <cell r="G340">
            <v>118404</v>
          </cell>
          <cell r="J340" t="str">
            <v>01-01-2025</v>
          </cell>
        </row>
        <row r="341">
          <cell r="B341" t="str">
            <v>CANCELADO AL MOMENTO</v>
          </cell>
          <cell r="C341" t="str">
            <v>VEHICULAR - MECANICA LIGERA</v>
          </cell>
          <cell r="D341" t="str">
            <v>En cobertura</v>
          </cell>
          <cell r="E341" t="str">
            <v xml:space="preserve"> </v>
          </cell>
          <cell r="F341" t="str">
            <v xml:space="preserve"> </v>
          </cell>
          <cell r="G341">
            <v>0</v>
          </cell>
          <cell r="J341" t="str">
            <v>01-01-2025</v>
          </cell>
        </row>
        <row r="342">
          <cell r="B342" t="str">
            <v>CONCLUIDA</v>
          </cell>
          <cell r="C342" t="str">
            <v>VEHICULAR - REMOLQUE VEHICULAR</v>
          </cell>
          <cell r="D342" t="str">
            <v>En cobertura</v>
          </cell>
          <cell r="E342" t="str">
            <v>EXTERNO</v>
          </cell>
          <cell r="F342" t="str">
            <v>LOCAL</v>
          </cell>
          <cell r="G342">
            <v>60861</v>
          </cell>
          <cell r="J342" t="str">
            <v>01-01-2025</v>
          </cell>
        </row>
        <row r="343">
          <cell r="B343" t="str">
            <v>CANCELADO AL MOMENTO</v>
          </cell>
          <cell r="C343" t="str">
            <v>VEHICULAR - REMOLQUE VEHICULAR</v>
          </cell>
          <cell r="D343" t="str">
            <v>En cobertura</v>
          </cell>
          <cell r="E343" t="str">
            <v xml:space="preserve"> </v>
          </cell>
          <cell r="F343" t="str">
            <v xml:space="preserve"> </v>
          </cell>
          <cell r="G343">
            <v>0</v>
          </cell>
          <cell r="J343" t="str">
            <v>01-01-2025</v>
          </cell>
        </row>
        <row r="344">
          <cell r="B344" t="str">
            <v>CONCLUIDA</v>
          </cell>
          <cell r="C344" t="str">
            <v>VEHICULAR - MECANICA LIGERA</v>
          </cell>
          <cell r="D344" t="str">
            <v>En cobertura</v>
          </cell>
          <cell r="E344" t="str">
            <v>EXTERNO</v>
          </cell>
          <cell r="F344" t="str">
            <v>LOCAL</v>
          </cell>
          <cell r="G344">
            <v>25148</v>
          </cell>
          <cell r="J344" t="str">
            <v>01-01-2025</v>
          </cell>
        </row>
        <row r="345">
          <cell r="B345" t="str">
            <v>CONCLUIDA</v>
          </cell>
          <cell r="C345" t="str">
            <v>VEHICULAR - REMOLQUE VEHICULAR</v>
          </cell>
          <cell r="D345" t="str">
            <v>En cobertura</v>
          </cell>
          <cell r="E345" t="str">
            <v>EXTERNO</v>
          </cell>
          <cell r="F345" t="str">
            <v>LOCAL</v>
          </cell>
          <cell r="G345">
            <v>50570</v>
          </cell>
          <cell r="J345" t="str">
            <v>01-01-2025</v>
          </cell>
        </row>
        <row r="346">
          <cell r="B346" t="str">
            <v>CANCELADO AL MOMENTO</v>
          </cell>
          <cell r="C346" t="str">
            <v>VEHICULAR - MECANICA LIGERA</v>
          </cell>
          <cell r="D346" t="str">
            <v>En cobertura</v>
          </cell>
          <cell r="E346" t="str">
            <v xml:space="preserve"> </v>
          </cell>
          <cell r="F346" t="str">
            <v xml:space="preserve"> </v>
          </cell>
          <cell r="G346">
            <v>0</v>
          </cell>
          <cell r="J346" t="str">
            <v>01-01-2025</v>
          </cell>
        </row>
        <row r="347">
          <cell r="B347" t="str">
            <v>CONCLUIDA</v>
          </cell>
          <cell r="C347" t="str">
            <v>VEHICULAR - REMOLQUE VEHICULAR</v>
          </cell>
          <cell r="D347" t="str">
            <v>En cobertura</v>
          </cell>
          <cell r="E347" t="str">
            <v>EXTERNO</v>
          </cell>
          <cell r="F347" t="str">
            <v>LOCAL</v>
          </cell>
          <cell r="G347">
            <v>36346</v>
          </cell>
          <cell r="J347" t="str">
            <v>01-01-2025</v>
          </cell>
        </row>
        <row r="348">
          <cell r="B348" t="str">
            <v>CANCELADO AL MOMENTO</v>
          </cell>
          <cell r="C348" t="str">
            <v>VEHICULAR - REMOLQUE VEHICULAR</v>
          </cell>
          <cell r="D348" t="str">
            <v>En cobertura</v>
          </cell>
          <cell r="E348" t="str">
            <v xml:space="preserve"> </v>
          </cell>
          <cell r="F348" t="str">
            <v xml:space="preserve"> </v>
          </cell>
          <cell r="G348">
            <v>0</v>
          </cell>
          <cell r="J348" t="str">
            <v>01-01-2025</v>
          </cell>
        </row>
        <row r="349">
          <cell r="B349" t="str">
            <v>CONCLUIDA</v>
          </cell>
          <cell r="C349" t="str">
            <v>VEHICULAR - REMOLQUE VEHICULAR</v>
          </cell>
          <cell r="D349" t="str">
            <v>En cobertura</v>
          </cell>
          <cell r="E349" t="str">
            <v>EXTERNO</v>
          </cell>
          <cell r="F349" t="str">
            <v>LOCAL</v>
          </cell>
          <cell r="G349">
            <v>24000</v>
          </cell>
          <cell r="J349" t="str">
            <v>01-01-2025</v>
          </cell>
        </row>
        <row r="350">
          <cell r="B350" t="str">
            <v>CANCELADO AL MOMENTO</v>
          </cell>
          <cell r="C350" t="str">
            <v>VEHICULAR - REMOLQUE VEHICULAR</v>
          </cell>
          <cell r="D350" t="str">
            <v>En cobertura</v>
          </cell>
          <cell r="E350" t="str">
            <v xml:space="preserve"> </v>
          </cell>
          <cell r="F350" t="str">
            <v xml:space="preserve"> </v>
          </cell>
          <cell r="G350">
            <v>0</v>
          </cell>
          <cell r="J350" t="str">
            <v>01-01-2025</v>
          </cell>
        </row>
        <row r="351">
          <cell r="B351" t="str">
            <v>CONCLUIDA</v>
          </cell>
          <cell r="C351" t="str">
            <v>VEHICULAR - MECANICA LIGERA</v>
          </cell>
          <cell r="D351" t="str">
            <v>En cobertura</v>
          </cell>
          <cell r="E351" t="str">
            <v>EXTERNO</v>
          </cell>
          <cell r="F351" t="str">
            <v>LOCAL</v>
          </cell>
          <cell r="G351">
            <v>13500</v>
          </cell>
          <cell r="J351" t="str">
            <v>01-01-2025</v>
          </cell>
        </row>
        <row r="352">
          <cell r="B352" t="str">
            <v>CANCELADO AL MOMENTO</v>
          </cell>
          <cell r="C352" t="str">
            <v>VEHICULAR - REMOLQUE VEHICULAR</v>
          </cell>
          <cell r="D352" t="str">
            <v>En cobertura</v>
          </cell>
          <cell r="E352" t="str">
            <v xml:space="preserve"> </v>
          </cell>
          <cell r="F352" t="str">
            <v xml:space="preserve"> </v>
          </cell>
          <cell r="G352">
            <v>0</v>
          </cell>
          <cell r="J352" t="str">
            <v>01-01-2025</v>
          </cell>
        </row>
        <row r="353">
          <cell r="B353" t="str">
            <v>CONCLUIDA</v>
          </cell>
          <cell r="C353" t="str">
            <v>VEHICULAR - REMOLQUE VEHICULAR</v>
          </cell>
          <cell r="D353" t="str">
            <v>En cobertura</v>
          </cell>
          <cell r="E353" t="str">
            <v>EXTERNO</v>
          </cell>
          <cell r="F353" t="str">
            <v>FORANEO</v>
          </cell>
          <cell r="G353">
            <v>364100</v>
          </cell>
          <cell r="J353" t="str">
            <v>01-01-2025</v>
          </cell>
        </row>
        <row r="354">
          <cell r="B354" t="str">
            <v>CONCLUIDA</v>
          </cell>
          <cell r="C354" t="str">
            <v>VEHICULAR - REMOLQUE VEHICULAR</v>
          </cell>
          <cell r="D354" t="str">
            <v>En cobertura</v>
          </cell>
          <cell r="E354" t="str">
            <v>EXTERNO</v>
          </cell>
          <cell r="F354" t="str">
            <v>FORANEO</v>
          </cell>
          <cell r="G354">
            <v>379050</v>
          </cell>
          <cell r="J354" t="str">
            <v>01-01-2025</v>
          </cell>
        </row>
        <row r="355">
          <cell r="B355" t="str">
            <v>CANCELADO AL MOMENTO</v>
          </cell>
          <cell r="C355" t="str">
            <v>VEHICULAR - REMOLQUE VEHICULAR</v>
          </cell>
          <cell r="D355" t="str">
            <v>En cobertura</v>
          </cell>
          <cell r="E355" t="str">
            <v xml:space="preserve"> </v>
          </cell>
          <cell r="F355" t="str">
            <v xml:space="preserve"> </v>
          </cell>
          <cell r="G355">
            <v>0</v>
          </cell>
          <cell r="J355" t="str">
            <v>01-01-2025</v>
          </cell>
        </row>
        <row r="356">
          <cell r="B356" t="str">
            <v>CANCELADO AL MOMENTO</v>
          </cell>
          <cell r="C356" t="str">
            <v>REFERENCIA - REFERENCIA Y CORDINANCION TELEFONICA</v>
          </cell>
          <cell r="D356" t="str">
            <v>En cobertura</v>
          </cell>
          <cell r="E356" t="str">
            <v xml:space="preserve"> </v>
          </cell>
          <cell r="F356" t="str">
            <v xml:space="preserve"> </v>
          </cell>
          <cell r="G356">
            <v>0</v>
          </cell>
          <cell r="J356" t="str">
            <v>01-01-2025</v>
          </cell>
        </row>
        <row r="357">
          <cell r="B357" t="str">
            <v>CANCELADO POSTERIOR</v>
          </cell>
          <cell r="C357" t="str">
            <v>VEHICULAR - REMOLQUE VEHICULAR</v>
          </cell>
          <cell r="D357" t="str">
            <v>En cobertura</v>
          </cell>
          <cell r="E357" t="str">
            <v>EXTERNO</v>
          </cell>
          <cell r="F357" t="str">
            <v xml:space="preserve"> </v>
          </cell>
          <cell r="G357">
            <v>0</v>
          </cell>
          <cell r="J357" t="str">
            <v>01-01-2025</v>
          </cell>
        </row>
        <row r="358">
          <cell r="B358" t="str">
            <v>CONCLUIDA</v>
          </cell>
          <cell r="C358" t="str">
            <v>VEHICULAR - REMOLQUE VEHICULAR</v>
          </cell>
          <cell r="D358" t="str">
            <v>En cobertura</v>
          </cell>
          <cell r="E358" t="str">
            <v>EXTERNO</v>
          </cell>
          <cell r="F358" t="str">
            <v>FORANEO</v>
          </cell>
          <cell r="G358">
            <v>389500</v>
          </cell>
          <cell r="J358" t="str">
            <v>01-01-2025</v>
          </cell>
        </row>
        <row r="359">
          <cell r="B359" t="str">
            <v>CONCLUIDA</v>
          </cell>
          <cell r="C359" t="str">
            <v>VEHICULAR - REMOLQUE VEHICULAR</v>
          </cell>
          <cell r="D359" t="str">
            <v>En cobertura</v>
          </cell>
          <cell r="E359" t="str">
            <v>EXTERNO</v>
          </cell>
          <cell r="F359" t="str">
            <v>FORANEO</v>
          </cell>
          <cell r="G359">
            <v>403522</v>
          </cell>
          <cell r="J359" t="str">
            <v>01-01-2025</v>
          </cell>
        </row>
        <row r="360">
          <cell r="B360" t="str">
            <v>CONCLUIDA</v>
          </cell>
          <cell r="C360" t="str">
            <v>VEHICULAR - REMOLQUE VEHICULAR</v>
          </cell>
          <cell r="D360" t="str">
            <v>En cobertura</v>
          </cell>
          <cell r="E360" t="str">
            <v>EXTERNO</v>
          </cell>
          <cell r="F360" t="str">
            <v>LOCAL</v>
          </cell>
          <cell r="G360">
            <v>55500</v>
          </cell>
          <cell r="J360" t="str">
            <v>01-01-2025</v>
          </cell>
        </row>
        <row r="361">
          <cell r="B361" t="str">
            <v>CONCLUIDA</v>
          </cell>
          <cell r="C361" t="str">
            <v>VEHICULAR - REMOLQUE VEHICULAR</v>
          </cell>
          <cell r="D361" t="str">
            <v>En cobertura</v>
          </cell>
          <cell r="E361" t="str">
            <v>EXTERNO</v>
          </cell>
          <cell r="F361" t="str">
            <v>FORANEO</v>
          </cell>
          <cell r="G361">
            <v>410522</v>
          </cell>
          <cell r="J361" t="str">
            <v>01-01-2025</v>
          </cell>
        </row>
        <row r="362">
          <cell r="B362" t="str">
            <v>CONCLUIDA</v>
          </cell>
          <cell r="C362" t="str">
            <v>VEHICULAR - MECANICA LIGERA</v>
          </cell>
          <cell r="D362" t="str">
            <v>En cobertura</v>
          </cell>
          <cell r="E362" t="str">
            <v>EXTERNO</v>
          </cell>
          <cell r="F362" t="str">
            <v>LOCAL</v>
          </cell>
          <cell r="G362">
            <v>10908</v>
          </cell>
          <cell r="J362" t="str">
            <v>01-01-2025</v>
          </cell>
        </row>
        <row r="363">
          <cell r="B363" t="str">
            <v>CONCLUIDA</v>
          </cell>
          <cell r="C363" t="str">
            <v>VEHICULAR - REMOLQUE VEHICULAR</v>
          </cell>
          <cell r="D363" t="str">
            <v>En cobertura</v>
          </cell>
          <cell r="E363" t="str">
            <v>EXTERNO</v>
          </cell>
          <cell r="F363" t="str">
            <v>LOCAL</v>
          </cell>
          <cell r="G363">
            <v>61781</v>
          </cell>
          <cell r="J363" t="str">
            <v>01-01-2025</v>
          </cell>
        </row>
        <row r="364">
          <cell r="B364" t="str">
            <v>CANCELADO POSTERIOR</v>
          </cell>
          <cell r="C364" t="str">
            <v>VEHICULAR - MECANICA LIGERA</v>
          </cell>
          <cell r="D364" t="str">
            <v>En cobertura</v>
          </cell>
          <cell r="E364" t="str">
            <v>EXTERNO</v>
          </cell>
          <cell r="F364" t="str">
            <v xml:space="preserve"> </v>
          </cell>
          <cell r="G364">
            <v>0</v>
          </cell>
          <cell r="J364" t="str">
            <v>01-01-2025</v>
          </cell>
        </row>
        <row r="365">
          <cell r="B365" t="str">
            <v>CONCLUIDA</v>
          </cell>
          <cell r="C365" t="str">
            <v>VEHICULAR - REMOLQUE VEHICULAR</v>
          </cell>
          <cell r="D365" t="str">
            <v>En cobertura</v>
          </cell>
          <cell r="E365" t="str">
            <v>EXTERNO</v>
          </cell>
          <cell r="F365" t="str">
            <v>FORANEO</v>
          </cell>
          <cell r="G365">
            <v>426220</v>
          </cell>
          <cell r="J365" t="str">
            <v>01-01-2025</v>
          </cell>
        </row>
        <row r="366">
          <cell r="B366" t="str">
            <v>CONCLUIDA</v>
          </cell>
          <cell r="C366" t="str">
            <v>VEHICULAR - REMOLQUE VEHICULAR</v>
          </cell>
          <cell r="D366" t="str">
            <v>En cobertura</v>
          </cell>
          <cell r="E366" t="str">
            <v>EXTERNO</v>
          </cell>
          <cell r="F366" t="str">
            <v>LOCAL</v>
          </cell>
          <cell r="G366">
            <v>55300</v>
          </cell>
          <cell r="J366" t="str">
            <v>01-01-2025</v>
          </cell>
        </row>
        <row r="367">
          <cell r="B367" t="str">
            <v>CONCLUIDA</v>
          </cell>
          <cell r="C367" t="str">
            <v>VEHICULAR - MECANICA LIGERA</v>
          </cell>
          <cell r="D367" t="str">
            <v>En cobertura</v>
          </cell>
          <cell r="E367" t="str">
            <v>EXTERNO</v>
          </cell>
          <cell r="F367" t="str">
            <v>LOCAL</v>
          </cell>
          <cell r="G367">
            <v>16000</v>
          </cell>
          <cell r="J367" t="str">
            <v>01-01-2025</v>
          </cell>
        </row>
        <row r="368">
          <cell r="B368" t="str">
            <v>CANCELADO AL MOMENTO</v>
          </cell>
          <cell r="C368" t="str">
            <v>VEHICULAR - VARIOS VIAL</v>
          </cell>
          <cell r="D368" t="str">
            <v>En cobertura</v>
          </cell>
          <cell r="E368" t="str">
            <v xml:space="preserve"> </v>
          </cell>
          <cell r="F368" t="str">
            <v xml:space="preserve"> </v>
          </cell>
          <cell r="G368">
            <v>0</v>
          </cell>
          <cell r="J368" t="str">
            <v>01-01-2025</v>
          </cell>
        </row>
        <row r="369">
          <cell r="B369" t="str">
            <v>CONCLUIDA</v>
          </cell>
          <cell r="C369" t="str">
            <v>VEHICULAR - REMOLQUE VEHICULAR</v>
          </cell>
          <cell r="D369" t="str">
            <v>En cobertura</v>
          </cell>
          <cell r="E369" t="str">
            <v>EXTERNO</v>
          </cell>
          <cell r="F369" t="str">
            <v>LOCAL</v>
          </cell>
          <cell r="G369">
            <v>67541</v>
          </cell>
          <cell r="J369" t="str">
            <v>01-01-2025</v>
          </cell>
        </row>
        <row r="370">
          <cell r="B370" t="str">
            <v>CANCELADO AL MOMENTO</v>
          </cell>
          <cell r="C370" t="str">
            <v>VEHICULAR - REMOLQUE VEHICULAR</v>
          </cell>
          <cell r="D370" t="str">
            <v>En cobertura</v>
          </cell>
          <cell r="E370" t="str">
            <v xml:space="preserve"> </v>
          </cell>
          <cell r="F370" t="str">
            <v xml:space="preserve"> </v>
          </cell>
          <cell r="G370">
            <v>0</v>
          </cell>
          <cell r="J370" t="str">
            <v>01-01-2025</v>
          </cell>
        </row>
        <row r="371">
          <cell r="B371" t="str">
            <v>CONCLUIDA</v>
          </cell>
          <cell r="C371" t="str">
            <v>VEHICULAR - MECANICA LIGERA</v>
          </cell>
          <cell r="D371" t="str">
            <v>En cobertura</v>
          </cell>
          <cell r="E371" t="str">
            <v>EXTERNO</v>
          </cell>
          <cell r="F371" t="str">
            <v>LOCAL</v>
          </cell>
          <cell r="G371">
            <v>17808</v>
          </cell>
          <cell r="J371" t="str">
            <v>01-01-2025</v>
          </cell>
        </row>
        <row r="372">
          <cell r="B372" t="str">
            <v>CONCLUIDA</v>
          </cell>
          <cell r="C372" t="str">
            <v>VEHICULAR - REMOLQUE VEHICULAR</v>
          </cell>
          <cell r="D372" t="str">
            <v>En cobertura</v>
          </cell>
          <cell r="E372" t="str">
            <v>EXTERNO</v>
          </cell>
          <cell r="F372" t="str">
            <v>LOCAL</v>
          </cell>
          <cell r="G372">
            <v>24000</v>
          </cell>
          <cell r="J372" t="str">
            <v>01-01-2025</v>
          </cell>
        </row>
        <row r="373">
          <cell r="B373" t="str">
            <v>CONCLUIDA</v>
          </cell>
          <cell r="C373" t="str">
            <v>VEHICULAR - REMOLQUE VEHICULAR</v>
          </cell>
          <cell r="D373" t="str">
            <v>En cobertura</v>
          </cell>
          <cell r="E373" t="str">
            <v>EXTERNO</v>
          </cell>
          <cell r="F373" t="str">
            <v>FORANEO</v>
          </cell>
          <cell r="G373">
            <v>488000</v>
          </cell>
          <cell r="J373" t="str">
            <v>01-01-2025</v>
          </cell>
        </row>
        <row r="374">
          <cell r="B374" t="str">
            <v>CONCLUIDA</v>
          </cell>
          <cell r="C374" t="str">
            <v>VEHICULAR - MECANICA LIGERA</v>
          </cell>
          <cell r="D374" t="str">
            <v>En cobertura</v>
          </cell>
          <cell r="E374" t="str">
            <v>EXTERNO</v>
          </cell>
          <cell r="F374" t="str">
            <v>LOCAL</v>
          </cell>
          <cell r="G374">
            <v>14000</v>
          </cell>
          <cell r="J374" t="str">
            <v>01-01-2025</v>
          </cell>
        </row>
        <row r="375">
          <cell r="B375" t="str">
            <v>CANCELADO AL MOMENTO</v>
          </cell>
          <cell r="C375" t="str">
            <v>REFERENCIA - REFERENCIA Y CORDINANCION TELEFONICA</v>
          </cell>
          <cell r="D375" t="str">
            <v>En cobertura</v>
          </cell>
          <cell r="E375" t="str">
            <v xml:space="preserve"> </v>
          </cell>
          <cell r="F375" t="str">
            <v xml:space="preserve"> </v>
          </cell>
          <cell r="G375">
            <v>0</v>
          </cell>
          <cell r="J375" t="str">
            <v>01-01-2025</v>
          </cell>
        </row>
        <row r="376">
          <cell r="B376" t="str">
            <v>CONCLUIDA</v>
          </cell>
          <cell r="C376" t="str">
            <v>VEHICULAR - REMOLQUE VEHICULAR</v>
          </cell>
          <cell r="D376" t="str">
            <v>En cobertura</v>
          </cell>
          <cell r="E376" t="str">
            <v>EXTERNO</v>
          </cell>
          <cell r="F376" t="str">
            <v>FORANEO</v>
          </cell>
          <cell r="G376">
            <v>569478</v>
          </cell>
          <cell r="J376" t="str">
            <v>01-01-2025</v>
          </cell>
        </row>
        <row r="377">
          <cell r="B377" t="str">
            <v>CONCLUIDA</v>
          </cell>
          <cell r="C377" t="str">
            <v>VEHICULAR - REMOLQUE VEHICULAR</v>
          </cell>
          <cell r="D377" t="str">
            <v>En cobertura</v>
          </cell>
          <cell r="E377" t="str">
            <v>EXTERNO</v>
          </cell>
          <cell r="F377" t="str">
            <v>FORANEO</v>
          </cell>
          <cell r="G377">
            <v>712094</v>
          </cell>
          <cell r="J377" t="str">
            <v>01-01-2025</v>
          </cell>
        </row>
        <row r="378">
          <cell r="B378" t="str">
            <v>CONCLUIDA</v>
          </cell>
          <cell r="C378" t="str">
            <v>VEHICULAR - REMOLQUE VEHICULAR</v>
          </cell>
          <cell r="D378" t="str">
            <v>En cobertura</v>
          </cell>
          <cell r="E378" t="str">
            <v>EXTERNO</v>
          </cell>
          <cell r="F378" t="str">
            <v>FORANEO</v>
          </cell>
          <cell r="G378">
            <v>826700</v>
          </cell>
          <cell r="J378" t="str">
            <v>01-01-2025</v>
          </cell>
        </row>
        <row r="379">
          <cell r="B379" t="str">
            <v>CONCLUIDA</v>
          </cell>
          <cell r="C379" t="str">
            <v>VEHICULAR - REMOLQUE VEHICULAR</v>
          </cell>
          <cell r="D379" t="str">
            <v>En cobertura</v>
          </cell>
          <cell r="E379" t="str">
            <v>EXTERNO</v>
          </cell>
          <cell r="F379" t="str">
            <v>LOCAL</v>
          </cell>
          <cell r="G379">
            <v>82718</v>
          </cell>
          <cell r="J379" t="str">
            <v>01-01-2025</v>
          </cell>
        </row>
        <row r="380">
          <cell r="B380" t="str">
            <v>CONCLUIDA</v>
          </cell>
          <cell r="C380" t="str">
            <v>VEHICULAR - REMOLQUE VEHICULAR</v>
          </cell>
          <cell r="D380" t="str">
            <v>En cobertura</v>
          </cell>
          <cell r="E380" t="str">
            <v>EXTERNO</v>
          </cell>
          <cell r="F380" t="str">
            <v>LOCAL</v>
          </cell>
          <cell r="G380">
            <v>37658</v>
          </cell>
          <cell r="J380" t="str">
            <v>01-01-2025</v>
          </cell>
        </row>
        <row r="381">
          <cell r="B381" t="str">
            <v>CONCLUIDA</v>
          </cell>
          <cell r="C381" t="str">
            <v>VEHICULAR - MECANICA LIGERA</v>
          </cell>
          <cell r="D381" t="str">
            <v>En cobertura</v>
          </cell>
          <cell r="E381" t="str">
            <v>EXTERNO</v>
          </cell>
          <cell r="F381" t="str">
            <v>LOCAL</v>
          </cell>
          <cell r="G381">
            <v>9806</v>
          </cell>
          <cell r="J381" t="str">
            <v>01-01-2025</v>
          </cell>
        </row>
        <row r="382">
          <cell r="B382" t="str">
            <v>CONCLUIDA</v>
          </cell>
          <cell r="C382" t="str">
            <v>VEHICULAR - MECANICA LIGERA</v>
          </cell>
          <cell r="D382" t="str">
            <v>En cobertura</v>
          </cell>
          <cell r="E382" t="str">
            <v>EXTERNO</v>
          </cell>
          <cell r="F382" t="str">
            <v>LOCAL</v>
          </cell>
          <cell r="G382">
            <v>15300</v>
          </cell>
          <cell r="J382" t="str">
            <v>01-01-2025</v>
          </cell>
        </row>
        <row r="383">
          <cell r="B383" t="str">
            <v>CANCELADO AL MOMENTO</v>
          </cell>
          <cell r="C383" t="str">
            <v>REFERENCIA - REFERENCIA Y CORDINANCION TELEFONICA</v>
          </cell>
          <cell r="D383" t="str">
            <v>En cobertura</v>
          </cell>
          <cell r="E383" t="str">
            <v xml:space="preserve"> </v>
          </cell>
          <cell r="F383" t="str">
            <v xml:space="preserve"> </v>
          </cell>
          <cell r="G383">
            <v>0</v>
          </cell>
          <cell r="J383" t="str">
            <v>01-01-2025</v>
          </cell>
        </row>
        <row r="384">
          <cell r="B384" t="str">
            <v>CONCLUIDA</v>
          </cell>
          <cell r="C384" t="str">
            <v>VEHICULAR - REMOLQUE VEHICULAR</v>
          </cell>
          <cell r="D384" t="str">
            <v>En cobertura</v>
          </cell>
          <cell r="E384" t="str">
            <v>EXTERNO</v>
          </cell>
          <cell r="F384" t="str">
            <v>FORANEO</v>
          </cell>
          <cell r="G384">
            <v>1033000</v>
          </cell>
          <cell r="J384" t="str">
            <v>01-01-2025</v>
          </cell>
        </row>
        <row r="385">
          <cell r="B385" t="str">
            <v>CONCLUIDA</v>
          </cell>
          <cell r="C385" t="str">
            <v>VEHICULAR - REMOLQUE VEHICULAR</v>
          </cell>
          <cell r="D385" t="str">
            <v>En cobertura</v>
          </cell>
          <cell r="E385" t="str">
            <v>EXTERNO</v>
          </cell>
          <cell r="F385" t="str">
            <v>FORANEO</v>
          </cell>
          <cell r="G385">
            <v>1118013</v>
          </cell>
          <cell r="J385" t="str">
            <v>01-01-2025</v>
          </cell>
        </row>
        <row r="386">
          <cell r="B386" t="str">
            <v>CONCLUIDA</v>
          </cell>
          <cell r="C386" t="str">
            <v>VEHICULAR - REMOLQUE VEHICULAR</v>
          </cell>
          <cell r="D386" t="str">
            <v>En cobertura</v>
          </cell>
          <cell r="E386" t="str">
            <v>EXTERNO</v>
          </cell>
          <cell r="F386" t="str">
            <v>FORANEO</v>
          </cell>
          <cell r="G386">
            <v>1129700</v>
          </cell>
          <cell r="J386" t="str">
            <v>01-01-2025</v>
          </cell>
        </row>
        <row r="387">
          <cell r="B387" t="str">
            <v>CONCLUIDA</v>
          </cell>
          <cell r="C387" t="str">
            <v>VEHICULAR - REMOLQUE VEHICULAR</v>
          </cell>
          <cell r="D387" t="str">
            <v>En cobertura</v>
          </cell>
          <cell r="E387" t="str">
            <v>EXTERNO</v>
          </cell>
          <cell r="F387" t="str">
            <v>FORANEO</v>
          </cell>
          <cell r="G387">
            <v>1520200</v>
          </cell>
          <cell r="J387" t="str">
            <v>01-01-2025</v>
          </cell>
        </row>
        <row r="388">
          <cell r="B388" t="str">
            <v>CONCLUIDA</v>
          </cell>
          <cell r="C388" t="str">
            <v>VEHICULAR - REMOLQUE VEHICULAR</v>
          </cell>
          <cell r="D388" t="str">
            <v>En cobertura</v>
          </cell>
          <cell r="E388" t="str">
            <v>EXTERNO</v>
          </cell>
          <cell r="F388" t="str">
            <v>FORANEO</v>
          </cell>
          <cell r="G388">
            <v>1604800</v>
          </cell>
          <cell r="J388" t="str">
            <v>01-01-2025</v>
          </cell>
        </row>
      </sheetData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ciembre"/>
      <sheetName val="Comparativo"/>
      <sheetName val="Historico"/>
      <sheetName val="Calculadora Enero-24"/>
      <sheetName val="Calculadora Diciembre"/>
      <sheetName val="Calculadora Noviembre"/>
      <sheetName val="Calculadora Octubre"/>
      <sheetName val="Calculadora Septiembre"/>
      <sheetName val="Indices"/>
      <sheetName val="Calculadora Anterior"/>
      <sheetName val="Indices V2"/>
      <sheetName val="MCS"/>
      <sheetName val="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D6B4BB-0A84-D847-8514-665DC6DF7102}" name="DetallesFactura3345678910111213" displayName="DetallesFactura3345678910111213" ref="C11:H15" totalsRowCount="1" headerRowDxfId="13" headerRowBorderDxfId="12">
  <autoFilter ref="C11:H14" xr:uid="{B3D6B4BB-0A84-D847-8514-665DC6DF7102}"/>
  <tableColumns count="6">
    <tableColumn id="1" xr3:uid="{2311089F-D49B-2E4D-9A4C-C9E0191735C5}" name="Item" dataDxfId="11" totalsRowDxfId="5" dataCellStyle="Millares"/>
    <tableColumn id="2" xr3:uid="{9786A170-09CB-094F-B2E6-19081A81095C}" name="Concepto" dataDxfId="10" totalsRowDxfId="4" dataCellStyle="Normal"/>
    <tableColumn id="3" xr3:uid="{46A38FE5-835C-A148-B777-E668974532B2}" name="Cantidad" dataDxfId="9" totalsRowDxfId="3" dataCellStyle="Moneda"/>
    <tableColumn id="4" xr3:uid="{077F21F6-130D-0A40-A4EE-4E633463042F}" name="Subtotal" totalsRowLabel="Subtotal" dataDxfId="8" totalsRowDxfId="2" dataCellStyle="Moneda">
      <calculatedColumnFormula>Importe</calculatedColumnFormula>
    </tableColumn>
    <tableColumn id="5" xr3:uid="{F6649B99-5F56-D64A-A021-F0ABB7BC1990}" name="Total" totalsRowFunction="custom" dataDxfId="7" totalsRowDxfId="1" dataCellStyle="Moneda">
      <calculatedColumnFormula>DetallesFactura3345678910111213[[#This Row],[Cantidad]]*DetallesFactura3345678910111213[[#This Row],[Subtotal]]</calculatedColumnFormula>
      <totalsRowFormula>SUM(G12:G14)</totalsRowFormula>
    </tableColumn>
    <tableColumn id="6" xr3:uid="{40B8AAC6-36CD-1544-9A8B-43CAA7DB18E1}" name="Cabina mes anterior" dataDxfId="6" totalsRowDxfId="0" dataCellStyle="Moneda">
      <calculatedColumnFormula>+'[6]Calculadora Enero-24'!$E$14</calculatedColumnFormula>
    </tableColumn>
  </tableColumns>
  <tableStyleInfo name="TableStyleMedium3" showFirstColumn="0" showLastColumn="0" showRowStripes="1" showColumnStripes="0"/>
  <extLst>
    <ext xmlns:x14="http://schemas.microsoft.com/office/spreadsheetml/2009/9/main" uri="{504A1905-F514-4f6f-8877-14C23A59335A}">
      <x14:table altTextSummary="Escriba la cantidad, la descripción y el precio por unidad en esta tabla. El descuento aplicado, el importe y el saldo vencido se calculan automáticamente"/>
    </ext>
  </extLst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9B0B6-CC21-B94C-8F8E-2EB693B351B5}">
  <dimension ref="A1:K20"/>
  <sheetViews>
    <sheetView showGridLines="0" zoomScale="132" workbookViewId="0">
      <selection activeCell="H12" sqref="H12"/>
    </sheetView>
  </sheetViews>
  <sheetFormatPr baseColWidth="10" defaultRowHeight="15" x14ac:dyDescent="0.2"/>
  <cols>
    <col min="1" max="1" width="2.6640625" customWidth="1"/>
    <col min="2" max="2" width="4.83203125" customWidth="1"/>
    <col min="3" max="3" width="9.5" bestFit="1" customWidth="1"/>
    <col min="4" max="4" width="21.5" bestFit="1" customWidth="1"/>
    <col min="5" max="5" width="17.33203125" customWidth="1"/>
    <col min="6" max="6" width="13.1640625" bestFit="1" customWidth="1"/>
    <col min="7" max="7" width="13.33203125" bestFit="1" customWidth="1"/>
    <col min="8" max="8" width="16" bestFit="1" customWidth="1"/>
    <col min="9" max="9" width="5.1640625" customWidth="1"/>
    <col min="10" max="10" width="10.33203125" style="202" bestFit="1" customWidth="1"/>
    <col min="11" max="11" width="10" bestFit="1" customWidth="1"/>
  </cols>
  <sheetData>
    <row r="1" spans="1:11" ht="16" thickBot="1" x14ac:dyDescent="0.25"/>
    <row r="2" spans="1:11" ht="16" thickBot="1" x14ac:dyDescent="0.25">
      <c r="B2" s="116"/>
      <c r="C2" s="117"/>
      <c r="D2" s="117"/>
      <c r="E2" s="117"/>
      <c r="F2" s="117"/>
      <c r="G2" s="117"/>
      <c r="H2" s="117"/>
      <c r="I2" s="118"/>
    </row>
    <row r="3" spans="1:11" ht="46" thickBot="1" x14ac:dyDescent="0.25">
      <c r="A3" s="119"/>
      <c r="B3" s="120"/>
      <c r="C3" s="204" t="s">
        <v>97</v>
      </c>
      <c r="D3" s="205"/>
      <c r="E3" s="205"/>
      <c r="F3" s="205"/>
      <c r="G3" s="205"/>
      <c r="H3" s="206"/>
      <c r="I3" s="121"/>
    </row>
    <row r="4" spans="1:11" ht="19" x14ac:dyDescent="0.2">
      <c r="A4" s="119"/>
      <c r="B4" s="120"/>
      <c r="C4" s="207"/>
      <c r="D4" s="208"/>
      <c r="E4" s="208"/>
      <c r="F4" s="208"/>
      <c r="G4" s="208"/>
      <c r="H4" s="122"/>
      <c r="I4" s="121"/>
    </row>
    <row r="5" spans="1:11" x14ac:dyDescent="0.2">
      <c r="A5" s="119"/>
      <c r="B5" s="120"/>
      <c r="C5" s="123"/>
      <c r="D5" s="119"/>
      <c r="E5" s="119"/>
      <c r="F5" s="124"/>
      <c r="G5" s="124"/>
      <c r="H5" s="125"/>
      <c r="I5" s="121"/>
      <c r="K5" s="182"/>
    </row>
    <row r="6" spans="1:11" ht="16" x14ac:dyDescent="0.2">
      <c r="A6" s="124"/>
      <c r="B6" s="126"/>
      <c r="C6" s="127"/>
      <c r="D6" s="119"/>
      <c r="E6" s="151"/>
      <c r="F6" s="128" t="s">
        <v>98</v>
      </c>
      <c r="G6" s="129">
        <f ca="1">TODAY()</f>
        <v>45974</v>
      </c>
      <c r="H6" s="130"/>
      <c r="I6" s="121"/>
    </row>
    <row r="7" spans="1:11" ht="16" x14ac:dyDescent="0.2">
      <c r="A7" s="124"/>
      <c r="B7" s="126"/>
      <c r="C7" s="127"/>
      <c r="D7" s="119"/>
      <c r="E7" s="151"/>
      <c r="F7" s="128"/>
      <c r="G7" s="152"/>
      <c r="H7" s="131"/>
      <c r="I7" s="121"/>
    </row>
    <row r="8" spans="1:11" ht="16" x14ac:dyDescent="0.2">
      <c r="A8" s="124"/>
      <c r="B8" s="126"/>
      <c r="C8" s="132"/>
      <c r="D8" s="133"/>
      <c r="E8" s="151"/>
      <c r="F8" s="128"/>
      <c r="G8" s="152"/>
      <c r="H8" s="131"/>
      <c r="I8" s="121"/>
      <c r="K8" s="181"/>
    </row>
    <row r="9" spans="1:11" ht="16" x14ac:dyDescent="0.2">
      <c r="A9" s="124"/>
      <c r="B9" s="126"/>
      <c r="C9" s="134"/>
      <c r="D9" s="133"/>
      <c r="E9" s="151"/>
      <c r="F9" s="128"/>
      <c r="G9" s="152"/>
      <c r="H9" s="131"/>
      <c r="I9" s="121"/>
      <c r="K9" s="181"/>
    </row>
    <row r="10" spans="1:11" ht="16" thickBot="1" x14ac:dyDescent="0.25">
      <c r="A10" s="124"/>
      <c r="B10" s="126"/>
      <c r="C10" s="135"/>
      <c r="D10" s="136"/>
      <c r="E10" s="151"/>
      <c r="F10" s="153"/>
      <c r="G10" s="124"/>
      <c r="H10" s="125"/>
      <c r="I10" s="121"/>
    </row>
    <row r="11" spans="1:11" ht="35" thickBot="1" x14ac:dyDescent="0.25">
      <c r="A11" s="119"/>
      <c r="B11" s="120"/>
      <c r="C11" s="137" t="s">
        <v>99</v>
      </c>
      <c r="D11" s="138" t="s">
        <v>100</v>
      </c>
      <c r="E11" s="138" t="s">
        <v>101</v>
      </c>
      <c r="F11" s="138" t="s">
        <v>102</v>
      </c>
      <c r="G11" s="138" t="s">
        <v>8</v>
      </c>
      <c r="H11" s="139" t="s">
        <v>103</v>
      </c>
      <c r="I11" s="121"/>
    </row>
    <row r="12" spans="1:11" ht="16" x14ac:dyDescent="0.2">
      <c r="A12" s="119"/>
      <c r="B12" s="120"/>
      <c r="C12" s="190">
        <v>1</v>
      </c>
      <c r="D12" s="191" t="s">
        <v>106</v>
      </c>
      <c r="E12" s="192">
        <v>1</v>
      </c>
      <c r="F12" s="193">
        <f>+'Servicios Cabina Addiuva 2025'!AF20</f>
        <v>22445.39896643682</v>
      </c>
      <c r="G12" s="194">
        <f>+DetallesFactura3345678910111213[[#This Row],[Subtotal]]</f>
        <v>22445.39896643682</v>
      </c>
      <c r="H12" s="140">
        <v>16543.052119677788</v>
      </c>
      <c r="I12" s="121"/>
      <c r="J12" s="203">
        <f>+DetallesFactura3345678910111213[[#This Row],[Total]]-DetallesFactura3345678910111213[[#This Row],[Cabina mes anterior]]</f>
        <v>5902.3468467590319</v>
      </c>
      <c r="K12" s="202">
        <f>+J12/DetallesFactura3345678910111213[[#This Row],[Total]]</f>
        <v>0.26296466619216535</v>
      </c>
    </row>
    <row r="13" spans="1:11" ht="16" x14ac:dyDescent="0.2">
      <c r="A13" s="119"/>
      <c r="B13" s="120"/>
      <c r="C13" s="190">
        <v>2</v>
      </c>
      <c r="D13" s="191" t="s">
        <v>107</v>
      </c>
      <c r="E13" s="192">
        <v>1</v>
      </c>
      <c r="F13" s="193">
        <f>+'Servicios Cabina AON'!AF20</f>
        <v>6317.4164906539554</v>
      </c>
      <c r="G13" s="194">
        <f>+DetallesFactura3345678910111213[[#This Row],[Subtotal]]</f>
        <v>6317.4164906539554</v>
      </c>
      <c r="H13" s="140">
        <v>6408.6904346997144</v>
      </c>
      <c r="I13" s="121"/>
      <c r="J13" s="203">
        <f>+DetallesFactura3345678910111213[[#This Row],[Total]]-DetallesFactura3345678910111213[[#This Row],[Cabina mes anterior]]</f>
        <v>-91.273944045758981</v>
      </c>
      <c r="K13" s="202">
        <f>+J13/DetallesFactura3345678910111213[[#This Row],[Total]]</f>
        <v>-1.4447985846871186E-2</v>
      </c>
    </row>
    <row r="14" spans="1:11" ht="16" x14ac:dyDescent="0.2">
      <c r="A14" s="119"/>
      <c r="B14" s="120"/>
      <c r="C14" s="195">
        <v>3</v>
      </c>
      <c r="D14" s="191" t="s">
        <v>94</v>
      </c>
      <c r="E14" s="196"/>
      <c r="F14" s="193"/>
      <c r="G14" s="194">
        <f>DetallesFactura3345678910111213[[#This Row],[Cantidad]]*DetallesFactura3345678910111213[[#This Row],[Subtotal]]</f>
        <v>0</v>
      </c>
      <c r="H14" s="200"/>
      <c r="I14" s="121"/>
    </row>
    <row r="15" spans="1:11" x14ac:dyDescent="0.2">
      <c r="A15" s="119"/>
      <c r="B15" s="120"/>
      <c r="C15" s="141"/>
      <c r="D15" s="154"/>
      <c r="E15" s="154"/>
      <c r="F15" s="155" t="s">
        <v>102</v>
      </c>
      <c r="G15" s="156">
        <f>SUM(G12:G14)</f>
        <v>28762.815457090775</v>
      </c>
      <c r="H15" s="201"/>
      <c r="I15" s="121"/>
    </row>
    <row r="16" spans="1:11" ht="16" thickBot="1" x14ac:dyDescent="0.25">
      <c r="A16" s="119"/>
      <c r="B16" s="120"/>
      <c r="C16" s="209"/>
      <c r="D16" s="210"/>
      <c r="E16" s="142"/>
      <c r="F16" s="143"/>
      <c r="G16" s="144"/>
      <c r="H16" s="145"/>
      <c r="I16" s="121"/>
    </row>
    <row r="17" spans="1:9" ht="17" thickBot="1" x14ac:dyDescent="0.25">
      <c r="A17" s="119"/>
      <c r="B17" s="146"/>
      <c r="C17" s="211"/>
      <c r="D17" s="211"/>
      <c r="E17" s="147"/>
      <c r="F17" s="148" t="e">
        <f>Saldo_pendiente</f>
        <v>#REF!</v>
      </c>
      <c r="G17" s="149"/>
      <c r="H17" s="149"/>
      <c r="I17" s="150"/>
    </row>
    <row r="19" spans="1:9" x14ac:dyDescent="0.2">
      <c r="B19" s="212" t="s">
        <v>104</v>
      </c>
      <c r="C19" s="212"/>
      <c r="D19" s="212"/>
      <c r="E19" s="212"/>
      <c r="F19" s="212"/>
      <c r="G19" s="212"/>
      <c r="H19" s="212"/>
    </row>
    <row r="20" spans="1:9" x14ac:dyDescent="0.2">
      <c r="B20" s="212"/>
      <c r="C20" s="212"/>
      <c r="D20" s="212"/>
      <c r="E20" s="212"/>
      <c r="F20" s="212"/>
      <c r="G20" s="212"/>
      <c r="H20" s="212"/>
    </row>
  </sheetData>
  <mergeCells count="5">
    <mergeCell ref="C3:H3"/>
    <mergeCell ref="C4:G4"/>
    <mergeCell ref="C16:D16"/>
    <mergeCell ref="C17:D17"/>
    <mergeCell ref="B19:H20"/>
  </mergeCells>
  <dataValidations count="22">
    <dataValidation allowBlank="1" showInputMessage="1" showErrorMessage="1" prompt="Modifique el número de teléfono y la dirección de correo electrónico al final de este resumen de cuenta. Reemplace el nombre del contacto y el teléfono o dirección de correo electrónico entre paréntesis angulares (&lt;&gt;)." sqref="C16:D16" xr:uid="{554B3866-6046-604F-9485-68363F5916BA}"/>
    <dataValidation allowBlank="1" showInputMessage="1" showErrorMessage="1" prompt="El título de la hoja de cálculo se encuentra en esta celda. Escriba la fecha de la factura, el número de factura y la descripción del producto de la factura en las celdas comprendidas entre la F4, F5 y la F6" sqref="C3" xr:uid="{FA66D150-8511-7F4E-903B-C7149F7EC9C3}"/>
    <dataValidation allowBlank="1" showInputMessage="1" showErrorMessage="1" prompt="Cree una factura de ventas en esta hoja de cálculo. Agregue el logotipo de la compañía en la celda de la derecha y los detalles de la factura en la tabla DetallesFactura a partir de la celda B10. El saldo pendiente se calcula automáticamente." sqref="A3:B3" xr:uid="{8A9251EA-EEE1-8149-9459-9B5CAD4702E0}"/>
    <dataValidation allowBlank="1" showInputMessage="1" showErrorMessage="1" prompt="Escriba la fecha de la factura en esta celda." sqref="G6:H6" xr:uid="{A466351A-90C8-C645-992A-662C9BD7304C}"/>
    <dataValidation allowBlank="1" showInputMessage="1" showErrorMessage="1" prompt="Escriba el número de factura en esta celda." sqref="G7:H7" xr:uid="{C395EBD2-1345-D44D-81C4-BDC9C8B7EC9B}"/>
    <dataValidation allowBlank="1" showInputMessage="1" showErrorMessage="1" prompt="Escriba la descripción del producto de la factura en esta celda." sqref="G8:H9" xr:uid="{11602C28-69DF-D644-BE94-B5F5D59E61A1}"/>
    <dataValidation allowBlank="1" showInputMessage="1" showErrorMessage="1" prompt="Escriba la descripción del producto de la factura en la celda de la derecha." sqref="F8:F9" xr:uid="{6B14FF63-63D3-4B4D-B55C-95A69BA0DC1C}"/>
    <dataValidation allowBlank="1" showInputMessage="1" showErrorMessage="1" prompt="Escriba el número de factura en la celda de la derecha." sqref="F7" xr:uid="{63870208-E42D-0B43-BA7B-FF20A4000779}"/>
    <dataValidation allowBlank="1" showInputMessage="1" showErrorMessage="1" prompt="Escriba la fecha de la factura en la celda de la derecha." sqref="F6" xr:uid="{F76BAF8B-C2E8-DC46-9E4E-2D8879C61569}"/>
    <dataValidation allowBlank="1" showInputMessage="1" showErrorMessage="1" prompt="Escriba la dirección de correo electrónico de la compañía en esta celda." sqref="C10:D10" xr:uid="{272F160C-C166-E94A-B134-47441656832D}"/>
    <dataValidation allowBlank="1" showInputMessage="1" showErrorMessage="1" prompt="Escriba el número de fax en esta celda." sqref="C9:D9" xr:uid="{B660D2A6-B046-AE47-961B-75581B68DF0F}"/>
    <dataValidation allowBlank="1" showInputMessage="1" showErrorMessage="1" prompt="Escriba el número de teléfono en esta celda." sqref="C8:D8" xr:uid="{2C5916E4-0D59-3B49-B929-D498F853D524}"/>
    <dataValidation allowBlank="1" showInputMessage="1" showErrorMessage="1" prompt="Escriba la ciudad, el estado y el código postal en esta celda." sqref="C7:D7" xr:uid="{3769A1AA-1363-0F44-A9E6-543F30506DEA}"/>
    <dataValidation allowBlank="1" showInputMessage="1" showErrorMessage="1" prompt="Escriba la dirección de la empresa de facturación en esta celda." sqref="C6:D6" xr:uid="{3E46E686-F72E-A74D-A1E9-92BF36434AF5}"/>
    <dataValidation allowBlank="1" showInputMessage="1" showErrorMessage="1" prompt="Escriba la cantidad en esta columna debajo de este encabezado. Use los filtros de encabezado para buscar entradas específicas." sqref="C11" xr:uid="{D35458E0-CEF0-BD40-9BE6-2E8F44938DF9}"/>
    <dataValidation allowBlank="1" showInputMessage="1" showErrorMessage="1" prompt="Escriba la descripción en esta columna debajo de este encabezado." sqref="D11" xr:uid="{140FCE74-AE9C-F84A-8AA9-AA9E9A7BF6FB}"/>
    <dataValidation allowBlank="1" showInputMessage="1" showErrorMessage="1" prompt="Escriba el porcentaje de descuento adicional en esta celda." sqref="F16" xr:uid="{78471212-7FD4-4041-8931-A49E5F9F5408}"/>
    <dataValidation allowBlank="1" showInputMessage="1" showErrorMessage="1" prompt="Escriba el porcentaje de descuento adicional en la celda de la derecha." sqref="E16" xr:uid="{D9E47B70-4D8A-014D-ABE9-3EDC13B60F94}"/>
    <dataValidation allowBlank="1" showInputMessage="1" showErrorMessage="1" prompt="El saldo pendiente se calcula automáticamente en esta celda." sqref="F17" xr:uid="{3C03E90C-DE3E-CC49-9843-88D4331DE25F}"/>
    <dataValidation allowBlank="1" showInputMessage="1" showErrorMessage="1" prompt="El saldo pendiente se calcula automáticamente en la celda de la derecha." sqref="E17" xr:uid="{5E71D494-1CA3-C646-AE05-58BB79CCC981}"/>
    <dataValidation allowBlank="1" showInputMessage="1" showErrorMessage="1" prompt="Escriba la descripción del elemento en esta columna" sqref="E11:F11" xr:uid="{DF6CA187-0495-1B4D-8D29-C0E7A952E255}"/>
    <dataValidation allowBlank="1" showInputMessage="1" showErrorMessage="1" prompt="Escriba el importe en esta columna. Escriba el tipo impositivo y otros costes en las celdas situadas bajo la tabla para calcular el importe total y subtotal." sqref="G11:H11" xr:uid="{1E75D19E-88FF-8344-82F2-8A1BF5776DD7}"/>
  </dataValidations>
  <pageMargins left="0.7" right="0.7" top="0.75" bottom="0.75" header="0.3" footer="0.3"/>
  <drawing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05BC12E3-95F4-3E4E-9166-BD863779DFDB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G12:G13 G14:H15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06BE-01A7-41EC-BC5C-EFB9ECC918DB}">
  <sheetPr>
    <tabColor theme="4" tint="0.79998168889431442"/>
  </sheetPr>
  <dimension ref="A1:AM39"/>
  <sheetViews>
    <sheetView showGridLines="0" tabSelected="1" zoomScale="133" zoomScaleNormal="85" workbookViewId="0">
      <pane xSplit="10" ySplit="3" topLeftCell="AH4" activePane="bottomRight" state="frozen"/>
      <selection pane="topRight" activeCell="K1" sqref="K1"/>
      <selection pane="bottomLeft" activeCell="A4" sqref="A4"/>
      <selection pane="bottomRight" activeCell="AF10" sqref="AF10:AF11"/>
    </sheetView>
  </sheetViews>
  <sheetFormatPr baseColWidth="10" defaultColWidth="11.5" defaultRowHeight="12" outlineLevelCol="1" x14ac:dyDescent="0.15"/>
  <cols>
    <col min="1" max="1" width="11.5" style="1"/>
    <col min="2" max="2" width="10.6640625" style="1" bestFit="1" customWidth="1"/>
    <col min="3" max="3" width="31.33203125" style="1" bestFit="1" customWidth="1"/>
    <col min="4" max="4" width="12.1640625" style="1" customWidth="1"/>
    <col min="5" max="8" width="12.1640625" style="1" customWidth="1" outlineLevel="1"/>
    <col min="9" max="9" width="12.83203125" style="1" customWidth="1" outlineLevel="1"/>
    <col min="10" max="10" width="12.1640625" style="1" customWidth="1" outlineLevel="1"/>
    <col min="11" max="11" width="14.6640625" style="1" customWidth="1"/>
    <col min="12" max="13" width="12.83203125" style="1" customWidth="1"/>
    <col min="14" max="14" width="13" style="1" customWidth="1"/>
    <col min="15" max="17" width="12.83203125" style="1" customWidth="1"/>
    <col min="18" max="18" width="13" style="1" customWidth="1"/>
    <col min="19" max="20" width="13.33203125" style="1" customWidth="1"/>
    <col min="21" max="22" width="12.83203125" style="1" customWidth="1"/>
    <col min="23" max="34" width="12.83203125" style="1" bestFit="1" customWidth="1"/>
    <col min="35" max="35" width="14.6640625" style="1" bestFit="1" customWidth="1"/>
    <col min="36" max="36" width="13.33203125" style="1" hidden="1" customWidth="1"/>
    <col min="37" max="37" width="0" style="1" hidden="1" customWidth="1"/>
    <col min="38" max="16384" width="11.5" style="1"/>
  </cols>
  <sheetData>
    <row r="1" spans="1:39" ht="12" customHeight="1" x14ac:dyDescent="0.15">
      <c r="D1" s="215" t="s">
        <v>0</v>
      </c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</row>
    <row r="2" spans="1:39" ht="12" customHeight="1" x14ac:dyDescent="0.15">
      <c r="C2" s="2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</row>
    <row r="3" spans="1:39" ht="12" customHeight="1" x14ac:dyDescent="0.15">
      <c r="C3" s="2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</row>
    <row r="4" spans="1:39" ht="12" customHeight="1" x14ac:dyDescent="0.15">
      <c r="C4" s="2"/>
    </row>
    <row r="5" spans="1:39" ht="14" x14ac:dyDescent="0.2">
      <c r="A5" s="3"/>
      <c r="B5" s="4" t="s">
        <v>1</v>
      </c>
      <c r="C5" s="5"/>
      <c r="D5" s="3"/>
      <c r="E5" s="6">
        <v>45138</v>
      </c>
      <c r="F5" s="6">
        <v>45169</v>
      </c>
      <c r="G5" s="6">
        <v>45199</v>
      </c>
      <c r="H5" s="6">
        <v>45230</v>
      </c>
      <c r="I5" s="6">
        <v>45260</v>
      </c>
      <c r="J5" s="6">
        <v>45291</v>
      </c>
      <c r="K5" s="6">
        <v>45322</v>
      </c>
      <c r="L5" s="6">
        <v>45351</v>
      </c>
      <c r="M5" s="6">
        <v>45382</v>
      </c>
      <c r="N5" s="6">
        <v>45412</v>
      </c>
      <c r="O5" s="6">
        <v>45443</v>
      </c>
      <c r="P5" s="6">
        <v>45473</v>
      </c>
      <c r="Q5" s="6">
        <v>45504</v>
      </c>
      <c r="R5" s="6">
        <v>45535</v>
      </c>
      <c r="S5" s="6">
        <v>45565</v>
      </c>
      <c r="T5" s="6">
        <v>45596</v>
      </c>
      <c r="U5" s="6">
        <v>45626</v>
      </c>
      <c r="V5" s="6">
        <v>45657</v>
      </c>
      <c r="W5" s="6">
        <v>45688</v>
      </c>
      <c r="X5" s="6">
        <v>45716</v>
      </c>
      <c r="Y5" s="6">
        <v>45747</v>
      </c>
      <c r="Z5" s="6">
        <v>45777</v>
      </c>
      <c r="AA5" s="6">
        <v>45808</v>
      </c>
      <c r="AB5" s="6">
        <v>45838</v>
      </c>
      <c r="AC5" s="6">
        <v>45869</v>
      </c>
      <c r="AD5" s="6">
        <v>45900</v>
      </c>
      <c r="AE5" s="6">
        <v>45930</v>
      </c>
      <c r="AF5" s="6">
        <v>45961</v>
      </c>
      <c r="AG5" s="6">
        <v>45991</v>
      </c>
      <c r="AH5" s="6">
        <v>46022</v>
      </c>
      <c r="AI5" s="7"/>
    </row>
    <row r="6" spans="1:39" x14ac:dyDescent="0.15">
      <c r="A6" s="216" t="s">
        <v>2</v>
      </c>
      <c r="B6" s="216"/>
      <c r="C6" s="8" t="s">
        <v>3</v>
      </c>
      <c r="D6" s="9"/>
      <c r="E6" s="10">
        <v>259</v>
      </c>
      <c r="F6" s="10">
        <v>221</v>
      </c>
      <c r="G6" s="10">
        <v>157</v>
      </c>
      <c r="H6" s="10">
        <v>151</v>
      </c>
      <c r="I6" s="10">
        <v>1695</v>
      </c>
      <c r="J6" s="10">
        <v>1996</v>
      </c>
      <c r="K6" s="10">
        <f>+'Indicadores Addiuva'!D17</f>
        <v>1141</v>
      </c>
      <c r="L6" s="10">
        <f>+'Indicadores Addiuva'!E17</f>
        <v>1013</v>
      </c>
      <c r="M6" s="10">
        <f>+'Indicadores Addiuva'!F17</f>
        <v>1083</v>
      </c>
      <c r="N6" s="10">
        <f>+'Indicadores Addiuva'!G17</f>
        <v>1110</v>
      </c>
      <c r="O6" s="10">
        <f>+'Indicadores Addiuva'!H17</f>
        <v>1256</v>
      </c>
      <c r="P6" s="10">
        <f>+'Indicadores Addiuva'!I17</f>
        <v>1301</v>
      </c>
      <c r="Q6" s="10">
        <v>1281</v>
      </c>
      <c r="R6" s="10">
        <v>1119</v>
      </c>
      <c r="S6" s="106">
        <v>1094</v>
      </c>
      <c r="T6" s="106">
        <v>1092</v>
      </c>
      <c r="U6" s="106">
        <v>1085</v>
      </c>
      <c r="V6" s="106">
        <f>+'Indicadores Addiuva'!O17</f>
        <v>0</v>
      </c>
      <c r="W6" s="106">
        <f>1408</f>
        <v>1408</v>
      </c>
      <c r="X6" s="106">
        <f>+'Indicadores Addiuva'!E17</f>
        <v>1013</v>
      </c>
      <c r="Y6" s="106">
        <f>+'Indicadores Addiuva'!F17</f>
        <v>1083</v>
      </c>
      <c r="Z6" s="106">
        <f>+'Indicadores Addiuva'!G17</f>
        <v>1110</v>
      </c>
      <c r="AA6" s="106">
        <f>+'Indicadores Addiuva'!H17</f>
        <v>1256</v>
      </c>
      <c r="AB6" s="106">
        <f>+'Indicadores Addiuva'!I17</f>
        <v>1301</v>
      </c>
      <c r="AC6" s="106">
        <f>+'Indicadores Addiuva'!J17</f>
        <v>1445</v>
      </c>
      <c r="AD6" s="106">
        <f>+'Indicadores Addiuva'!K17</f>
        <v>1256</v>
      </c>
      <c r="AE6" s="106">
        <f>+'Indicadores Addiuva'!L17</f>
        <v>1501</v>
      </c>
      <c r="AF6" s="106">
        <f>+'Indicadores Addiuva'!M17</f>
        <v>1887</v>
      </c>
      <c r="AG6" s="106">
        <f>+'Indicadores Addiuva'!N17</f>
        <v>0</v>
      </c>
      <c r="AH6" s="106">
        <f>+'Indicadores Addiuva'!O17</f>
        <v>0</v>
      </c>
      <c r="AI6" s="19"/>
      <c r="AJ6" s="1">
        <v>1141</v>
      </c>
      <c r="AK6" s="27">
        <v>10062193.75</v>
      </c>
    </row>
    <row r="7" spans="1:39" x14ac:dyDescent="0.15">
      <c r="A7" s="216"/>
      <c r="B7" s="216"/>
      <c r="C7" s="8" t="s">
        <v>4</v>
      </c>
      <c r="D7" s="12">
        <v>0.09</v>
      </c>
      <c r="E7" s="10">
        <v>34</v>
      </c>
      <c r="F7" s="10">
        <v>23</v>
      </c>
      <c r="G7" s="10">
        <v>15</v>
      </c>
      <c r="H7" s="10">
        <v>16</v>
      </c>
      <c r="I7" s="10">
        <v>256</v>
      </c>
      <c r="J7" s="10">
        <v>491</v>
      </c>
      <c r="K7" s="10">
        <f>+'Indicadores Addiuva'!D27</f>
        <v>39</v>
      </c>
      <c r="L7" s="10">
        <f>+'Indicadores Addiuva'!E27</f>
        <v>60</v>
      </c>
      <c r="M7" s="10">
        <f>+'Indicadores Addiuva'!F27</f>
        <v>43</v>
      </c>
      <c r="N7" s="10">
        <f>+'Indicadores Addiuva'!G27</f>
        <v>46</v>
      </c>
      <c r="O7" s="10">
        <f>+'Indicadores Addiuva'!H27</f>
        <v>40</v>
      </c>
      <c r="P7" s="10">
        <f>+'Indicadores Addiuva'!I27</f>
        <v>44</v>
      </c>
      <c r="Q7" s="10">
        <f>+'Indicadores Addiuva'!J27</f>
        <v>38</v>
      </c>
      <c r="R7" s="10">
        <v>57</v>
      </c>
      <c r="S7" s="106">
        <v>35</v>
      </c>
      <c r="T7" s="106">
        <v>51</v>
      </c>
      <c r="U7" s="106">
        <f>+'Indicadores Addiuva'!N27</f>
        <v>0</v>
      </c>
      <c r="V7" s="106">
        <f>+'Indicadores Addiuva'!O27</f>
        <v>0</v>
      </c>
      <c r="W7" s="106">
        <f>53</f>
        <v>53</v>
      </c>
      <c r="X7" s="106">
        <f>+'Indicadores Addiuva'!E27</f>
        <v>60</v>
      </c>
      <c r="Y7" s="106">
        <f>+'Indicadores Addiuva'!F27</f>
        <v>43</v>
      </c>
      <c r="Z7" s="106">
        <f>+'Indicadores Addiuva'!G27</f>
        <v>46</v>
      </c>
      <c r="AA7" s="106">
        <f>+'Indicadores Addiuva'!H27</f>
        <v>40</v>
      </c>
      <c r="AB7" s="106">
        <f>+'Indicadores Addiuva'!I27</f>
        <v>44</v>
      </c>
      <c r="AC7" s="106">
        <f>+'Indicadores Addiuva'!J27</f>
        <v>38</v>
      </c>
      <c r="AD7" s="106">
        <f>+'Indicadores Addiuva'!K27</f>
        <v>39</v>
      </c>
      <c r="AE7" s="106">
        <f>+'Indicadores Addiuva'!L27</f>
        <v>44</v>
      </c>
      <c r="AF7" s="106">
        <f>+'Indicadores Addiuva'!M27</f>
        <v>85</v>
      </c>
      <c r="AG7" s="106">
        <f>+'Indicadores Addiuva'!N27</f>
        <v>0</v>
      </c>
      <c r="AH7" s="106">
        <f>+'Indicadores Addiuva'!O27</f>
        <v>0</v>
      </c>
      <c r="AI7" s="19"/>
      <c r="AK7" s="1">
        <v>3602266</v>
      </c>
    </row>
    <row r="8" spans="1:39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5">
        <f t="shared" ref="V8:AB8" si="0">SUM(V6:V7)</f>
        <v>0</v>
      </c>
      <c r="W8" s="115">
        <f t="shared" si="0"/>
        <v>1461</v>
      </c>
      <c r="X8" s="115">
        <f t="shared" si="0"/>
        <v>1073</v>
      </c>
      <c r="Y8" s="115">
        <f t="shared" si="0"/>
        <v>1126</v>
      </c>
      <c r="Z8" s="115">
        <f t="shared" si="0"/>
        <v>1156</v>
      </c>
      <c r="AA8" s="115">
        <f t="shared" si="0"/>
        <v>1296</v>
      </c>
      <c r="AB8" s="115">
        <f t="shared" si="0"/>
        <v>1345</v>
      </c>
      <c r="AC8" s="115">
        <f t="shared" ref="AC8:AD8" si="1">SUM(AC6:AC7)</f>
        <v>1483</v>
      </c>
      <c r="AD8" s="115">
        <f t="shared" si="1"/>
        <v>1295</v>
      </c>
      <c r="AE8" s="115">
        <f t="shared" ref="AE8:AH8" si="2">SUM(AE6:AE7)</f>
        <v>1545</v>
      </c>
      <c r="AF8" s="115">
        <f t="shared" si="2"/>
        <v>1972</v>
      </c>
      <c r="AG8" s="115">
        <f t="shared" si="2"/>
        <v>0</v>
      </c>
      <c r="AH8" s="115">
        <f t="shared" si="2"/>
        <v>0</v>
      </c>
      <c r="AI8" s="11"/>
    </row>
    <row r="9" spans="1:39" x14ac:dyDescent="0.1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K9" s="27">
        <f>+AK7*AJ6/AK6</f>
        <v>408.47807228915661</v>
      </c>
    </row>
    <row r="10" spans="1:39" ht="11.5" customHeight="1" x14ac:dyDescent="0.15">
      <c r="A10" s="217" t="s">
        <v>5</v>
      </c>
      <c r="B10" s="218"/>
      <c r="C10" s="13" t="s">
        <v>3</v>
      </c>
      <c r="D10" s="11"/>
      <c r="E10" s="221">
        <v>2220</v>
      </c>
      <c r="F10" s="213">
        <v>2220</v>
      </c>
      <c r="G10" s="213">
        <v>2220</v>
      </c>
      <c r="H10" s="213">
        <v>3000</v>
      </c>
      <c r="I10" s="213">
        <f>+H10</f>
        <v>3000</v>
      </c>
      <c r="J10" s="213">
        <f>+I10</f>
        <v>3000</v>
      </c>
      <c r="K10" s="213">
        <v>4515</v>
      </c>
      <c r="L10" s="213">
        <f>+K10</f>
        <v>4515</v>
      </c>
      <c r="M10" s="213">
        <f>+L10</f>
        <v>4515</v>
      </c>
      <c r="N10" s="213">
        <v>5644</v>
      </c>
      <c r="O10" s="213">
        <v>5644</v>
      </c>
      <c r="P10" s="213">
        <f>+O10</f>
        <v>5644</v>
      </c>
      <c r="Q10" s="213">
        <f>+P10*1.25</f>
        <v>7055</v>
      </c>
      <c r="R10" s="213">
        <f>+Q10</f>
        <v>7055</v>
      </c>
      <c r="S10" s="213">
        <f>+R10</f>
        <v>7055</v>
      </c>
      <c r="T10" s="213">
        <f>+S10*1.25</f>
        <v>8818.75</v>
      </c>
      <c r="U10" s="213">
        <f>T10</f>
        <v>8818.75</v>
      </c>
      <c r="V10" s="213">
        <f>+U10</f>
        <v>8818.75</v>
      </c>
      <c r="W10" s="213">
        <f>+V10</f>
        <v>8818.75</v>
      </c>
      <c r="X10" s="213">
        <v>10141</v>
      </c>
      <c r="Y10" s="213">
        <v>10142</v>
      </c>
      <c r="Z10" s="213">
        <v>11662</v>
      </c>
      <c r="AA10" s="213">
        <v>11662</v>
      </c>
      <c r="AB10" s="213">
        <v>11662</v>
      </c>
      <c r="AC10" s="213">
        <f>10983*1.059</f>
        <v>11630.996999999999</v>
      </c>
      <c r="AD10" s="213">
        <f>+AC10</f>
        <v>11630.996999999999</v>
      </c>
      <c r="AE10" s="213">
        <f>+AD10</f>
        <v>11630.996999999999</v>
      </c>
      <c r="AF10" s="213">
        <f>+AE10*1.063</f>
        <v>12363.749810999998</v>
      </c>
      <c r="AG10" s="213">
        <f t="shared" ref="AG10:AH10" si="3">+AF10</f>
        <v>12363.749810999998</v>
      </c>
      <c r="AH10" s="213">
        <f t="shared" si="3"/>
        <v>12363.749810999998</v>
      </c>
      <c r="AI10" s="1" t="s">
        <v>108</v>
      </c>
    </row>
    <row r="11" spans="1:39" ht="11.5" customHeight="1" x14ac:dyDescent="0.15">
      <c r="A11" s="219"/>
      <c r="B11" s="220"/>
      <c r="C11" s="14" t="s">
        <v>4</v>
      </c>
      <c r="D11" s="11"/>
      <c r="E11" s="222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214"/>
      <c r="Y11" s="214"/>
      <c r="Z11" s="214"/>
      <c r="AA11" s="214"/>
      <c r="AB11" s="214"/>
      <c r="AC11" s="214"/>
      <c r="AD11" s="214"/>
      <c r="AE11" s="214"/>
      <c r="AF11" s="214"/>
      <c r="AG11" s="214"/>
      <c r="AH11" s="214"/>
    </row>
    <row r="12" spans="1:39" x14ac:dyDescent="0.15">
      <c r="A12" s="11"/>
      <c r="B12" s="11"/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</row>
    <row r="13" spans="1:39" ht="12" hidden="1" customHeight="1" x14ac:dyDescent="0.15">
      <c r="C13" s="17" t="s">
        <v>6</v>
      </c>
      <c r="D13" s="17"/>
      <c r="E13" s="17"/>
      <c r="F13" s="17"/>
      <c r="G13" s="17"/>
      <c r="H13" s="17"/>
      <c r="I13" s="17"/>
      <c r="J13" s="17"/>
      <c r="K13" s="18">
        <f>3150*K15</f>
        <v>2811201.5635200003</v>
      </c>
      <c r="L13" s="18">
        <f t="shared" ref="L13:V13" si="4">3150*L15</f>
        <v>2992417.2387076262</v>
      </c>
      <c r="M13" s="18">
        <f t="shared" si="4"/>
        <v>3185314.4387491974</v>
      </c>
      <c r="N13" s="18">
        <f t="shared" si="4"/>
        <v>3390646.1780998479</v>
      </c>
      <c r="O13" s="18">
        <f t="shared" si="4"/>
        <v>3609214.01203252</v>
      </c>
      <c r="P13" s="18">
        <f>3150*P15</f>
        <v>4253067</v>
      </c>
      <c r="Q13" s="18">
        <f t="shared" si="4"/>
        <v>2926350</v>
      </c>
      <c r="R13" s="18">
        <f>3150*R15</f>
        <v>2994075</v>
      </c>
      <c r="S13" s="18">
        <f>3150*S15</f>
        <v>3047625</v>
      </c>
      <c r="T13" s="18">
        <f>(3150+1983.71)*T15</f>
        <v>5077239.1900000004</v>
      </c>
      <c r="U13" s="18">
        <f t="shared" si="4"/>
        <v>3176775</v>
      </c>
      <c r="V13" s="18">
        <f t="shared" si="4"/>
        <v>3241350</v>
      </c>
      <c r="W13" s="18">
        <f t="shared" ref="W13:X13" si="5">3150*W15</f>
        <v>3304350</v>
      </c>
      <c r="X13" s="18">
        <f t="shared" si="5"/>
        <v>3415387.5</v>
      </c>
      <c r="Y13" s="18"/>
      <c r="Z13" s="18"/>
      <c r="AA13" s="18"/>
      <c r="AB13" s="18"/>
      <c r="AC13" s="18"/>
      <c r="AD13" s="18"/>
      <c r="AE13" s="18"/>
      <c r="AF13" s="18"/>
      <c r="AG13" s="18"/>
      <c r="AH13" s="18"/>
    </row>
    <row r="14" spans="1:39" x14ac:dyDescent="0.1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r="15" spans="1:39" x14ac:dyDescent="0.15">
      <c r="A15" s="11"/>
      <c r="B15" s="11"/>
      <c r="C15" s="11" t="s">
        <v>7</v>
      </c>
      <c r="D15" s="11"/>
      <c r="E15" s="11">
        <v>545</v>
      </c>
      <c r="F15" s="11">
        <v>791</v>
      </c>
      <c r="G15" s="11">
        <v>813</v>
      </c>
      <c r="H15" s="11">
        <v>836</v>
      </c>
      <c r="I15" s="11">
        <v>840.44</v>
      </c>
      <c r="J15" s="11">
        <v>939</v>
      </c>
      <c r="K15" s="19">
        <v>892.44494080000004</v>
      </c>
      <c r="L15" s="19">
        <v>949.9737265738496</v>
      </c>
      <c r="M15" s="19">
        <v>1011.2109329362531</v>
      </c>
      <c r="N15" s="19">
        <v>1076.3956120951898</v>
      </c>
      <c r="O15" s="19">
        <v>1145.7822260420699</v>
      </c>
      <c r="P15" s="19">
        <v>1350.18</v>
      </c>
      <c r="Q15" s="19">
        <v>929</v>
      </c>
      <c r="R15" s="19">
        <v>950.5</v>
      </c>
      <c r="S15" s="19">
        <v>967.5</v>
      </c>
      <c r="T15" s="19">
        <v>989</v>
      </c>
      <c r="U15" s="19">
        <v>1008.5</v>
      </c>
      <c r="V15" s="19">
        <v>1029</v>
      </c>
      <c r="W15" s="197">
        <v>1049</v>
      </c>
      <c r="X15" s="197">
        <v>1084.25</v>
      </c>
      <c r="Y15" s="197">
        <v>1085.25</v>
      </c>
      <c r="Z15" s="198">
        <v>1085.25</v>
      </c>
      <c r="AA15" s="198">
        <v>1085.25</v>
      </c>
      <c r="AB15" s="198">
        <v>1085.25</v>
      </c>
      <c r="AC15" s="198">
        <v>1085.25</v>
      </c>
      <c r="AD15" s="198">
        <v>1085.25</v>
      </c>
      <c r="AE15" s="198">
        <v>1086.25</v>
      </c>
      <c r="AF15" s="198">
        <v>1086.25</v>
      </c>
      <c r="AG15" s="198">
        <v>1086.25</v>
      </c>
      <c r="AH15" s="198">
        <v>1086.25</v>
      </c>
      <c r="AI15" s="11"/>
      <c r="AJ15" s="20" t="s">
        <v>8</v>
      </c>
    </row>
    <row r="16" spans="1:39" ht="13" customHeight="1" x14ac:dyDescent="0.15">
      <c r="A16" s="223" t="s">
        <v>9</v>
      </c>
      <c r="B16" s="224"/>
      <c r="C16" s="8" t="s">
        <v>3</v>
      </c>
      <c r="D16" s="11"/>
      <c r="E16" s="21">
        <f t="shared" ref="E16:U16" si="6">+E23/E$15</f>
        <v>1055.0091743119267</v>
      </c>
      <c r="F16" s="21">
        <f t="shared" si="6"/>
        <v>620.25284450063214</v>
      </c>
      <c r="G16" s="21">
        <f t="shared" si="6"/>
        <v>428.70848708487085</v>
      </c>
      <c r="H16" s="21">
        <f t="shared" si="6"/>
        <v>541.86602870813397</v>
      </c>
      <c r="I16" s="21">
        <f t="shared" si="6"/>
        <v>6050.4021702917516</v>
      </c>
      <c r="J16" s="21">
        <f t="shared" si="6"/>
        <v>6376.9968051118212</v>
      </c>
      <c r="K16" s="21">
        <f t="shared" si="6"/>
        <v>5772.4737566241574</v>
      </c>
      <c r="L16" s="21">
        <f t="shared" si="6"/>
        <v>4814.548941785336</v>
      </c>
      <c r="M16" s="21">
        <f t="shared" si="6"/>
        <v>4835.5341509230402</v>
      </c>
      <c r="N16" s="21">
        <f t="shared" si="6"/>
        <v>5820.2020981909909</v>
      </c>
      <c r="O16" s="21">
        <f t="shared" si="6"/>
        <v>6186.9208989978843</v>
      </c>
      <c r="P16" s="21">
        <f t="shared" si="6"/>
        <v>5438.4185812262067</v>
      </c>
      <c r="Q16" s="21">
        <f t="shared" si="6"/>
        <v>9728.1539289558659</v>
      </c>
      <c r="R16" s="21">
        <f t="shared" si="6"/>
        <v>8305.6759600210407</v>
      </c>
      <c r="S16" s="21">
        <f t="shared" si="6"/>
        <v>7977.4366925064596</v>
      </c>
      <c r="T16" s="21">
        <f t="shared" si="6"/>
        <v>9737.1840242669368</v>
      </c>
      <c r="U16" s="21">
        <f t="shared" si="6"/>
        <v>9487.6983143282105</v>
      </c>
      <c r="V16" s="21">
        <f t="shared" ref="V16:W16" si="7">+V23/V$15</f>
        <v>0</v>
      </c>
      <c r="W16" s="21">
        <f t="shared" si="7"/>
        <v>11836.796949475691</v>
      </c>
      <c r="X16" s="21">
        <f t="shared" ref="X16:Y16" si="8">+X23/X$15</f>
        <v>9474.5981092921375</v>
      </c>
      <c r="Y16" s="21">
        <f t="shared" si="8"/>
        <v>10120.973047684865</v>
      </c>
      <c r="Z16" s="21">
        <f t="shared" ref="Z16:AE16" si="9">+Z23/Z$15</f>
        <v>11927.961299239807</v>
      </c>
      <c r="AA16" s="21">
        <f t="shared" si="9"/>
        <v>13496.864316977655</v>
      </c>
      <c r="AB16" s="21">
        <f t="shared" si="9"/>
        <v>13980.430315595486</v>
      </c>
      <c r="AC16" s="21">
        <f t="shared" si="9"/>
        <v>15486.561313061506</v>
      </c>
      <c r="AD16" s="21">
        <f t="shared" si="9"/>
        <v>13460.983397373877</v>
      </c>
      <c r="AE16" s="21">
        <f t="shared" si="9"/>
        <v>16071.923127272725</v>
      </c>
      <c r="AF16" s="21">
        <f t="shared" ref="AF16:AH16" si="10">+AF23/AF$15</f>
        <v>21477.924873055923</v>
      </c>
      <c r="AG16" s="21">
        <f t="shared" si="10"/>
        <v>0</v>
      </c>
      <c r="AH16" s="21">
        <f t="shared" si="10"/>
        <v>0</v>
      </c>
      <c r="AI16" s="11"/>
      <c r="AJ16" s="22">
        <f t="shared" ref="AJ16:AJ17" si="11">SUM(K16:V16)</f>
        <v>78104.247347826138</v>
      </c>
      <c r="AK16" s="187"/>
      <c r="AL16" s="188"/>
      <c r="AM16" s="186">
        <f>+AL16+AK16+AK17+AL17+AK19</f>
        <v>0</v>
      </c>
    </row>
    <row r="17" spans="1:38" ht="11.5" customHeight="1" x14ac:dyDescent="0.15">
      <c r="A17" s="225"/>
      <c r="B17" s="226"/>
      <c r="C17" s="8" t="s">
        <v>4</v>
      </c>
      <c r="D17" s="11"/>
      <c r="E17" s="21">
        <f t="shared" ref="E17:U17" si="12">+E24/E$15</f>
        <v>138.49541284403671</v>
      </c>
      <c r="F17" s="21">
        <f t="shared" si="12"/>
        <v>64.551201011377998</v>
      </c>
      <c r="G17" s="21">
        <f t="shared" si="12"/>
        <v>40.959409594095938</v>
      </c>
      <c r="H17" s="21">
        <f t="shared" si="12"/>
        <v>57.41626794258373</v>
      </c>
      <c r="I17" s="21">
        <f t="shared" si="12"/>
        <v>913.80705344819376</v>
      </c>
      <c r="J17" s="21">
        <f t="shared" si="12"/>
        <v>1568.6900958466454</v>
      </c>
      <c r="K17" s="21">
        <f t="shared" si="12"/>
        <v>197.30628966550583</v>
      </c>
      <c r="L17" s="21">
        <f t="shared" si="12"/>
        <v>285.1657813495757</v>
      </c>
      <c r="M17" s="21">
        <f t="shared" si="12"/>
        <v>191.99258401633492</v>
      </c>
      <c r="N17" s="21">
        <f t="shared" si="12"/>
        <v>241.19756442953658</v>
      </c>
      <c r="O17" s="21">
        <f t="shared" si="12"/>
        <v>197.03569742031479</v>
      </c>
      <c r="P17" s="21">
        <f t="shared" si="12"/>
        <v>183.92806885007923</v>
      </c>
      <c r="Q17" s="21">
        <f t="shared" si="12"/>
        <v>288.57911733046285</v>
      </c>
      <c r="R17" s="21">
        <f t="shared" si="12"/>
        <v>423.07732772225143</v>
      </c>
      <c r="S17" s="21">
        <f t="shared" si="12"/>
        <v>255.21963824289406</v>
      </c>
      <c r="T17" s="21">
        <f t="shared" si="12"/>
        <v>454.75859453993934</v>
      </c>
      <c r="U17" s="21">
        <f t="shared" si="12"/>
        <v>0</v>
      </c>
      <c r="V17" s="21">
        <f t="shared" ref="V17:W17" si="13">+V24/V$15</f>
        <v>0</v>
      </c>
      <c r="W17" s="21">
        <f t="shared" si="13"/>
        <v>445.56124880838894</v>
      </c>
      <c r="X17" s="21">
        <f t="shared" ref="X17:Y17" si="14">+X24/X$15</f>
        <v>561.18053954346317</v>
      </c>
      <c r="Y17" s="21">
        <f t="shared" si="14"/>
        <v>401.84842202257545</v>
      </c>
      <c r="Z17" s="21">
        <f t="shared" ref="Z17:AA17" si="15">+Z24/Z$15</f>
        <v>494.3119096982262</v>
      </c>
      <c r="AA17" s="21">
        <f t="shared" si="15"/>
        <v>429.83644321584887</v>
      </c>
      <c r="AB17" s="21">
        <f t="shared" ref="AB17:AC17" si="16">+AB24/AB$15</f>
        <v>472.82008753743378</v>
      </c>
      <c r="AC17" s="21">
        <f t="shared" si="16"/>
        <v>407.25905183137525</v>
      </c>
      <c r="AD17" s="21">
        <f t="shared" ref="AD17:AE17" si="17">+AD24/AD$15</f>
        <v>417.97639530062196</v>
      </c>
      <c r="AE17" s="21">
        <f t="shared" si="17"/>
        <v>471.12899240506323</v>
      </c>
      <c r="AF17" s="21">
        <f t="shared" ref="AF17:AH17" si="18">+AF24/AF$15</f>
        <v>967.47409338089744</v>
      </c>
      <c r="AG17" s="21">
        <f t="shared" si="18"/>
        <v>0</v>
      </c>
      <c r="AH17" s="21">
        <f t="shared" si="18"/>
        <v>0</v>
      </c>
      <c r="AI17" s="11"/>
      <c r="AJ17" s="22">
        <f t="shared" si="11"/>
        <v>2718.2606635668944</v>
      </c>
      <c r="AK17" s="187"/>
      <c r="AL17" s="188"/>
    </row>
    <row r="18" spans="1:38" ht="12" customHeight="1" x14ac:dyDescent="0.15">
      <c r="A18" s="225"/>
      <c r="B18" s="226"/>
      <c r="C18" s="8" t="s">
        <v>6</v>
      </c>
      <c r="D18" s="11"/>
      <c r="E18" s="21"/>
      <c r="F18" s="21"/>
      <c r="G18" s="21"/>
      <c r="H18" s="21"/>
      <c r="I18" s="21"/>
      <c r="J18" s="21"/>
      <c r="K18" s="21">
        <f>+IF(K25/K$15&lt;3150,K25/K$15,3150)</f>
        <v>1193.9560092579327</v>
      </c>
      <c r="L18" s="21">
        <f t="shared" ref="L18:S18" si="19">+L25/L$15</f>
        <v>1019.9429446269824</v>
      </c>
      <c r="M18" s="21">
        <f t="shared" si="19"/>
        <v>1005.505346987875</v>
      </c>
      <c r="N18" s="21">
        <f t="shared" si="19"/>
        <v>1212.2799325241056</v>
      </c>
      <c r="O18" s="21">
        <f t="shared" si="19"/>
        <v>1276.79131928364</v>
      </c>
      <c r="P18" s="21">
        <f t="shared" si="19"/>
        <v>1124.4693300152571</v>
      </c>
      <c r="Q18" s="21">
        <f t="shared" si="19"/>
        <v>2003.346609257266</v>
      </c>
      <c r="R18" s="21">
        <f t="shared" si="19"/>
        <v>1745.7506575486586</v>
      </c>
      <c r="S18" s="21">
        <f t="shared" si="19"/>
        <v>1646.5312661498708</v>
      </c>
      <c r="T18" s="21">
        <f>+T25/T$15</f>
        <v>2038.3885237613752</v>
      </c>
      <c r="U18" s="21">
        <f>+U25/U$15</f>
        <v>1897.539662865642</v>
      </c>
      <c r="V18" s="111">
        <f>+V25/V$15</f>
        <v>0</v>
      </c>
      <c r="W18" s="111">
        <v>3434</v>
      </c>
      <c r="X18" s="111">
        <v>3434</v>
      </c>
      <c r="Y18" s="111">
        <v>3435</v>
      </c>
      <c r="Z18" s="111"/>
      <c r="AA18" s="111"/>
      <c r="AB18" s="111"/>
      <c r="AC18" s="111"/>
      <c r="AD18" s="111"/>
      <c r="AE18" s="111"/>
      <c r="AF18" s="111"/>
      <c r="AG18" s="111"/>
      <c r="AH18" s="111"/>
      <c r="AI18" s="11"/>
      <c r="AJ18" s="22"/>
      <c r="AK18" s="187"/>
    </row>
    <row r="19" spans="1:38" ht="12" customHeight="1" x14ac:dyDescent="0.15">
      <c r="A19" s="107"/>
      <c r="B19" s="107"/>
      <c r="C19" s="8" t="s">
        <v>94</v>
      </c>
      <c r="D19" s="1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>
        <v>1667.82</v>
      </c>
      <c r="U19" s="21">
        <v>418.07560000000001</v>
      </c>
      <c r="V19" s="21">
        <v>790.1</v>
      </c>
      <c r="W19" s="21">
        <v>222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11"/>
      <c r="AJ19" s="22"/>
      <c r="AK19" s="187"/>
    </row>
    <row r="20" spans="1:38" x14ac:dyDescent="0.15">
      <c r="A20" s="11"/>
      <c r="B20" s="11"/>
      <c r="C20" s="23" t="s">
        <v>10</v>
      </c>
      <c r="D20" s="24"/>
      <c r="E20" s="25">
        <f t="shared" ref="E20:J20" si="20">SUM(E16:E17)</f>
        <v>1193.5045871559635</v>
      </c>
      <c r="F20" s="25">
        <f t="shared" si="20"/>
        <v>684.80404551201013</v>
      </c>
      <c r="G20" s="25">
        <f t="shared" si="20"/>
        <v>469.66789667896677</v>
      </c>
      <c r="H20" s="25">
        <f t="shared" si="20"/>
        <v>599.28229665071774</v>
      </c>
      <c r="I20" s="25">
        <f t="shared" si="20"/>
        <v>6964.2092237399456</v>
      </c>
      <c r="J20" s="25">
        <f t="shared" si="20"/>
        <v>7945.6869009584661</v>
      </c>
      <c r="K20" s="25">
        <f>SUM(K16:K18)</f>
        <v>7163.7360555475952</v>
      </c>
      <c r="L20" s="25">
        <f t="shared" ref="L20:S20" si="21">SUM(L16:L18)</f>
        <v>6119.6576677618941</v>
      </c>
      <c r="M20" s="25">
        <f t="shared" si="21"/>
        <v>6033.0320819272501</v>
      </c>
      <c r="N20" s="25">
        <f t="shared" si="21"/>
        <v>7273.6795951446329</v>
      </c>
      <c r="O20" s="25">
        <f t="shared" si="21"/>
        <v>7660.7479157018388</v>
      </c>
      <c r="P20" s="25">
        <f t="shared" si="21"/>
        <v>6746.8159800915437</v>
      </c>
      <c r="Q20" s="25">
        <f t="shared" si="21"/>
        <v>12020.079655543594</v>
      </c>
      <c r="R20" s="25">
        <f t="shared" si="21"/>
        <v>10474.50394529195</v>
      </c>
      <c r="S20" s="25">
        <f t="shared" si="21"/>
        <v>9879.1875968992244</v>
      </c>
      <c r="T20" s="25">
        <f>SUM(T16:T19)</f>
        <v>13898.151142568251</v>
      </c>
      <c r="U20" s="25">
        <f>SUM(U16:U19)</f>
        <v>11803.313577193852</v>
      </c>
      <c r="V20" s="25">
        <f>SUM(V16:V19)</f>
        <v>790.1</v>
      </c>
      <c r="W20" s="25">
        <f t="shared" ref="W20:AB20" si="22">+W16+W17</f>
        <v>12282.358198284081</v>
      </c>
      <c r="X20" s="25">
        <f t="shared" si="22"/>
        <v>10035.778648835601</v>
      </c>
      <c r="Y20" s="25">
        <f t="shared" si="22"/>
        <v>10522.82146970744</v>
      </c>
      <c r="Z20" s="25">
        <f t="shared" si="22"/>
        <v>12422.273208938033</v>
      </c>
      <c r="AA20" s="25">
        <f t="shared" si="22"/>
        <v>13926.700760193504</v>
      </c>
      <c r="AB20" s="25">
        <f t="shared" si="22"/>
        <v>14453.250403132919</v>
      </c>
      <c r="AC20" s="25">
        <f t="shared" ref="AC20:AD20" si="23">+AC16+AC17</f>
        <v>15893.820364892881</v>
      </c>
      <c r="AD20" s="25">
        <f t="shared" si="23"/>
        <v>13878.959792674499</v>
      </c>
      <c r="AE20" s="25">
        <f t="shared" ref="AE20:AH20" si="24">+AE16+AE17</f>
        <v>16543.052119677788</v>
      </c>
      <c r="AF20" s="25">
        <f t="shared" si="24"/>
        <v>22445.39896643682</v>
      </c>
      <c r="AG20" s="25">
        <f t="shared" si="24"/>
        <v>0</v>
      </c>
      <c r="AH20" s="25">
        <f t="shared" si="24"/>
        <v>0</v>
      </c>
      <c r="AI20" s="11"/>
      <c r="AJ20" s="26">
        <f>SUM(K20:V20)</f>
        <v>99863.00521367164</v>
      </c>
    </row>
    <row r="21" spans="1:38" x14ac:dyDescent="0.15"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8" x14ac:dyDescent="0.1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05"/>
      <c r="L22" s="105"/>
      <c r="M22" s="105"/>
      <c r="N22" s="105"/>
      <c r="O22" s="105"/>
      <c r="P22" s="105"/>
      <c r="Q22" s="105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</row>
    <row r="23" spans="1:38" ht="11.5" customHeight="1" x14ac:dyDescent="0.15">
      <c r="A23" s="223" t="s">
        <v>11</v>
      </c>
      <c r="B23" s="224"/>
      <c r="C23" s="8" t="s">
        <v>3</v>
      </c>
      <c r="D23" s="11"/>
      <c r="E23" s="21">
        <f t="shared" ref="E23:U23" si="25">+E6*E10</f>
        <v>574980</v>
      </c>
      <c r="F23" s="21">
        <f t="shared" si="25"/>
        <v>490620</v>
      </c>
      <c r="G23" s="21">
        <f t="shared" si="25"/>
        <v>348540</v>
      </c>
      <c r="H23" s="21">
        <f t="shared" si="25"/>
        <v>453000</v>
      </c>
      <c r="I23" s="21">
        <f t="shared" si="25"/>
        <v>5085000</v>
      </c>
      <c r="J23" s="21">
        <f t="shared" si="25"/>
        <v>5988000</v>
      </c>
      <c r="K23" s="21">
        <f>+K6*K10</f>
        <v>5151615</v>
      </c>
      <c r="L23" s="21">
        <f>+L6*L10</f>
        <v>4573695</v>
      </c>
      <c r="M23" s="21">
        <f t="shared" si="25"/>
        <v>4889745</v>
      </c>
      <c r="N23" s="21">
        <f t="shared" si="25"/>
        <v>6264840</v>
      </c>
      <c r="O23" s="21">
        <f t="shared" si="25"/>
        <v>7088864</v>
      </c>
      <c r="P23" s="21">
        <f t="shared" si="25"/>
        <v>7342844</v>
      </c>
      <c r="Q23" s="21">
        <f t="shared" si="25"/>
        <v>9037455</v>
      </c>
      <c r="R23" s="21">
        <f t="shared" si="25"/>
        <v>7894545</v>
      </c>
      <c r="S23" s="21">
        <f t="shared" si="25"/>
        <v>7718170</v>
      </c>
      <c r="T23" s="21">
        <f t="shared" si="25"/>
        <v>9630075</v>
      </c>
      <c r="U23" s="21">
        <f t="shared" si="25"/>
        <v>9568343.75</v>
      </c>
      <c r="V23" s="21">
        <f t="shared" ref="V23:AA23" si="26">+V6*V10</f>
        <v>0</v>
      </c>
      <c r="W23" s="21">
        <f t="shared" si="26"/>
        <v>12416800</v>
      </c>
      <c r="X23" s="21">
        <f t="shared" si="26"/>
        <v>10272833</v>
      </c>
      <c r="Y23" s="21">
        <f>+Y6*Y10</f>
        <v>10983786</v>
      </c>
      <c r="Z23" s="21">
        <f t="shared" si="26"/>
        <v>12944820</v>
      </c>
      <c r="AA23" s="21">
        <f t="shared" si="26"/>
        <v>14647472</v>
      </c>
      <c r="AB23" s="21">
        <f t="shared" ref="AB23:AC23" si="27">+AB6*AB10</f>
        <v>15172262</v>
      </c>
      <c r="AC23" s="21">
        <f t="shared" si="27"/>
        <v>16806790.664999999</v>
      </c>
      <c r="AD23" s="21">
        <f t="shared" ref="AD23:AE23" si="28">+AD6*AD10</f>
        <v>14608532.231999999</v>
      </c>
      <c r="AE23" s="21">
        <f t="shared" si="28"/>
        <v>17458126.496999998</v>
      </c>
      <c r="AF23" s="21">
        <f t="shared" ref="AF23:AH23" si="29">+AF6*AF10</f>
        <v>23330395.893356998</v>
      </c>
      <c r="AG23" s="21">
        <f t="shared" si="29"/>
        <v>0</v>
      </c>
      <c r="AH23" s="21">
        <f t="shared" si="29"/>
        <v>0</v>
      </c>
      <c r="AI23" s="105"/>
      <c r="AJ23" s="22">
        <f>SUM(K23:V23)</f>
        <v>79160191.75</v>
      </c>
    </row>
    <row r="24" spans="1:38" ht="11.5" customHeight="1" x14ac:dyDescent="0.15">
      <c r="A24" s="225"/>
      <c r="B24" s="226"/>
      <c r="C24" s="8" t="s">
        <v>4</v>
      </c>
      <c r="D24" s="11"/>
      <c r="E24" s="21">
        <f t="shared" ref="E24:V24" si="30">+E7*E10</f>
        <v>75480</v>
      </c>
      <c r="F24" s="21">
        <f t="shared" si="30"/>
        <v>51060</v>
      </c>
      <c r="G24" s="21">
        <f t="shared" si="30"/>
        <v>33300</v>
      </c>
      <c r="H24" s="21">
        <f t="shared" si="30"/>
        <v>48000</v>
      </c>
      <c r="I24" s="21">
        <f t="shared" si="30"/>
        <v>768000</v>
      </c>
      <c r="J24" s="21">
        <f t="shared" si="30"/>
        <v>1473000</v>
      </c>
      <c r="K24" s="21">
        <f>+K7*K10</f>
        <v>176085</v>
      </c>
      <c r="L24" s="21">
        <f t="shared" si="30"/>
        <v>270900</v>
      </c>
      <c r="M24" s="21">
        <f t="shared" si="30"/>
        <v>194145</v>
      </c>
      <c r="N24" s="21">
        <f t="shared" si="30"/>
        <v>259624</v>
      </c>
      <c r="O24" s="21">
        <f t="shared" si="30"/>
        <v>225760</v>
      </c>
      <c r="P24" s="21">
        <f t="shared" si="30"/>
        <v>248336</v>
      </c>
      <c r="Q24" s="21">
        <f t="shared" si="30"/>
        <v>268090</v>
      </c>
      <c r="R24" s="21">
        <f>+R7*R10</f>
        <v>402135</v>
      </c>
      <c r="S24" s="21">
        <f>+S7*S10</f>
        <v>246925</v>
      </c>
      <c r="T24" s="21">
        <f t="shared" si="30"/>
        <v>449756.25</v>
      </c>
      <c r="U24" s="21">
        <f t="shared" si="30"/>
        <v>0</v>
      </c>
      <c r="V24" s="21">
        <f t="shared" si="30"/>
        <v>0</v>
      </c>
      <c r="W24" s="21">
        <f t="shared" ref="W24:X24" si="31">+W7*W10</f>
        <v>467393.75</v>
      </c>
      <c r="X24" s="21">
        <f t="shared" si="31"/>
        <v>608460</v>
      </c>
      <c r="Y24" s="21">
        <f t="shared" ref="Y24:AA24" si="32">+Y7*Y10</f>
        <v>436106</v>
      </c>
      <c r="Z24" s="21">
        <f t="shared" si="32"/>
        <v>536452</v>
      </c>
      <c r="AA24" s="21">
        <f t="shared" si="32"/>
        <v>466480</v>
      </c>
      <c r="AB24" s="21">
        <f t="shared" ref="AB24:AC24" si="33">+AB7*AB10</f>
        <v>513128</v>
      </c>
      <c r="AC24" s="21">
        <f t="shared" si="33"/>
        <v>441977.886</v>
      </c>
      <c r="AD24" s="21">
        <f t="shared" ref="AD24:AE24" si="34">+AD7*AD10</f>
        <v>453608.88299999997</v>
      </c>
      <c r="AE24" s="21">
        <f t="shared" si="34"/>
        <v>511763.86799999996</v>
      </c>
      <c r="AF24" s="21">
        <f t="shared" ref="AF24:AH24" si="35">+AF7*AF10</f>
        <v>1050918.7339349999</v>
      </c>
      <c r="AG24" s="21">
        <f t="shared" si="35"/>
        <v>0</v>
      </c>
      <c r="AH24" s="21">
        <f t="shared" si="35"/>
        <v>0</v>
      </c>
      <c r="AI24" s="189"/>
      <c r="AJ24" s="22">
        <f>SUM(K24:V24)</f>
        <v>2741756.25</v>
      </c>
    </row>
    <row r="25" spans="1:38" ht="12" customHeight="1" x14ac:dyDescent="0.15">
      <c r="A25" s="225"/>
      <c r="B25" s="226"/>
      <c r="C25" s="8" t="s">
        <v>6</v>
      </c>
      <c r="D25" s="28">
        <v>0.2</v>
      </c>
      <c r="E25" s="21"/>
      <c r="F25" s="21"/>
      <c r="G25" s="21"/>
      <c r="H25" s="21"/>
      <c r="I25" s="21"/>
      <c r="J25" s="21"/>
      <c r="K25" s="21">
        <f>+IF(SUM(K23:K24)*$D$25&gt;3150*K15,3150*K15,SUM(K23:K24)*$D$25)</f>
        <v>1065540</v>
      </c>
      <c r="L25" s="21">
        <f t="shared" ref="L25:S25" si="36">+IF(SUM(L23:L24)*$D$25&gt;3150*L15,3150*L15,SUM(L23:L24)*$D$25)</f>
        <v>968919</v>
      </c>
      <c r="M25" s="21">
        <f t="shared" si="36"/>
        <v>1016778</v>
      </c>
      <c r="N25" s="21">
        <f t="shared" si="36"/>
        <v>1304892.8</v>
      </c>
      <c r="O25" s="21">
        <f t="shared" si="36"/>
        <v>1462924.8</v>
      </c>
      <c r="P25" s="21">
        <f t="shared" si="36"/>
        <v>1518236</v>
      </c>
      <c r="Q25" s="21">
        <f t="shared" si="36"/>
        <v>1861109</v>
      </c>
      <c r="R25" s="21">
        <f>+IF(SUM(R23:R24)*$D$25&gt;3150*R15,3150*R15,SUM(R23:R24)*$D$25)</f>
        <v>1659336</v>
      </c>
      <c r="S25" s="21">
        <f t="shared" si="36"/>
        <v>1593019</v>
      </c>
      <c r="T25" s="21">
        <f>+IF(SUM(T23:T24)*$D$25&gt;3150*T15,3150*T15,SUM(T23:T24)*$D$25)</f>
        <v>2015966.25</v>
      </c>
      <c r="U25" s="21">
        <f>+IF(SUM(U23:U24)*$D$25&gt;3150*U15,3150*U15,SUM(U23:U24)*$D$25)</f>
        <v>1913668.75</v>
      </c>
      <c r="V25" s="21">
        <f>+IF(SUM(V23:V24)*$D$25&gt;3150*V15,3150*V15,SUM(V23:V24)*$D$25)</f>
        <v>0</v>
      </c>
      <c r="W25" s="21">
        <f>+W18*W15</f>
        <v>3602266</v>
      </c>
      <c r="X25" s="21">
        <f>+X18*X15</f>
        <v>3723314.5</v>
      </c>
      <c r="Y25" s="21">
        <f>+Y18*Y15</f>
        <v>3727833.75</v>
      </c>
      <c r="Z25" s="21">
        <f>+Z18*Z15</f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11"/>
      <c r="AJ25" s="22">
        <f>SUM(K25:V25)</f>
        <v>16380389.6</v>
      </c>
    </row>
    <row r="26" spans="1:38" ht="12" customHeight="1" x14ac:dyDescent="0.15">
      <c r="A26" s="107"/>
      <c r="B26" s="107"/>
      <c r="C26" s="8" t="s">
        <v>94</v>
      </c>
      <c r="D26" s="28"/>
      <c r="E26" s="21"/>
      <c r="F26" s="21"/>
      <c r="G26" s="21"/>
      <c r="H26" s="21"/>
      <c r="I26" s="21"/>
      <c r="J26" s="21"/>
      <c r="K26" s="21">
        <f>+K19*K15</f>
        <v>0</v>
      </c>
      <c r="L26" s="21">
        <f t="shared" ref="L26:V26" si="37">+L19*L15</f>
        <v>0</v>
      </c>
      <c r="M26" s="21">
        <f t="shared" si="37"/>
        <v>0</v>
      </c>
      <c r="N26" s="21">
        <f t="shared" si="37"/>
        <v>0</v>
      </c>
      <c r="O26" s="21">
        <f t="shared" si="37"/>
        <v>0</v>
      </c>
      <c r="P26" s="21">
        <f t="shared" si="37"/>
        <v>0</v>
      </c>
      <c r="Q26" s="21">
        <f t="shared" si="37"/>
        <v>0</v>
      </c>
      <c r="R26" s="21">
        <f t="shared" si="37"/>
        <v>0</v>
      </c>
      <c r="S26" s="21">
        <f t="shared" si="37"/>
        <v>0</v>
      </c>
      <c r="T26" s="21">
        <f t="shared" si="37"/>
        <v>1649473.98</v>
      </c>
      <c r="U26" s="21">
        <f t="shared" si="37"/>
        <v>421629.2426</v>
      </c>
      <c r="V26" s="21">
        <f t="shared" si="37"/>
        <v>813012.9</v>
      </c>
      <c r="W26" s="21">
        <f t="shared" ref="W26:X26" si="38">+W19*W15</f>
        <v>232878</v>
      </c>
      <c r="X26" s="21">
        <f t="shared" si="38"/>
        <v>0</v>
      </c>
      <c r="Y26" s="21">
        <f t="shared" ref="Y26:Z26" si="39">+Y19*Y15</f>
        <v>0</v>
      </c>
      <c r="Z26" s="21">
        <f t="shared" si="39"/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11"/>
      <c r="AJ26" s="22"/>
    </row>
    <row r="27" spans="1:38" x14ac:dyDescent="0.15">
      <c r="A27" s="11"/>
      <c r="B27" s="11"/>
      <c r="C27" s="23" t="s">
        <v>12</v>
      </c>
      <c r="D27" s="24"/>
      <c r="E27" s="25">
        <f t="shared" ref="E27:J27" si="40">SUM(E23:E24)</f>
        <v>650460</v>
      </c>
      <c r="F27" s="25">
        <f t="shared" si="40"/>
        <v>541680</v>
      </c>
      <c r="G27" s="25">
        <f t="shared" si="40"/>
        <v>381840</v>
      </c>
      <c r="H27" s="25">
        <f t="shared" si="40"/>
        <v>501000</v>
      </c>
      <c r="I27" s="25">
        <f t="shared" si="40"/>
        <v>5853000</v>
      </c>
      <c r="J27" s="25">
        <f t="shared" si="40"/>
        <v>7461000</v>
      </c>
      <c r="K27" s="25">
        <f t="shared" ref="K27:S27" si="41">SUM(K23:K26)</f>
        <v>6393240</v>
      </c>
      <c r="L27" s="25">
        <f t="shared" si="41"/>
        <v>5813514</v>
      </c>
      <c r="M27" s="25">
        <f t="shared" si="41"/>
        <v>6100668</v>
      </c>
      <c r="N27" s="25">
        <f t="shared" si="41"/>
        <v>7829356.7999999998</v>
      </c>
      <c r="O27" s="25">
        <f t="shared" si="41"/>
        <v>8777548.8000000007</v>
      </c>
      <c r="P27" s="25">
        <f t="shared" si="41"/>
        <v>9109416</v>
      </c>
      <c r="Q27" s="25">
        <f t="shared" si="41"/>
        <v>11166654</v>
      </c>
      <c r="R27" s="25">
        <f t="shared" si="41"/>
        <v>9956016</v>
      </c>
      <c r="S27" s="25">
        <f t="shared" si="41"/>
        <v>9558114</v>
      </c>
      <c r="T27" s="25">
        <f t="shared" ref="T27:AA27" si="42">SUM(T23:T26)</f>
        <v>13745271.48</v>
      </c>
      <c r="U27" s="25">
        <f t="shared" si="42"/>
        <v>11903641.7426</v>
      </c>
      <c r="V27" s="25">
        <f t="shared" si="42"/>
        <v>813012.9</v>
      </c>
      <c r="W27" s="25">
        <f t="shared" si="42"/>
        <v>16719337.75</v>
      </c>
      <c r="X27" s="25">
        <f t="shared" si="42"/>
        <v>14604607.5</v>
      </c>
      <c r="Y27" s="25">
        <f t="shared" si="42"/>
        <v>15147725.75</v>
      </c>
      <c r="Z27" s="25">
        <f t="shared" si="42"/>
        <v>13481272</v>
      </c>
      <c r="AA27" s="25">
        <f t="shared" si="42"/>
        <v>15113952</v>
      </c>
      <c r="AB27" s="25">
        <f t="shared" ref="AB27:AC27" si="43">SUM(AB23:AB26)</f>
        <v>15685390</v>
      </c>
      <c r="AC27" s="25">
        <f t="shared" si="43"/>
        <v>17248768.550999999</v>
      </c>
      <c r="AD27" s="25">
        <f t="shared" ref="AD27:AE27" si="44">SUM(AD23:AD26)</f>
        <v>15062141.114999998</v>
      </c>
      <c r="AE27" s="25">
        <f t="shared" si="44"/>
        <v>17969890.364999998</v>
      </c>
      <c r="AF27" s="25">
        <f t="shared" ref="AF27:AH27" si="45">SUM(AF23:AF26)</f>
        <v>24381314.627291996</v>
      </c>
      <c r="AG27" s="25">
        <f t="shared" si="45"/>
        <v>0</v>
      </c>
      <c r="AH27" s="25">
        <f t="shared" si="45"/>
        <v>0</v>
      </c>
      <c r="AI27" s="105"/>
      <c r="AJ27" s="26">
        <f>SUM(K27:V27)</f>
        <v>101166453.7226</v>
      </c>
    </row>
    <row r="28" spans="1:38" x14ac:dyDescent="0.15"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185"/>
    </row>
    <row r="30" spans="1:38" x14ac:dyDescent="0.15">
      <c r="E30" s="108">
        <f t="shared" ref="E30:O30" si="46">+E23+E24</f>
        <v>650460</v>
      </c>
      <c r="F30" s="108">
        <f t="shared" si="46"/>
        <v>541680</v>
      </c>
      <c r="G30" s="108">
        <f t="shared" si="46"/>
        <v>381840</v>
      </c>
      <c r="H30" s="108">
        <f t="shared" si="46"/>
        <v>501000</v>
      </c>
      <c r="I30" s="108">
        <f t="shared" si="46"/>
        <v>5853000</v>
      </c>
      <c r="J30" s="108">
        <f t="shared" si="46"/>
        <v>7461000</v>
      </c>
      <c r="K30" s="108">
        <f t="shared" si="46"/>
        <v>5327700</v>
      </c>
      <c r="L30" s="108">
        <f t="shared" si="46"/>
        <v>4844595</v>
      </c>
      <c r="M30" s="108">
        <f t="shared" si="46"/>
        <v>5083890</v>
      </c>
      <c r="N30" s="108">
        <f t="shared" si="46"/>
        <v>6524464</v>
      </c>
      <c r="O30" s="108">
        <f t="shared" si="46"/>
        <v>7314624</v>
      </c>
      <c r="P30" s="108">
        <f>+P23+P24</f>
        <v>7591180</v>
      </c>
      <c r="Q30" s="108">
        <f t="shared" ref="Q30:T30" si="47">+Q23+Q24</f>
        <v>9305545</v>
      </c>
      <c r="R30" s="108">
        <f t="shared" si="47"/>
        <v>8296680</v>
      </c>
      <c r="S30" s="108">
        <f t="shared" si="47"/>
        <v>7965095</v>
      </c>
      <c r="T30" s="108">
        <f t="shared" si="47"/>
        <v>10079831.25</v>
      </c>
      <c r="U30" s="108">
        <f>+U23+U24</f>
        <v>9568343.75</v>
      </c>
      <c r="V30" s="108">
        <f t="shared" ref="V30:W30" si="48">+V23+V24</f>
        <v>0</v>
      </c>
      <c r="W30" s="108">
        <f t="shared" si="48"/>
        <v>12884193.75</v>
      </c>
      <c r="X30" s="108">
        <f t="shared" ref="X30:Y30" si="49">+X23+X24</f>
        <v>10881293</v>
      </c>
      <c r="Y30" s="108">
        <f t="shared" si="49"/>
        <v>11419892</v>
      </c>
      <c r="Z30" s="108">
        <f t="shared" ref="Z30:AA30" si="50">+Z23+Z24</f>
        <v>13481272</v>
      </c>
      <c r="AA30" s="108">
        <f t="shared" si="50"/>
        <v>15113952</v>
      </c>
      <c r="AB30" s="108">
        <f t="shared" ref="AB30:AC30" si="51">+AB23+AB24</f>
        <v>15685390</v>
      </c>
      <c r="AC30" s="108">
        <f t="shared" si="51"/>
        <v>17248768.550999999</v>
      </c>
      <c r="AD30" s="108">
        <f t="shared" ref="AD30:AE30" si="52">+AD23+AD24</f>
        <v>15062141.114999998</v>
      </c>
      <c r="AE30" s="108">
        <f t="shared" si="52"/>
        <v>17969890.364999998</v>
      </c>
      <c r="AF30" s="108">
        <f t="shared" ref="AF30:AH30" si="53">+AF23+AF24</f>
        <v>24381314.627291996</v>
      </c>
      <c r="AG30" s="108">
        <f t="shared" si="53"/>
        <v>0</v>
      </c>
      <c r="AH30" s="108">
        <f t="shared" si="53"/>
        <v>0</v>
      </c>
      <c r="AI30" s="185"/>
    </row>
    <row r="31" spans="1:38" x14ac:dyDescent="0.15">
      <c r="E31" s="109">
        <f>+E25</f>
        <v>0</v>
      </c>
      <c r="F31" s="109">
        <f t="shared" ref="F31:O31" si="54">+F25</f>
        <v>0</v>
      </c>
      <c r="G31" s="109">
        <f t="shared" si="54"/>
        <v>0</v>
      </c>
      <c r="H31" s="109">
        <f t="shared" si="54"/>
        <v>0</v>
      </c>
      <c r="I31" s="109">
        <f t="shared" si="54"/>
        <v>0</v>
      </c>
      <c r="J31" s="109">
        <f t="shared" si="54"/>
        <v>0</v>
      </c>
      <c r="K31" s="109">
        <f t="shared" si="54"/>
        <v>1065540</v>
      </c>
      <c r="L31" s="109">
        <f t="shared" si="54"/>
        <v>968919</v>
      </c>
      <c r="M31" s="109">
        <f t="shared" si="54"/>
        <v>1016778</v>
      </c>
      <c r="N31" s="109">
        <f t="shared" si="54"/>
        <v>1304892.8</v>
      </c>
      <c r="O31" s="109">
        <f t="shared" si="54"/>
        <v>1462924.8</v>
      </c>
      <c r="P31" s="109">
        <f>+P25</f>
        <v>1518236</v>
      </c>
      <c r="Q31" s="109">
        <f t="shared" ref="Q31:T31" si="55">+Q25</f>
        <v>1861109</v>
      </c>
      <c r="R31" s="109">
        <f t="shared" si="55"/>
        <v>1659336</v>
      </c>
      <c r="S31" s="109">
        <f t="shared" si="55"/>
        <v>1593019</v>
      </c>
      <c r="T31" s="109">
        <f t="shared" si="55"/>
        <v>2015966.25</v>
      </c>
      <c r="U31" s="109">
        <f>+U25</f>
        <v>1913668.75</v>
      </c>
      <c r="V31" s="109">
        <f t="shared" ref="V31:W31" si="56">+V25</f>
        <v>0</v>
      </c>
      <c r="W31" s="109">
        <f t="shared" si="56"/>
        <v>3602266</v>
      </c>
      <c r="X31" s="109">
        <f t="shared" ref="X31:Y31" si="57">+X25</f>
        <v>3723314.5</v>
      </c>
      <c r="Y31" s="109">
        <f t="shared" si="57"/>
        <v>3727833.75</v>
      </c>
      <c r="Z31" s="109">
        <f t="shared" ref="Z31:AA31" si="58">+Z25</f>
        <v>0</v>
      </c>
      <c r="AA31" s="109">
        <f t="shared" si="58"/>
        <v>0</v>
      </c>
      <c r="AB31" s="109">
        <f t="shared" ref="AB31:AC31" si="59">+AB25</f>
        <v>0</v>
      </c>
      <c r="AC31" s="109">
        <f t="shared" si="59"/>
        <v>0</v>
      </c>
      <c r="AD31" s="109">
        <f t="shared" ref="AD31:AE31" si="60">+AD25</f>
        <v>0</v>
      </c>
      <c r="AE31" s="109">
        <f t="shared" si="60"/>
        <v>0</v>
      </c>
      <c r="AF31" s="109">
        <f t="shared" ref="AF31:AH31" si="61">+AF25</f>
        <v>0</v>
      </c>
      <c r="AG31" s="109">
        <f t="shared" si="61"/>
        <v>0</v>
      </c>
      <c r="AH31" s="109">
        <f t="shared" si="61"/>
        <v>0</v>
      </c>
    </row>
    <row r="32" spans="1:38" x14ac:dyDescent="0.15">
      <c r="E32" s="110">
        <f t="shared" ref="E32:O32" si="62">+E30+E31</f>
        <v>650460</v>
      </c>
      <c r="F32" s="110">
        <f t="shared" si="62"/>
        <v>541680</v>
      </c>
      <c r="G32" s="110">
        <f t="shared" si="62"/>
        <v>381840</v>
      </c>
      <c r="H32" s="110">
        <f t="shared" si="62"/>
        <v>501000</v>
      </c>
      <c r="I32" s="110">
        <f t="shared" si="62"/>
        <v>5853000</v>
      </c>
      <c r="J32" s="110">
        <f t="shared" si="62"/>
        <v>7461000</v>
      </c>
      <c r="K32" s="110">
        <f t="shared" si="62"/>
        <v>6393240</v>
      </c>
      <c r="L32" s="110">
        <f t="shared" si="62"/>
        <v>5813514</v>
      </c>
      <c r="M32" s="110">
        <f t="shared" si="62"/>
        <v>6100668</v>
      </c>
      <c r="N32" s="110">
        <f t="shared" si="62"/>
        <v>7829356.7999999998</v>
      </c>
      <c r="O32" s="110">
        <f t="shared" si="62"/>
        <v>8777548.8000000007</v>
      </c>
      <c r="P32" s="110">
        <f t="shared" ref="P32:S32" si="63">+P30+P31</f>
        <v>9109416</v>
      </c>
      <c r="Q32" s="110">
        <f t="shared" si="63"/>
        <v>11166654</v>
      </c>
      <c r="R32" s="110">
        <f t="shared" si="63"/>
        <v>9956016</v>
      </c>
      <c r="S32" s="110">
        <f t="shared" si="63"/>
        <v>9558114</v>
      </c>
      <c r="T32" s="110">
        <f t="shared" ref="T32:Z32" si="64">+T30+T31</f>
        <v>12095797.5</v>
      </c>
      <c r="U32" s="110">
        <f t="shared" si="64"/>
        <v>11482012.5</v>
      </c>
      <c r="V32" s="110">
        <f t="shared" si="64"/>
        <v>0</v>
      </c>
      <c r="W32" s="110">
        <f t="shared" si="64"/>
        <v>16486459.75</v>
      </c>
      <c r="X32" s="110">
        <f t="shared" si="64"/>
        <v>14604607.5</v>
      </c>
      <c r="Y32" s="110">
        <f t="shared" si="64"/>
        <v>15147725.75</v>
      </c>
      <c r="Z32" s="110">
        <f t="shared" si="64"/>
        <v>13481272</v>
      </c>
      <c r="AA32" s="110">
        <f t="shared" ref="AA32:AB32" si="65">+AA30+AA31</f>
        <v>15113952</v>
      </c>
      <c r="AB32" s="110">
        <f t="shared" si="65"/>
        <v>15685390</v>
      </c>
      <c r="AC32" s="110">
        <f t="shared" ref="AC32:AD32" si="66">+AC30+AC31</f>
        <v>17248768.550999999</v>
      </c>
      <c r="AD32" s="110">
        <f t="shared" si="66"/>
        <v>15062141.114999998</v>
      </c>
      <c r="AE32" s="110">
        <f t="shared" ref="AE32:AH32" si="67">+AE30+AE31</f>
        <v>17969890.364999998</v>
      </c>
      <c r="AF32" s="110">
        <f t="shared" si="67"/>
        <v>24381314.627291996</v>
      </c>
      <c r="AG32" s="110">
        <f t="shared" si="67"/>
        <v>0</v>
      </c>
      <c r="AH32" s="110">
        <f t="shared" si="67"/>
        <v>0</v>
      </c>
      <c r="AI32" s="27"/>
    </row>
    <row r="33" spans="11:35" x14ac:dyDescent="0.15">
      <c r="O33" s="30"/>
      <c r="P33" s="32"/>
      <c r="Q33" s="31"/>
    </row>
    <row r="34" spans="11:35" x14ac:dyDescent="0.15">
      <c r="O34" s="30"/>
      <c r="P34" s="32"/>
      <c r="Q34" s="31"/>
      <c r="AI34" s="27"/>
    </row>
    <row r="35" spans="11:35" x14ac:dyDescent="0.15">
      <c r="O35" s="30"/>
      <c r="P35" s="32"/>
      <c r="Q35" s="31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5"/>
    </row>
    <row r="36" spans="11:35" x14ac:dyDescent="0.15">
      <c r="O36" s="30"/>
      <c r="P36" s="32"/>
      <c r="Q36" s="31"/>
    </row>
    <row r="37" spans="11:35" x14ac:dyDescent="0.15">
      <c r="O37" s="30"/>
      <c r="P37" s="32"/>
      <c r="Q37" s="31"/>
      <c r="AI37" s="184"/>
    </row>
    <row r="38" spans="11:35" x14ac:dyDescent="0.15">
      <c r="K38" s="113"/>
      <c r="L38" s="113"/>
      <c r="O38" s="30"/>
      <c r="P38" s="112"/>
      <c r="Q38" s="31"/>
      <c r="U38" s="113"/>
    </row>
    <row r="39" spans="11:35" x14ac:dyDescent="0.15">
      <c r="O39" s="30"/>
      <c r="P39" s="32"/>
      <c r="Q39" s="31"/>
    </row>
  </sheetData>
  <mergeCells count="35">
    <mergeCell ref="A23:B25"/>
    <mergeCell ref="R10:R11"/>
    <mergeCell ref="S10:S11"/>
    <mergeCell ref="T10:T11"/>
    <mergeCell ref="U10:U11"/>
    <mergeCell ref="A16:B18"/>
    <mergeCell ref="L10:L11"/>
    <mergeCell ref="M10:M11"/>
    <mergeCell ref="N10:N11"/>
    <mergeCell ref="O10:O11"/>
    <mergeCell ref="Y10:Y11"/>
    <mergeCell ref="D1:V3"/>
    <mergeCell ref="A6:B7"/>
    <mergeCell ref="A10:B11"/>
    <mergeCell ref="E10:E11"/>
    <mergeCell ref="F10:F11"/>
    <mergeCell ref="G10:G11"/>
    <mergeCell ref="H10:H11"/>
    <mergeCell ref="I10:I11"/>
    <mergeCell ref="J10:J11"/>
    <mergeCell ref="K10:K11"/>
    <mergeCell ref="V10:V11"/>
    <mergeCell ref="P10:P11"/>
    <mergeCell ref="Q10:Q11"/>
    <mergeCell ref="X10:X11"/>
    <mergeCell ref="W10:W11"/>
    <mergeCell ref="AE10:AE11"/>
    <mergeCell ref="AF10:AF11"/>
    <mergeCell ref="AG10:AG11"/>
    <mergeCell ref="AH10:AH11"/>
    <mergeCell ref="Z10:Z11"/>
    <mergeCell ref="AD10:AD11"/>
    <mergeCell ref="AC10:AC11"/>
    <mergeCell ref="AB10:AB11"/>
    <mergeCell ref="AA10:AA11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705B3-6AB5-FA41-9512-739D48F29978}">
  <sheetPr>
    <tabColor theme="4" tint="0.79998168889431442"/>
  </sheetPr>
  <dimension ref="A1:Y39"/>
  <sheetViews>
    <sheetView showGridLines="0" zoomScale="125" zoomScaleNormal="85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K6" sqref="K6:W7"/>
    </sheetView>
  </sheetViews>
  <sheetFormatPr baseColWidth="10" defaultColWidth="11.5" defaultRowHeight="12" outlineLevelCol="1" x14ac:dyDescent="0.15"/>
  <cols>
    <col min="1" max="1" width="11.5" style="1"/>
    <col min="2" max="2" width="10.6640625" style="1" bestFit="1" customWidth="1"/>
    <col min="3" max="3" width="31.33203125" style="1" bestFit="1" customWidth="1"/>
    <col min="4" max="4" width="5.33203125" style="1" bestFit="1" customWidth="1"/>
    <col min="5" max="8" width="12.1640625" style="1" hidden="1" customWidth="1" outlineLevel="1"/>
    <col min="9" max="9" width="12.83203125" style="1" hidden="1" customWidth="1" outlineLevel="1"/>
    <col min="10" max="10" width="12.1640625" style="1" hidden="1" customWidth="1" outlineLevel="1"/>
    <col min="11" max="11" width="14.6640625" style="1" bestFit="1" customWidth="1" collapsed="1"/>
    <col min="12" max="12" width="12.83203125" style="1" customWidth="1"/>
    <col min="13" max="13" width="12.83203125" style="1" bestFit="1" customWidth="1"/>
    <col min="14" max="14" width="13" style="1" bestFit="1" customWidth="1"/>
    <col min="15" max="17" width="12.83203125" style="1" bestFit="1" customWidth="1"/>
    <col min="18" max="18" width="13" style="1" bestFit="1" customWidth="1"/>
    <col min="19" max="20" width="13.33203125" style="1" bestFit="1" customWidth="1"/>
    <col min="21" max="21" width="12.83203125" style="1" customWidth="1"/>
    <col min="22" max="23" width="12.83203125" style="1" bestFit="1" customWidth="1"/>
    <col min="24" max="24" width="14.6640625" style="1" bestFit="1" customWidth="1"/>
    <col min="25" max="25" width="13.33203125" style="1" customWidth="1"/>
    <col min="26" max="16384" width="11.5" style="1"/>
  </cols>
  <sheetData>
    <row r="1" spans="1:25" ht="12" customHeight="1" x14ac:dyDescent="0.15">
      <c r="D1" s="215" t="s">
        <v>0</v>
      </c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114"/>
    </row>
    <row r="2" spans="1:25" ht="12" customHeight="1" x14ac:dyDescent="0.15">
      <c r="C2" s="2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114"/>
    </row>
    <row r="3" spans="1:25" ht="12" customHeight="1" x14ac:dyDescent="0.15">
      <c r="C3" s="2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114"/>
    </row>
    <row r="4" spans="1:25" ht="12" customHeight="1" x14ac:dyDescent="0.15">
      <c r="C4" s="2"/>
    </row>
    <row r="5" spans="1:25" ht="14" x14ac:dyDescent="0.2">
      <c r="A5" s="3"/>
      <c r="B5" s="4" t="s">
        <v>1</v>
      </c>
      <c r="C5" s="5"/>
      <c r="D5" s="3"/>
      <c r="E5" s="6">
        <v>45138</v>
      </c>
      <c r="F5" s="6">
        <v>45169</v>
      </c>
      <c r="G5" s="6">
        <v>45199</v>
      </c>
      <c r="H5" s="6">
        <v>45230</v>
      </c>
      <c r="I5" s="6">
        <v>45260</v>
      </c>
      <c r="J5" s="6">
        <v>45291</v>
      </c>
      <c r="K5" s="6">
        <v>45322</v>
      </c>
      <c r="L5" s="6">
        <v>45351</v>
      </c>
      <c r="M5" s="6">
        <v>45382</v>
      </c>
      <c r="N5" s="6">
        <v>45412</v>
      </c>
      <c r="O5" s="6">
        <v>45443</v>
      </c>
      <c r="P5" s="6">
        <v>45473</v>
      </c>
      <c r="Q5" s="6">
        <v>45504</v>
      </c>
      <c r="R5" s="6">
        <v>45535</v>
      </c>
      <c r="S5" s="6">
        <v>45565</v>
      </c>
      <c r="T5" s="6">
        <v>45596</v>
      </c>
      <c r="U5" s="6">
        <v>45626</v>
      </c>
      <c r="V5" s="6">
        <v>45657</v>
      </c>
      <c r="W5" s="6">
        <v>45657</v>
      </c>
      <c r="X5" s="7"/>
    </row>
    <row r="6" spans="1:25" x14ac:dyDescent="0.15">
      <c r="A6" s="216" t="s">
        <v>2</v>
      </c>
      <c r="B6" s="216"/>
      <c r="C6" s="8" t="s">
        <v>3</v>
      </c>
      <c r="D6" s="9"/>
      <c r="E6" s="10">
        <v>259</v>
      </c>
      <c r="F6" s="10">
        <v>221</v>
      </c>
      <c r="G6" s="10">
        <v>157</v>
      </c>
      <c r="H6" s="10">
        <v>151</v>
      </c>
      <c r="I6" s="10">
        <v>1695</v>
      </c>
      <c r="J6" s="10">
        <v>1996</v>
      </c>
      <c r="K6" s="10">
        <f>+'Indicadores Addiuva'!D17</f>
        <v>1141</v>
      </c>
      <c r="L6" s="10">
        <f>+'Indicadores Addiuva'!E17</f>
        <v>1013</v>
      </c>
      <c r="M6" s="10">
        <f>+'Indicadores Addiuva'!F17</f>
        <v>1083</v>
      </c>
      <c r="N6" s="10">
        <f>+'Indicadores Addiuva'!G17</f>
        <v>1110</v>
      </c>
      <c r="O6" s="10">
        <f>+'Indicadores Addiuva'!H17</f>
        <v>1256</v>
      </c>
      <c r="P6" s="10">
        <f>+'Indicadores Addiuva'!I17</f>
        <v>1301</v>
      </c>
      <c r="Q6" s="10">
        <v>1281</v>
      </c>
      <c r="R6" s="10">
        <v>1119</v>
      </c>
      <c r="S6" s="106">
        <v>1094</v>
      </c>
      <c r="T6" s="106">
        <v>1092</v>
      </c>
      <c r="U6" s="106">
        <v>1085</v>
      </c>
      <c r="V6" s="106">
        <f>+'Indicadores Addiuva'!O17</f>
        <v>0</v>
      </c>
      <c r="W6" s="106">
        <v>1408</v>
      </c>
      <c r="X6" s="19"/>
    </row>
    <row r="7" spans="1:25" x14ac:dyDescent="0.15">
      <c r="A7" s="216"/>
      <c r="B7" s="216"/>
      <c r="C7" s="8" t="s">
        <v>4</v>
      </c>
      <c r="D7" s="12">
        <v>0.09</v>
      </c>
      <c r="E7" s="10">
        <v>34</v>
      </c>
      <c r="F7" s="10">
        <v>23</v>
      </c>
      <c r="G7" s="10">
        <v>15</v>
      </c>
      <c r="H7" s="10">
        <v>16</v>
      </c>
      <c r="I7" s="10">
        <v>256</v>
      </c>
      <c r="J7" s="10">
        <v>491</v>
      </c>
      <c r="K7" s="10">
        <f>+'Indicadores Addiuva'!D27</f>
        <v>39</v>
      </c>
      <c r="L7" s="10">
        <f>+'Indicadores Addiuva'!E27</f>
        <v>60</v>
      </c>
      <c r="M7" s="10">
        <f>+'Indicadores Addiuva'!F27</f>
        <v>43</v>
      </c>
      <c r="N7" s="10">
        <f>+'Indicadores Addiuva'!G27</f>
        <v>46</v>
      </c>
      <c r="O7" s="10">
        <f>+'Indicadores Addiuva'!H27</f>
        <v>40</v>
      </c>
      <c r="P7" s="10">
        <f>+'Indicadores Addiuva'!I27</f>
        <v>44</v>
      </c>
      <c r="Q7" s="10">
        <f>+'Indicadores Addiuva'!J27</f>
        <v>38</v>
      </c>
      <c r="R7" s="10">
        <v>57</v>
      </c>
      <c r="S7" s="106">
        <v>35</v>
      </c>
      <c r="T7" s="106">
        <v>51</v>
      </c>
      <c r="U7" s="106">
        <f>+'Indicadores Addiuva'!N27</f>
        <v>0</v>
      </c>
      <c r="V7" s="106">
        <f>+'Indicadores Addiuva'!O27</f>
        <v>0</v>
      </c>
      <c r="W7" s="106">
        <v>53</v>
      </c>
      <c r="X7" s="19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5">
        <f>SUM(V6:V7)</f>
        <v>0</v>
      </c>
      <c r="W8" s="115">
        <f>SUM(W6:W7)</f>
        <v>1461</v>
      </c>
      <c r="X8" s="11"/>
    </row>
    <row r="9" spans="1:25" x14ac:dyDescent="0.1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5" ht="11.5" customHeight="1" x14ac:dyDescent="0.15">
      <c r="A10" s="217" t="s">
        <v>5</v>
      </c>
      <c r="B10" s="218"/>
      <c r="C10" s="13" t="s">
        <v>3</v>
      </c>
      <c r="D10" s="11"/>
      <c r="E10" s="221">
        <v>2220</v>
      </c>
      <c r="F10" s="213">
        <v>2220</v>
      </c>
      <c r="G10" s="213">
        <v>2220</v>
      </c>
      <c r="H10" s="213">
        <v>3000</v>
      </c>
      <c r="I10" s="213">
        <f>+H10</f>
        <v>3000</v>
      </c>
      <c r="J10" s="213">
        <f>+I10</f>
        <v>3000</v>
      </c>
      <c r="K10" s="213">
        <v>4515</v>
      </c>
      <c r="L10" s="213">
        <f>+K10</f>
        <v>4515</v>
      </c>
      <c r="M10" s="213">
        <f>+L10</f>
        <v>4515</v>
      </c>
      <c r="N10" s="213">
        <v>5644</v>
      </c>
      <c r="O10" s="213">
        <v>5644</v>
      </c>
      <c r="P10" s="213">
        <f>+O10</f>
        <v>5644</v>
      </c>
      <c r="Q10" s="213">
        <f>+P10*1.25</f>
        <v>7055</v>
      </c>
      <c r="R10" s="213">
        <f>+Q10</f>
        <v>7055</v>
      </c>
      <c r="S10" s="213">
        <f>+R10</f>
        <v>7055</v>
      </c>
      <c r="T10" s="213">
        <f>+S10*1.25</f>
        <v>8818.75</v>
      </c>
      <c r="U10" s="213">
        <f>T10</f>
        <v>8818.75</v>
      </c>
      <c r="V10" s="227">
        <f>+U10</f>
        <v>8818.75</v>
      </c>
      <c r="W10" s="227">
        <f>+V10</f>
        <v>8818.75</v>
      </c>
    </row>
    <row r="11" spans="1:25" ht="11.5" customHeight="1" x14ac:dyDescent="0.15">
      <c r="A11" s="219"/>
      <c r="B11" s="220"/>
      <c r="C11" s="14" t="s">
        <v>4</v>
      </c>
      <c r="D11" s="11"/>
      <c r="E11" s="222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28"/>
      <c r="W11" s="228"/>
      <c r="X11" s="1" t="e">
        <f>+V10/V8</f>
        <v>#DIV/0!</v>
      </c>
    </row>
    <row r="12" spans="1:25" x14ac:dyDescent="0.15">
      <c r="A12" s="11"/>
      <c r="B12" s="11"/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5" x14ac:dyDescent="0.15">
      <c r="C13" s="17" t="s">
        <v>6</v>
      </c>
      <c r="D13" s="17"/>
      <c r="E13" s="17"/>
      <c r="F13" s="17"/>
      <c r="G13" s="17"/>
      <c r="H13" s="17"/>
      <c r="I13" s="17"/>
      <c r="J13" s="17"/>
      <c r="K13" s="18">
        <f>3150*K15</f>
        <v>2811201.5635200003</v>
      </c>
      <c r="L13" s="18">
        <f t="shared" ref="L13:W13" si="0">3150*L15</f>
        <v>2992417.2387076262</v>
      </c>
      <c r="M13" s="18">
        <f t="shared" si="0"/>
        <v>3185314.4387491974</v>
      </c>
      <c r="N13" s="18">
        <f t="shared" si="0"/>
        <v>3390646.1780998479</v>
      </c>
      <c r="O13" s="18">
        <f t="shared" si="0"/>
        <v>3609214.01203252</v>
      </c>
      <c r="P13" s="18">
        <f>3150*P15</f>
        <v>4253067</v>
      </c>
      <c r="Q13" s="18">
        <f t="shared" si="0"/>
        <v>2926350</v>
      </c>
      <c r="R13" s="18">
        <f>3150*R15</f>
        <v>2994075</v>
      </c>
      <c r="S13" s="18">
        <f>3150*S15</f>
        <v>3047625</v>
      </c>
      <c r="T13" s="18">
        <f>(3150+1983.71)*T15</f>
        <v>5077239.1900000004</v>
      </c>
      <c r="U13" s="18">
        <f t="shared" si="0"/>
        <v>3176775</v>
      </c>
      <c r="V13" s="18">
        <f t="shared" si="0"/>
        <v>3241350</v>
      </c>
      <c r="W13" s="18">
        <f t="shared" si="0"/>
        <v>3304350</v>
      </c>
    </row>
    <row r="14" spans="1:25" x14ac:dyDescent="0.1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5" x14ac:dyDescent="0.15">
      <c r="A15" s="11"/>
      <c r="B15" s="11"/>
      <c r="C15" s="11" t="s">
        <v>7</v>
      </c>
      <c r="D15" s="11"/>
      <c r="E15" s="11">
        <v>545</v>
      </c>
      <c r="F15" s="11">
        <v>791</v>
      </c>
      <c r="G15" s="11">
        <v>813</v>
      </c>
      <c r="H15" s="11">
        <v>836</v>
      </c>
      <c r="I15" s="11">
        <v>840.44</v>
      </c>
      <c r="J15" s="11">
        <v>939</v>
      </c>
      <c r="K15" s="19">
        <v>892.44494080000004</v>
      </c>
      <c r="L15" s="19">
        <v>949.9737265738496</v>
      </c>
      <c r="M15" s="19">
        <v>1011.2109329362531</v>
      </c>
      <c r="N15" s="19">
        <v>1076.3956120951898</v>
      </c>
      <c r="O15" s="19">
        <v>1145.7822260420699</v>
      </c>
      <c r="P15" s="19">
        <v>1350.18</v>
      </c>
      <c r="Q15" s="19">
        <v>929</v>
      </c>
      <c r="R15" s="19">
        <v>950.5</v>
      </c>
      <c r="S15" s="19">
        <v>967.5</v>
      </c>
      <c r="T15" s="19">
        <v>989</v>
      </c>
      <c r="U15" s="19">
        <v>1008.5</v>
      </c>
      <c r="V15" s="19">
        <v>1029</v>
      </c>
      <c r="W15" s="19">
        <v>1049</v>
      </c>
      <c r="X15" s="11"/>
      <c r="Y15" s="20" t="s">
        <v>8</v>
      </c>
    </row>
    <row r="16" spans="1:25" ht="11.5" customHeight="1" x14ac:dyDescent="0.15">
      <c r="A16" s="223" t="s">
        <v>9</v>
      </c>
      <c r="B16" s="224"/>
      <c r="C16" s="8" t="s">
        <v>3</v>
      </c>
      <c r="D16" s="11"/>
      <c r="E16" s="21">
        <f t="shared" ref="E16:W18" si="1">+E23/E$15</f>
        <v>1055.0091743119267</v>
      </c>
      <c r="F16" s="21">
        <f t="shared" si="1"/>
        <v>620.25284450063214</v>
      </c>
      <c r="G16" s="21">
        <f t="shared" si="1"/>
        <v>428.70848708487085</v>
      </c>
      <c r="H16" s="21">
        <f t="shared" si="1"/>
        <v>541.86602870813397</v>
      </c>
      <c r="I16" s="21">
        <f t="shared" si="1"/>
        <v>6050.4021702917516</v>
      </c>
      <c r="J16" s="21">
        <f t="shared" si="1"/>
        <v>6376.9968051118212</v>
      </c>
      <c r="K16" s="21">
        <f t="shared" si="1"/>
        <v>5772.4737566241574</v>
      </c>
      <c r="L16" s="21">
        <f t="shared" si="1"/>
        <v>4814.548941785336</v>
      </c>
      <c r="M16" s="21">
        <f t="shared" si="1"/>
        <v>4835.5341509230402</v>
      </c>
      <c r="N16" s="21">
        <f t="shared" si="1"/>
        <v>5820.2020981909909</v>
      </c>
      <c r="O16" s="21">
        <f t="shared" si="1"/>
        <v>6186.9208989978843</v>
      </c>
      <c r="P16" s="21">
        <f t="shared" si="1"/>
        <v>5438.4185812262067</v>
      </c>
      <c r="Q16" s="21">
        <f t="shared" si="1"/>
        <v>9728.1539289558659</v>
      </c>
      <c r="R16" s="21">
        <f t="shared" si="1"/>
        <v>8305.6759600210407</v>
      </c>
      <c r="S16" s="21">
        <f t="shared" si="1"/>
        <v>7977.4366925064596</v>
      </c>
      <c r="T16" s="21">
        <f t="shared" si="1"/>
        <v>9737.1840242669368</v>
      </c>
      <c r="U16" s="21">
        <f t="shared" si="1"/>
        <v>9487.6983143282105</v>
      </c>
      <c r="V16" s="21">
        <f t="shared" si="1"/>
        <v>0</v>
      </c>
      <c r="W16" s="21">
        <f t="shared" si="1"/>
        <v>11836.796949475691</v>
      </c>
      <c r="X16" s="11" t="s">
        <v>95</v>
      </c>
      <c r="Y16" s="22">
        <f t="shared" ref="Y16:Y18" si="2">SUM(K16:V16)</f>
        <v>78104.247347826138</v>
      </c>
    </row>
    <row r="17" spans="1:25" ht="11.5" customHeight="1" x14ac:dyDescent="0.15">
      <c r="A17" s="225"/>
      <c r="B17" s="226"/>
      <c r="C17" s="8" t="s">
        <v>4</v>
      </c>
      <c r="D17" s="11"/>
      <c r="E17" s="21">
        <f t="shared" si="1"/>
        <v>138.49541284403671</v>
      </c>
      <c r="F17" s="21">
        <f t="shared" si="1"/>
        <v>64.551201011377998</v>
      </c>
      <c r="G17" s="21">
        <f t="shared" si="1"/>
        <v>40.959409594095938</v>
      </c>
      <c r="H17" s="21">
        <f t="shared" si="1"/>
        <v>57.41626794258373</v>
      </c>
      <c r="I17" s="21">
        <f t="shared" si="1"/>
        <v>913.80705344819376</v>
      </c>
      <c r="J17" s="21">
        <f t="shared" si="1"/>
        <v>1568.6900958466454</v>
      </c>
      <c r="K17" s="21">
        <f t="shared" si="1"/>
        <v>197.30628966550583</v>
      </c>
      <c r="L17" s="21">
        <f t="shared" si="1"/>
        <v>285.1657813495757</v>
      </c>
      <c r="M17" s="21">
        <f t="shared" si="1"/>
        <v>191.99258401633492</v>
      </c>
      <c r="N17" s="21">
        <f t="shared" si="1"/>
        <v>241.19756442953658</v>
      </c>
      <c r="O17" s="21">
        <f t="shared" si="1"/>
        <v>197.03569742031479</v>
      </c>
      <c r="P17" s="21">
        <f t="shared" si="1"/>
        <v>183.92806885007923</v>
      </c>
      <c r="Q17" s="21">
        <f t="shared" si="1"/>
        <v>288.57911733046285</v>
      </c>
      <c r="R17" s="21">
        <f t="shared" si="1"/>
        <v>423.07732772225143</v>
      </c>
      <c r="S17" s="21">
        <f t="shared" si="1"/>
        <v>255.21963824289406</v>
      </c>
      <c r="T17" s="21">
        <f t="shared" si="1"/>
        <v>454.75859453993934</v>
      </c>
      <c r="U17" s="21">
        <f t="shared" si="1"/>
        <v>0</v>
      </c>
      <c r="V17" s="21">
        <f t="shared" si="1"/>
        <v>0</v>
      </c>
      <c r="W17" s="21">
        <f t="shared" si="1"/>
        <v>445.56124880838894</v>
      </c>
      <c r="X17" s="11" t="s">
        <v>95</v>
      </c>
      <c r="Y17" s="22">
        <f t="shared" si="2"/>
        <v>2718.2606635668944</v>
      </c>
    </row>
    <row r="18" spans="1:25" ht="12" hidden="1" customHeight="1" x14ac:dyDescent="0.15">
      <c r="A18" s="225"/>
      <c r="B18" s="226"/>
      <c r="C18" s="8" t="s">
        <v>6</v>
      </c>
      <c r="D18" s="11"/>
      <c r="E18" s="21"/>
      <c r="F18" s="21"/>
      <c r="G18" s="21"/>
      <c r="H18" s="21"/>
      <c r="I18" s="21"/>
      <c r="J18" s="21"/>
      <c r="K18" s="21">
        <f>+IF(K25/K$15&lt;3150,K25/K$15,3150)</f>
        <v>1193.9560092579327</v>
      </c>
      <c r="L18" s="21">
        <f t="shared" si="1"/>
        <v>1019.9429446269824</v>
      </c>
      <c r="M18" s="21">
        <f t="shared" si="1"/>
        <v>1005.505346987875</v>
      </c>
      <c r="N18" s="21">
        <f t="shared" si="1"/>
        <v>1212.2799325241056</v>
      </c>
      <c r="O18" s="21">
        <f t="shared" si="1"/>
        <v>1276.79131928364</v>
      </c>
      <c r="P18" s="21">
        <f t="shared" si="1"/>
        <v>1124.4693300152571</v>
      </c>
      <c r="Q18" s="21">
        <f t="shared" si="1"/>
        <v>2003.346609257266</v>
      </c>
      <c r="R18" s="21">
        <f t="shared" si="1"/>
        <v>1745.7506575486586</v>
      </c>
      <c r="S18" s="21">
        <f t="shared" si="1"/>
        <v>1646.5312661498708</v>
      </c>
      <c r="T18" s="21">
        <f>+T25/T$15</f>
        <v>2038.3885237613752</v>
      </c>
      <c r="U18" s="21">
        <f>+U25/U$15</f>
        <v>1897.539662865642</v>
      </c>
      <c r="V18" s="111">
        <f>+V25/V$15</f>
        <v>0</v>
      </c>
      <c r="W18" s="111">
        <v>3434</v>
      </c>
      <c r="X18" s="11" t="s">
        <v>96</v>
      </c>
      <c r="Y18" s="22">
        <f t="shared" si="2"/>
        <v>16164.501602278604</v>
      </c>
    </row>
    <row r="19" spans="1:25" ht="12" hidden="1" customHeight="1" x14ac:dyDescent="0.15">
      <c r="A19" s="107"/>
      <c r="B19" s="107"/>
      <c r="C19" s="8" t="s">
        <v>94</v>
      </c>
      <c r="D19" s="1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>
        <v>1667.82</v>
      </c>
      <c r="U19" s="21">
        <v>418.07560000000001</v>
      </c>
      <c r="V19" s="21">
        <v>790.1</v>
      </c>
      <c r="W19" s="21">
        <v>222</v>
      </c>
      <c r="X19" s="11"/>
      <c r="Y19" s="22"/>
    </row>
    <row r="20" spans="1:25" x14ac:dyDescent="0.15">
      <c r="A20" s="11"/>
      <c r="B20" s="11"/>
      <c r="C20" s="23" t="s">
        <v>10</v>
      </c>
      <c r="D20" s="24"/>
      <c r="E20" s="25">
        <f t="shared" ref="E20:J20" si="3">SUM(E16:E17)</f>
        <v>1193.5045871559635</v>
      </c>
      <c r="F20" s="25">
        <f t="shared" si="3"/>
        <v>684.80404551201013</v>
      </c>
      <c r="G20" s="25">
        <f t="shared" si="3"/>
        <v>469.66789667896677</v>
      </c>
      <c r="H20" s="25">
        <f t="shared" si="3"/>
        <v>599.28229665071774</v>
      </c>
      <c r="I20" s="25">
        <f t="shared" si="3"/>
        <v>6964.2092237399456</v>
      </c>
      <c r="J20" s="25">
        <f t="shared" si="3"/>
        <v>7945.6869009584661</v>
      </c>
      <c r="K20" s="25">
        <f>SUM(K16:K18)</f>
        <v>7163.7360555475952</v>
      </c>
      <c r="L20" s="25">
        <f t="shared" ref="L20:S20" si="4">SUM(L16:L18)</f>
        <v>6119.6576677618941</v>
      </c>
      <c r="M20" s="25">
        <f t="shared" si="4"/>
        <v>6033.0320819272501</v>
      </c>
      <c r="N20" s="25">
        <f t="shared" si="4"/>
        <v>7273.6795951446329</v>
      </c>
      <c r="O20" s="25">
        <f t="shared" si="4"/>
        <v>7660.7479157018388</v>
      </c>
      <c r="P20" s="25">
        <f t="shared" si="4"/>
        <v>6746.8159800915437</v>
      </c>
      <c r="Q20" s="25">
        <f t="shared" si="4"/>
        <v>12020.079655543594</v>
      </c>
      <c r="R20" s="25">
        <f t="shared" si="4"/>
        <v>10474.50394529195</v>
      </c>
      <c r="S20" s="25">
        <f t="shared" si="4"/>
        <v>9879.1875968992244</v>
      </c>
      <c r="T20" s="25">
        <f>SUM(T16:T19)</f>
        <v>13898.151142568251</v>
      </c>
      <c r="U20" s="25">
        <f>SUM(U16:U19)</f>
        <v>11803.313577193852</v>
      </c>
      <c r="V20" s="25">
        <f>SUM(V16:V19)</f>
        <v>790.1</v>
      </c>
      <c r="W20" s="25">
        <f>SUM(W16:W19)</f>
        <v>15938.358198284081</v>
      </c>
      <c r="X20" s="11"/>
      <c r="Y20" s="26">
        <f>SUM(K20:V20)</f>
        <v>99863.00521367164</v>
      </c>
    </row>
    <row r="21" spans="1:25" x14ac:dyDescent="0.15"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</row>
    <row r="22" spans="1:25" x14ac:dyDescent="0.1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05"/>
      <c r="L22" s="105"/>
      <c r="M22" s="105"/>
      <c r="N22" s="105"/>
      <c r="O22" s="105"/>
      <c r="P22" s="105"/>
      <c r="Q22" s="105"/>
      <c r="R22" s="11"/>
      <c r="S22" s="11"/>
      <c r="T22" s="11"/>
      <c r="U22" s="11"/>
      <c r="V22" s="11"/>
      <c r="W22" s="11"/>
      <c r="X22" s="11"/>
    </row>
    <row r="23" spans="1:25" ht="11.5" customHeight="1" x14ac:dyDescent="0.15">
      <c r="A23" s="223" t="s">
        <v>11</v>
      </c>
      <c r="B23" s="224"/>
      <c r="C23" s="8" t="s">
        <v>3</v>
      </c>
      <c r="D23" s="11"/>
      <c r="E23" s="21">
        <f t="shared" ref="E23:U23" si="5">+E6*E10</f>
        <v>574980</v>
      </c>
      <c r="F23" s="21">
        <f t="shared" si="5"/>
        <v>490620</v>
      </c>
      <c r="G23" s="21">
        <f t="shared" si="5"/>
        <v>348540</v>
      </c>
      <c r="H23" s="21">
        <f t="shared" si="5"/>
        <v>453000</v>
      </c>
      <c r="I23" s="21">
        <f t="shared" si="5"/>
        <v>5085000</v>
      </c>
      <c r="J23" s="21">
        <f t="shared" si="5"/>
        <v>5988000</v>
      </c>
      <c r="K23" s="21">
        <f>+K6*K10</f>
        <v>5151615</v>
      </c>
      <c r="L23" s="21">
        <f>+L6*L10</f>
        <v>4573695</v>
      </c>
      <c r="M23" s="21">
        <f t="shared" si="5"/>
        <v>4889745</v>
      </c>
      <c r="N23" s="21">
        <f t="shared" si="5"/>
        <v>6264840</v>
      </c>
      <c r="O23" s="21">
        <f t="shared" si="5"/>
        <v>7088864</v>
      </c>
      <c r="P23" s="21">
        <f t="shared" si="5"/>
        <v>7342844</v>
      </c>
      <c r="Q23" s="21">
        <f t="shared" si="5"/>
        <v>9037455</v>
      </c>
      <c r="R23" s="21">
        <f t="shared" si="5"/>
        <v>7894545</v>
      </c>
      <c r="S23" s="21">
        <f t="shared" si="5"/>
        <v>7718170</v>
      </c>
      <c r="T23" s="21">
        <f t="shared" si="5"/>
        <v>9630075</v>
      </c>
      <c r="U23" s="21">
        <f t="shared" si="5"/>
        <v>9568343.75</v>
      </c>
      <c r="V23" s="21">
        <f>+V6*V10</f>
        <v>0</v>
      </c>
      <c r="W23" s="21">
        <f>+W6*W10</f>
        <v>12416800</v>
      </c>
      <c r="X23" s="11" t="e">
        <f>+V16/V6</f>
        <v>#DIV/0!</v>
      </c>
      <c r="Y23" s="22">
        <f>SUM(K23:V23)</f>
        <v>79160191.75</v>
      </c>
    </row>
    <row r="24" spans="1:25" ht="11.5" customHeight="1" x14ac:dyDescent="0.15">
      <c r="A24" s="225"/>
      <c r="B24" s="226"/>
      <c r="C24" s="8" t="s">
        <v>4</v>
      </c>
      <c r="D24" s="11"/>
      <c r="E24" s="21">
        <f t="shared" ref="E24:W24" si="6">+E7*E10</f>
        <v>75480</v>
      </c>
      <c r="F24" s="21">
        <f t="shared" si="6"/>
        <v>51060</v>
      </c>
      <c r="G24" s="21">
        <f t="shared" si="6"/>
        <v>33300</v>
      </c>
      <c r="H24" s="21">
        <f t="shared" si="6"/>
        <v>48000</v>
      </c>
      <c r="I24" s="21">
        <f t="shared" si="6"/>
        <v>768000</v>
      </c>
      <c r="J24" s="21">
        <f t="shared" si="6"/>
        <v>1473000</v>
      </c>
      <c r="K24" s="21">
        <f>+K7*K10</f>
        <v>176085</v>
      </c>
      <c r="L24" s="21">
        <f t="shared" si="6"/>
        <v>270900</v>
      </c>
      <c r="M24" s="21">
        <f t="shared" si="6"/>
        <v>194145</v>
      </c>
      <c r="N24" s="21">
        <f t="shared" si="6"/>
        <v>259624</v>
      </c>
      <c r="O24" s="21">
        <f t="shared" si="6"/>
        <v>225760</v>
      </c>
      <c r="P24" s="21">
        <f t="shared" si="6"/>
        <v>248336</v>
      </c>
      <c r="Q24" s="21">
        <f t="shared" si="6"/>
        <v>268090</v>
      </c>
      <c r="R24" s="21">
        <f>+R7*R10</f>
        <v>402135</v>
      </c>
      <c r="S24" s="21">
        <f>+S7*S10</f>
        <v>246925</v>
      </c>
      <c r="T24" s="21">
        <f t="shared" si="6"/>
        <v>449756.25</v>
      </c>
      <c r="U24" s="21">
        <f t="shared" si="6"/>
        <v>0</v>
      </c>
      <c r="V24" s="21">
        <f t="shared" si="6"/>
        <v>0</v>
      </c>
      <c r="W24" s="21">
        <f t="shared" si="6"/>
        <v>467393.75</v>
      </c>
      <c r="X24" s="11" t="e">
        <f>+V17/V7</f>
        <v>#DIV/0!</v>
      </c>
      <c r="Y24" s="22">
        <f>SUM(K24:V24)</f>
        <v>2741756.25</v>
      </c>
    </row>
    <row r="25" spans="1:25" ht="12" hidden="1" customHeight="1" x14ac:dyDescent="0.15">
      <c r="A25" s="225"/>
      <c r="B25" s="226"/>
      <c r="C25" s="8" t="s">
        <v>6</v>
      </c>
      <c r="D25" s="28">
        <v>0.2</v>
      </c>
      <c r="E25" s="21"/>
      <c r="F25" s="21"/>
      <c r="G25" s="21"/>
      <c r="H25" s="21"/>
      <c r="I25" s="21"/>
      <c r="J25" s="21"/>
      <c r="K25" s="21">
        <f>+IF(SUM(K23:K24)*$D$25&gt;3150*K15,3150*K15,SUM(K23:K24)*$D$25)</f>
        <v>1065540</v>
      </c>
      <c r="L25" s="21">
        <f t="shared" ref="L25:S25" si="7">+IF(SUM(L23:L24)*$D$25&gt;3150*L15,3150*L15,SUM(L23:L24)*$D$25)</f>
        <v>968919</v>
      </c>
      <c r="M25" s="21">
        <f t="shared" si="7"/>
        <v>1016778</v>
      </c>
      <c r="N25" s="21">
        <f t="shared" si="7"/>
        <v>1304892.8</v>
      </c>
      <c r="O25" s="21">
        <f t="shared" si="7"/>
        <v>1462924.8</v>
      </c>
      <c r="P25" s="21">
        <f t="shared" si="7"/>
        <v>1518236</v>
      </c>
      <c r="Q25" s="21">
        <f t="shared" si="7"/>
        <v>1861109</v>
      </c>
      <c r="R25" s="21">
        <f>+IF(SUM(R23:R24)*$D$25&gt;3150*R15,3150*R15,SUM(R23:R24)*$D$25)</f>
        <v>1659336</v>
      </c>
      <c r="S25" s="21">
        <f t="shared" si="7"/>
        <v>1593019</v>
      </c>
      <c r="T25" s="21">
        <f>+IF(SUM(T23:T24)*$D$25&gt;3150*T15,3150*T15,SUM(T23:T24)*$D$25)</f>
        <v>2015966.25</v>
      </c>
      <c r="U25" s="21">
        <f>+IF(SUM(U23:U24)*$D$25&gt;3150*U15,3150*U15,SUM(U23:U24)*$D$25)</f>
        <v>1913668.75</v>
      </c>
      <c r="V25" s="21">
        <f>+IF(SUM(V23:V24)*$D$25&gt;3150*V15,3150*V15,SUM(V23:V24)*$D$25)</f>
        <v>0</v>
      </c>
      <c r="W25" s="21">
        <f>+IF(SUM(W23:W24)*$D$25&gt;3150*W15,3150*W15,SUM(W23:W24)*$D$25)</f>
        <v>2576838.75</v>
      </c>
      <c r="X25" s="11"/>
      <c r="Y25" s="22">
        <f>SUM(K25:V25)</f>
        <v>16380389.6</v>
      </c>
    </row>
    <row r="26" spans="1:25" ht="12" hidden="1" customHeight="1" x14ac:dyDescent="0.15">
      <c r="A26" s="107"/>
      <c r="B26" s="107"/>
      <c r="C26" s="8" t="s">
        <v>94</v>
      </c>
      <c r="D26" s="28"/>
      <c r="E26" s="21"/>
      <c r="F26" s="21"/>
      <c r="G26" s="21"/>
      <c r="H26" s="21"/>
      <c r="I26" s="21"/>
      <c r="J26" s="21"/>
      <c r="K26" s="21">
        <f>+K19*K15</f>
        <v>0</v>
      </c>
      <c r="L26" s="21">
        <f t="shared" ref="L26:W26" si="8">+L19*L15</f>
        <v>0</v>
      </c>
      <c r="M26" s="21">
        <f t="shared" si="8"/>
        <v>0</v>
      </c>
      <c r="N26" s="21">
        <f t="shared" si="8"/>
        <v>0</v>
      </c>
      <c r="O26" s="21">
        <f t="shared" si="8"/>
        <v>0</v>
      </c>
      <c r="P26" s="21">
        <f t="shared" si="8"/>
        <v>0</v>
      </c>
      <c r="Q26" s="21">
        <f t="shared" si="8"/>
        <v>0</v>
      </c>
      <c r="R26" s="21">
        <f t="shared" si="8"/>
        <v>0</v>
      </c>
      <c r="S26" s="21">
        <f t="shared" si="8"/>
        <v>0</v>
      </c>
      <c r="T26" s="21">
        <f t="shared" si="8"/>
        <v>1649473.98</v>
      </c>
      <c r="U26" s="21">
        <f t="shared" si="8"/>
        <v>421629.2426</v>
      </c>
      <c r="V26" s="21">
        <f t="shared" si="8"/>
        <v>813012.9</v>
      </c>
      <c r="W26" s="21">
        <f t="shared" si="8"/>
        <v>232878</v>
      </c>
      <c r="X26" s="11"/>
      <c r="Y26" s="22"/>
    </row>
    <row r="27" spans="1:25" x14ac:dyDescent="0.15">
      <c r="A27" s="11"/>
      <c r="B27" s="11"/>
      <c r="C27" s="23" t="s">
        <v>12</v>
      </c>
      <c r="D27" s="24"/>
      <c r="E27" s="25">
        <f t="shared" ref="E27:J27" si="9">SUM(E23:E24)</f>
        <v>650460</v>
      </c>
      <c r="F27" s="25">
        <f t="shared" si="9"/>
        <v>541680</v>
      </c>
      <c r="G27" s="25">
        <f t="shared" si="9"/>
        <v>381840</v>
      </c>
      <c r="H27" s="25">
        <f t="shared" si="9"/>
        <v>501000</v>
      </c>
      <c r="I27" s="25">
        <f t="shared" si="9"/>
        <v>5853000</v>
      </c>
      <c r="J27" s="25">
        <f t="shared" si="9"/>
        <v>7461000</v>
      </c>
      <c r="K27" s="25">
        <f t="shared" ref="K27:S27" si="10">SUM(K23:K26)</f>
        <v>6393240</v>
      </c>
      <c r="L27" s="25">
        <f t="shared" si="10"/>
        <v>5813514</v>
      </c>
      <c r="M27" s="25">
        <f t="shared" si="10"/>
        <v>6100668</v>
      </c>
      <c r="N27" s="25">
        <f t="shared" si="10"/>
        <v>7829356.7999999998</v>
      </c>
      <c r="O27" s="25">
        <f t="shared" si="10"/>
        <v>8777548.8000000007</v>
      </c>
      <c r="P27" s="25">
        <f t="shared" si="10"/>
        <v>9109416</v>
      </c>
      <c r="Q27" s="25">
        <f t="shared" si="10"/>
        <v>11166654</v>
      </c>
      <c r="R27" s="25">
        <f t="shared" si="10"/>
        <v>9956016</v>
      </c>
      <c r="S27" s="25">
        <f t="shared" si="10"/>
        <v>9558114</v>
      </c>
      <c r="T27" s="25">
        <f>SUM(T23:T26)</f>
        <v>13745271.48</v>
      </c>
      <c r="U27" s="25">
        <f>SUM(U23:U26)</f>
        <v>11903641.7426</v>
      </c>
      <c r="V27" s="25">
        <f>SUM(V23:V26)</f>
        <v>813012.9</v>
      </c>
      <c r="W27" s="25">
        <f>SUM(W23:W26)</f>
        <v>15693910.5</v>
      </c>
      <c r="X27" s="11"/>
      <c r="Y27" s="26">
        <f>SUM(K27:V27)</f>
        <v>101166453.7226</v>
      </c>
    </row>
    <row r="30" spans="1:25" x14ac:dyDescent="0.15">
      <c r="K30" s="27"/>
      <c r="L30" s="29"/>
      <c r="O30" s="30"/>
      <c r="P30" s="108">
        <f>+P23+P24</f>
        <v>7591180</v>
      </c>
      <c r="Q30" s="108">
        <f t="shared" ref="Q30:T30" si="11">+Q23+Q24</f>
        <v>9305545</v>
      </c>
      <c r="R30" s="108">
        <f t="shared" si="11"/>
        <v>8296680</v>
      </c>
      <c r="S30" s="108">
        <f t="shared" si="11"/>
        <v>7965095</v>
      </c>
      <c r="T30" s="108">
        <f t="shared" si="11"/>
        <v>10079831.25</v>
      </c>
      <c r="U30" s="108">
        <f>+U23+U24</f>
        <v>9568343.75</v>
      </c>
      <c r="V30" s="108">
        <f t="shared" ref="V30:W30" si="12">+V23+V24</f>
        <v>0</v>
      </c>
      <c r="W30" s="108">
        <f t="shared" si="12"/>
        <v>12884193.75</v>
      </c>
    </row>
    <row r="31" spans="1:25" x14ac:dyDescent="0.15">
      <c r="K31" s="104"/>
      <c r="O31" s="30"/>
      <c r="P31" s="109">
        <f>+P25</f>
        <v>1518236</v>
      </c>
      <c r="Q31" s="109">
        <f t="shared" ref="Q31:T31" si="13">+Q25</f>
        <v>1861109</v>
      </c>
      <c r="R31" s="109">
        <f t="shared" si="13"/>
        <v>1659336</v>
      </c>
      <c r="S31" s="109">
        <f t="shared" si="13"/>
        <v>1593019</v>
      </c>
      <c r="T31" s="109">
        <f t="shared" si="13"/>
        <v>2015966.25</v>
      </c>
      <c r="U31" s="109">
        <f>+U25</f>
        <v>1913668.75</v>
      </c>
      <c r="V31" s="109">
        <f t="shared" ref="V31:W31" si="14">+V25</f>
        <v>0</v>
      </c>
      <c r="W31" s="109">
        <f t="shared" si="14"/>
        <v>2576838.75</v>
      </c>
    </row>
    <row r="32" spans="1:25" x14ac:dyDescent="0.15">
      <c r="O32" s="30"/>
      <c r="P32" s="110">
        <f t="shared" ref="P32:S32" si="15">+P30+P31</f>
        <v>9109416</v>
      </c>
      <c r="Q32" s="110">
        <f t="shared" si="15"/>
        <v>11166654</v>
      </c>
      <c r="R32" s="110">
        <f t="shared" si="15"/>
        <v>9956016</v>
      </c>
      <c r="S32" s="110">
        <f t="shared" si="15"/>
        <v>9558114</v>
      </c>
      <c r="T32" s="110">
        <f>+T30+T31</f>
        <v>12095797.5</v>
      </c>
      <c r="U32" s="110">
        <f>+U30+U31</f>
        <v>11482012.5</v>
      </c>
      <c r="V32" s="110">
        <f>+V30+V31</f>
        <v>0</v>
      </c>
      <c r="W32" s="110">
        <f>+W30+W31</f>
        <v>15461032.5</v>
      </c>
    </row>
    <row r="33" spans="11:21" x14ac:dyDescent="0.15">
      <c r="O33" s="30"/>
      <c r="P33" s="32"/>
      <c r="Q33" s="31"/>
    </row>
    <row r="34" spans="11:21" x14ac:dyDescent="0.15">
      <c r="O34" s="30"/>
      <c r="P34" s="32"/>
      <c r="Q34" s="31"/>
    </row>
    <row r="35" spans="11:21" x14ac:dyDescent="0.15">
      <c r="O35" s="30"/>
      <c r="P35" s="32"/>
      <c r="Q35" s="31"/>
    </row>
    <row r="36" spans="11:21" x14ac:dyDescent="0.15">
      <c r="O36" s="30"/>
      <c r="P36" s="32"/>
      <c r="Q36" s="31"/>
    </row>
    <row r="37" spans="11:21" x14ac:dyDescent="0.15">
      <c r="O37" s="30"/>
      <c r="P37" s="32"/>
      <c r="Q37" s="31"/>
    </row>
    <row r="38" spans="11:21" x14ac:dyDescent="0.15">
      <c r="K38" s="113"/>
      <c r="L38" s="113"/>
      <c r="O38" s="30"/>
      <c r="P38" s="112"/>
      <c r="Q38" s="31"/>
      <c r="U38" s="113"/>
    </row>
    <row r="39" spans="11:21" x14ac:dyDescent="0.15">
      <c r="O39" s="30"/>
      <c r="P39" s="32"/>
      <c r="Q39" s="31"/>
    </row>
  </sheetData>
  <mergeCells count="24">
    <mergeCell ref="A16:B18"/>
    <mergeCell ref="A23:B25"/>
    <mergeCell ref="R10:R11"/>
    <mergeCell ref="S10:S11"/>
    <mergeCell ref="T10:T11"/>
    <mergeCell ref="W10:W11"/>
    <mergeCell ref="L10:L11"/>
    <mergeCell ref="M10:M11"/>
    <mergeCell ref="N10:N11"/>
    <mergeCell ref="O10:O11"/>
    <mergeCell ref="P10:P11"/>
    <mergeCell ref="Q10:Q11"/>
    <mergeCell ref="D1:V3"/>
    <mergeCell ref="A6:B7"/>
    <mergeCell ref="A10:B11"/>
    <mergeCell ref="E10:E11"/>
    <mergeCell ref="F10:F11"/>
    <mergeCell ref="G10:G11"/>
    <mergeCell ref="H10:H11"/>
    <mergeCell ref="I10:I11"/>
    <mergeCell ref="J10:J11"/>
    <mergeCell ref="K10:K11"/>
    <mergeCell ref="U10:U11"/>
    <mergeCell ref="V10:V11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E8EAF-B735-2340-A7F9-DA567149B9A1}">
  <sheetPr>
    <tabColor theme="4" tint="0.79998168889431442"/>
  </sheetPr>
  <dimension ref="A1:AK39"/>
  <sheetViews>
    <sheetView showGridLines="0" zoomScale="125" zoomScaleNormal="85" workbookViewId="0">
      <pane xSplit="10" ySplit="3" topLeftCell="AD4" activePane="bottomRight" state="frozen"/>
      <selection pane="topRight" activeCell="K1" sqref="K1"/>
      <selection pane="bottomLeft" activeCell="A4" sqref="A4"/>
      <selection pane="bottomRight" activeCell="AG6" sqref="AG6"/>
    </sheetView>
  </sheetViews>
  <sheetFormatPr baseColWidth="10" defaultColWidth="11.5" defaultRowHeight="12" outlineLevelCol="1" x14ac:dyDescent="0.15"/>
  <cols>
    <col min="1" max="1" width="11.5" style="1"/>
    <col min="2" max="2" width="10.6640625" style="1" bestFit="1" customWidth="1"/>
    <col min="3" max="3" width="31.33203125" style="1" bestFit="1" customWidth="1"/>
    <col min="4" max="4" width="5.33203125" style="1" bestFit="1" customWidth="1"/>
    <col min="5" max="8" width="12.1640625" style="1" hidden="1" customWidth="1" outlineLevel="1"/>
    <col min="9" max="9" width="12.83203125" style="1" hidden="1" customWidth="1" outlineLevel="1"/>
    <col min="10" max="10" width="12.1640625" style="1" hidden="1" customWidth="1" outlineLevel="1"/>
    <col min="11" max="11" width="14.6640625" style="1" hidden="1" customWidth="1" collapsed="1"/>
    <col min="12" max="13" width="12.83203125" style="1" hidden="1" customWidth="1"/>
    <col min="14" max="14" width="13" style="1" hidden="1" customWidth="1"/>
    <col min="15" max="17" width="12.83203125" style="1" hidden="1" customWidth="1"/>
    <col min="18" max="18" width="13" style="1" hidden="1" customWidth="1"/>
    <col min="19" max="20" width="13.33203125" style="1" hidden="1" customWidth="1"/>
    <col min="21" max="22" width="12.83203125" style="1" hidden="1" customWidth="1"/>
    <col min="23" max="28" width="12.83203125" style="1" bestFit="1" customWidth="1"/>
    <col min="29" max="34" width="12.83203125" style="1" customWidth="1"/>
    <col min="35" max="35" width="14.6640625" style="1" bestFit="1" customWidth="1"/>
    <col min="36" max="36" width="13.33203125" style="1" hidden="1" customWidth="1"/>
    <col min="37" max="37" width="0" style="1" hidden="1" customWidth="1"/>
    <col min="38" max="16384" width="11.5" style="1"/>
  </cols>
  <sheetData>
    <row r="1" spans="1:37" ht="12" customHeight="1" x14ac:dyDescent="0.15">
      <c r="D1" s="215" t="s">
        <v>0</v>
      </c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</row>
    <row r="2" spans="1:37" ht="12" customHeight="1" x14ac:dyDescent="0.15">
      <c r="C2" s="2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</row>
    <row r="3" spans="1:37" ht="12" customHeight="1" x14ac:dyDescent="0.15">
      <c r="C3" s="2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</row>
    <row r="4" spans="1:37" ht="12" customHeight="1" x14ac:dyDescent="0.15">
      <c r="C4" s="2"/>
    </row>
    <row r="5" spans="1:37" ht="14" x14ac:dyDescent="0.2">
      <c r="A5" s="3"/>
      <c r="B5" s="4" t="s">
        <v>1</v>
      </c>
      <c r="C5" s="5"/>
      <c r="D5" s="3"/>
      <c r="E5" s="6">
        <v>45138</v>
      </c>
      <c r="F5" s="6">
        <v>45169</v>
      </c>
      <c r="G5" s="6">
        <v>45199</v>
      </c>
      <c r="H5" s="6">
        <v>45230</v>
      </c>
      <c r="I5" s="6">
        <v>45260</v>
      </c>
      <c r="J5" s="6">
        <v>45291</v>
      </c>
      <c r="K5" s="6">
        <v>45322</v>
      </c>
      <c r="L5" s="6">
        <v>45351</v>
      </c>
      <c r="M5" s="6">
        <v>45382</v>
      </c>
      <c r="N5" s="6">
        <v>45412</v>
      </c>
      <c r="O5" s="6">
        <v>45443</v>
      </c>
      <c r="P5" s="6">
        <v>45473</v>
      </c>
      <c r="Q5" s="6">
        <v>45504</v>
      </c>
      <c r="R5" s="6">
        <v>45535</v>
      </c>
      <c r="S5" s="6">
        <v>45565</v>
      </c>
      <c r="T5" s="6">
        <v>45596</v>
      </c>
      <c r="U5" s="6">
        <v>45626</v>
      </c>
      <c r="V5" s="6">
        <v>45657</v>
      </c>
      <c r="W5" s="6">
        <v>45688</v>
      </c>
      <c r="X5" s="6">
        <v>45716</v>
      </c>
      <c r="Y5" s="6">
        <v>45747</v>
      </c>
      <c r="Z5" s="6">
        <v>45777</v>
      </c>
      <c r="AA5" s="6">
        <v>45808</v>
      </c>
      <c r="AB5" s="6">
        <v>45838</v>
      </c>
      <c r="AC5" s="6">
        <v>45869</v>
      </c>
      <c r="AD5" s="6">
        <v>45900</v>
      </c>
      <c r="AE5" s="6">
        <v>45930</v>
      </c>
      <c r="AF5" s="6">
        <v>45961</v>
      </c>
      <c r="AG5" s="6">
        <v>45991</v>
      </c>
      <c r="AH5" s="6">
        <v>46022</v>
      </c>
      <c r="AI5" s="7"/>
    </row>
    <row r="6" spans="1:37" x14ac:dyDescent="0.15">
      <c r="A6" s="216" t="s">
        <v>2</v>
      </c>
      <c r="B6" s="216"/>
      <c r="C6" s="8" t="s">
        <v>3</v>
      </c>
      <c r="D6" s="9"/>
      <c r="E6" s="10">
        <v>259</v>
      </c>
      <c r="F6" s="10">
        <v>221</v>
      </c>
      <c r="G6" s="10">
        <v>157</v>
      </c>
      <c r="H6" s="10">
        <v>151</v>
      </c>
      <c r="I6" s="10">
        <v>1695</v>
      </c>
      <c r="J6" s="10">
        <v>1996</v>
      </c>
      <c r="K6" s="10"/>
      <c r="L6" s="10"/>
      <c r="M6" s="10"/>
      <c r="N6" s="10"/>
      <c r="O6" s="10"/>
      <c r="P6" s="10"/>
      <c r="Q6" s="10"/>
      <c r="R6" s="10"/>
      <c r="S6" s="106"/>
      <c r="T6" s="106"/>
      <c r="U6" s="106"/>
      <c r="V6" s="106"/>
      <c r="W6" s="106">
        <f>+'Indicadores AON'!D17</f>
        <v>267</v>
      </c>
      <c r="X6" s="106">
        <f>+'Indicadores AON'!E17</f>
        <v>337</v>
      </c>
      <c r="Y6" s="106">
        <f>+'Indicadores AON'!F17</f>
        <v>506</v>
      </c>
      <c r="Z6" s="106">
        <f>+'Indicadores AON'!G17</f>
        <v>480</v>
      </c>
      <c r="AA6" s="106">
        <f>+'Indicadores AON'!H17</f>
        <v>552</v>
      </c>
      <c r="AB6" s="106">
        <f>+'Indicadores AON'!I17</f>
        <v>497</v>
      </c>
      <c r="AC6" s="106">
        <f>+'Indicadores AON'!J17</f>
        <v>503</v>
      </c>
      <c r="AD6" s="106">
        <f>+'Indicadores AON'!K17</f>
        <v>553</v>
      </c>
      <c r="AE6" s="106">
        <f>+'Indicadores AON'!L17</f>
        <v>505</v>
      </c>
      <c r="AF6" s="106">
        <f>+'Indicadores AON'!M17</f>
        <v>507</v>
      </c>
      <c r="AG6" s="106">
        <f>+'Indicadores AON'!N17</f>
        <v>0</v>
      </c>
      <c r="AH6" s="106">
        <f>+'Indicadores AON'!O17</f>
        <v>0</v>
      </c>
      <c r="AI6" s="19"/>
    </row>
    <row r="7" spans="1:37" x14ac:dyDescent="0.15">
      <c r="A7" s="216"/>
      <c r="B7" s="216"/>
      <c r="C7" s="8" t="s">
        <v>4</v>
      </c>
      <c r="D7" s="12">
        <v>0.09</v>
      </c>
      <c r="E7" s="10">
        <v>34</v>
      </c>
      <c r="F7" s="10">
        <v>23</v>
      </c>
      <c r="G7" s="10">
        <v>15</v>
      </c>
      <c r="H7" s="10">
        <v>16</v>
      </c>
      <c r="I7" s="10">
        <v>256</v>
      </c>
      <c r="J7" s="10">
        <v>491</v>
      </c>
      <c r="K7" s="10"/>
      <c r="L7" s="10"/>
      <c r="M7" s="10"/>
      <c r="N7" s="10"/>
      <c r="O7" s="10"/>
      <c r="P7" s="10"/>
      <c r="Q7" s="10"/>
      <c r="R7" s="10"/>
      <c r="S7" s="106"/>
      <c r="T7" s="106"/>
      <c r="U7" s="106"/>
      <c r="V7" s="106"/>
      <c r="W7" s="106">
        <f>+'Indicadores AON'!D27</f>
        <v>14</v>
      </c>
      <c r="X7" s="106">
        <f>+'Indicadores AON'!E27</f>
        <v>15</v>
      </c>
      <c r="Y7" s="106">
        <f>+'Indicadores AON'!F27</f>
        <v>25</v>
      </c>
      <c r="Z7" s="106">
        <f>+'Indicadores AON'!G27</f>
        <v>22</v>
      </c>
      <c r="AA7" s="106">
        <f>+'Indicadores AON'!H27</f>
        <v>13</v>
      </c>
      <c r="AB7" s="106">
        <f>+'Indicadores AON'!I27</f>
        <v>29</v>
      </c>
      <c r="AC7" s="106">
        <f>+'Indicadores AON'!J27</f>
        <v>25</v>
      </c>
      <c r="AD7" s="106">
        <f>+'Indicadores AON'!K27</f>
        <v>25</v>
      </c>
      <c r="AE7" s="106">
        <f>+'Indicadores AON'!L27</f>
        <v>19</v>
      </c>
      <c r="AF7" s="106">
        <f>+'Indicadores AON'!M27</f>
        <v>29</v>
      </c>
      <c r="AG7" s="106">
        <f>+'Indicadores AON'!N27</f>
        <v>0</v>
      </c>
      <c r="AH7" s="106">
        <f>+'Indicadores AON'!O27</f>
        <v>0</v>
      </c>
      <c r="AI7" s="19"/>
    </row>
    <row r="8" spans="1:37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5">
        <f>SUM(V6:V7)</f>
        <v>0</v>
      </c>
      <c r="W8" s="115">
        <f>SUM(W6:W7)</f>
        <v>281</v>
      </c>
      <c r="X8" s="115">
        <f>SUM(X6:X7)</f>
        <v>352</v>
      </c>
      <c r="Y8" s="115">
        <f>SUM(Y6:Y7)</f>
        <v>531</v>
      </c>
      <c r="Z8" s="115">
        <f>SUM(Z6:Z7)</f>
        <v>502</v>
      </c>
      <c r="AA8" s="115"/>
      <c r="AB8" s="115"/>
      <c r="AC8" s="115"/>
      <c r="AD8" s="115"/>
      <c r="AE8" s="115"/>
      <c r="AF8" s="115"/>
      <c r="AG8" s="115"/>
      <c r="AH8" s="115"/>
      <c r="AI8" s="11"/>
    </row>
    <row r="9" spans="1:37" x14ac:dyDescent="0.1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</row>
    <row r="10" spans="1:37" ht="11.5" customHeight="1" x14ac:dyDescent="0.15">
      <c r="A10" s="217" t="s">
        <v>5</v>
      </c>
      <c r="B10" s="218"/>
      <c r="C10" s="13" t="s">
        <v>3</v>
      </c>
      <c r="D10" s="11"/>
      <c r="E10" s="221">
        <v>2220</v>
      </c>
      <c r="F10" s="213">
        <v>2220</v>
      </c>
      <c r="G10" s="213">
        <v>2220</v>
      </c>
      <c r="H10" s="213">
        <v>3000</v>
      </c>
      <c r="I10" s="213">
        <f>+H10</f>
        <v>3000</v>
      </c>
      <c r="J10" s="213">
        <f>+I10</f>
        <v>3000</v>
      </c>
      <c r="K10" s="213">
        <v>4515</v>
      </c>
      <c r="L10" s="213">
        <f>+K10</f>
        <v>4515</v>
      </c>
      <c r="M10" s="213">
        <f>+L10</f>
        <v>4515</v>
      </c>
      <c r="N10" s="213">
        <v>5644</v>
      </c>
      <c r="O10" s="213">
        <v>5644</v>
      </c>
      <c r="P10" s="213">
        <f>+O10</f>
        <v>5644</v>
      </c>
      <c r="Q10" s="213">
        <f>+P10*1.25</f>
        <v>7055</v>
      </c>
      <c r="R10" s="213">
        <f>+Q10</f>
        <v>7055</v>
      </c>
      <c r="S10" s="213">
        <f>+R10</f>
        <v>7055</v>
      </c>
      <c r="T10" s="213">
        <f>+S10*1.25</f>
        <v>8818.75</v>
      </c>
      <c r="U10" s="213">
        <f>T10</f>
        <v>8818.75</v>
      </c>
      <c r="V10" s="227">
        <f>+U10</f>
        <v>8818.75</v>
      </c>
      <c r="W10" s="227">
        <f>+V10</f>
        <v>8818.75</v>
      </c>
      <c r="X10" s="227">
        <v>10141</v>
      </c>
      <c r="Y10" s="227">
        <v>10142</v>
      </c>
      <c r="Z10" s="227">
        <v>11662</v>
      </c>
      <c r="AA10" s="227">
        <v>11662</v>
      </c>
      <c r="AB10" s="227">
        <v>11662</v>
      </c>
      <c r="AC10" s="227">
        <f>10983*1.059</f>
        <v>11630.996999999999</v>
      </c>
      <c r="AD10" s="227">
        <f>+AC10</f>
        <v>11630.996999999999</v>
      </c>
      <c r="AE10" s="227">
        <f>+AD10</f>
        <v>11630.996999999999</v>
      </c>
      <c r="AF10" s="227">
        <f>+AE10*1.063</f>
        <v>12363.749810999998</v>
      </c>
      <c r="AG10" s="227">
        <f t="shared" ref="AG10:AH10" si="0">+AF10</f>
        <v>12363.749810999998</v>
      </c>
      <c r="AH10" s="227">
        <f t="shared" si="0"/>
        <v>12363.749810999998</v>
      </c>
      <c r="AI10" s="1" t="s">
        <v>108</v>
      </c>
    </row>
    <row r="11" spans="1:37" ht="11.5" customHeight="1" x14ac:dyDescent="0.15">
      <c r="A11" s="219"/>
      <c r="B11" s="220"/>
      <c r="C11" s="14" t="s">
        <v>4</v>
      </c>
      <c r="D11" s="11"/>
      <c r="E11" s="222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28"/>
      <c r="W11" s="228"/>
      <c r="X11" s="228"/>
      <c r="Y11" s="228"/>
      <c r="Z11" s="228"/>
      <c r="AA11" s="228"/>
      <c r="AB11" s="228"/>
      <c r="AC11" s="228"/>
      <c r="AD11" s="228"/>
      <c r="AE11" s="228"/>
      <c r="AF11" s="228"/>
      <c r="AG11" s="228"/>
      <c r="AH11" s="228"/>
    </row>
    <row r="12" spans="1:37" x14ac:dyDescent="0.15">
      <c r="A12" s="11"/>
      <c r="B12" s="11"/>
      <c r="C12" s="15"/>
      <c r="D12" s="15"/>
      <c r="E12" s="16"/>
      <c r="F12" s="15"/>
      <c r="G12" s="15"/>
      <c r="H12" s="15"/>
      <c r="I12" s="15"/>
      <c r="J12" s="15"/>
      <c r="K12" s="15"/>
      <c r="L12" s="15"/>
      <c r="M12" s="15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</row>
    <row r="13" spans="1:37" x14ac:dyDescent="0.15">
      <c r="C13" s="17" t="s">
        <v>6</v>
      </c>
      <c r="D13" s="17"/>
      <c r="E13" s="17"/>
      <c r="F13" s="17"/>
      <c r="G13" s="17"/>
      <c r="H13" s="17"/>
      <c r="I13" s="17"/>
      <c r="J13" s="17"/>
      <c r="K13" s="18">
        <f>3150*K15</f>
        <v>2811201.5635200003</v>
      </c>
      <c r="L13" s="18">
        <f t="shared" ref="L13:V13" si="1">3150*L15</f>
        <v>2992417.2387076262</v>
      </c>
      <c r="M13" s="18">
        <f t="shared" si="1"/>
        <v>3185314.4387491974</v>
      </c>
      <c r="N13" s="18">
        <f t="shared" si="1"/>
        <v>3390646.1780998479</v>
      </c>
      <c r="O13" s="18">
        <f t="shared" si="1"/>
        <v>3609214.01203252</v>
      </c>
      <c r="P13" s="18">
        <f>3150*P15</f>
        <v>4253067</v>
      </c>
      <c r="Q13" s="18">
        <f t="shared" si="1"/>
        <v>2926350</v>
      </c>
      <c r="R13" s="18">
        <f>3150*R15</f>
        <v>2994075</v>
      </c>
      <c r="S13" s="18">
        <f>3150*S15</f>
        <v>3047625</v>
      </c>
      <c r="T13" s="18">
        <f>(3150+1983.71)*T15</f>
        <v>5077239.1900000004</v>
      </c>
      <c r="U13" s="18">
        <f t="shared" si="1"/>
        <v>3176775</v>
      </c>
      <c r="V13" s="18">
        <f t="shared" si="1"/>
        <v>3241350</v>
      </c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</row>
    <row r="14" spans="1:37" x14ac:dyDescent="0.1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r="15" spans="1:37" x14ac:dyDescent="0.15">
      <c r="A15" s="11"/>
      <c r="B15" s="11"/>
      <c r="C15" s="11" t="s">
        <v>7</v>
      </c>
      <c r="D15" s="11"/>
      <c r="E15" s="11">
        <v>545</v>
      </c>
      <c r="F15" s="11">
        <v>791</v>
      </c>
      <c r="G15" s="11">
        <v>813</v>
      </c>
      <c r="H15" s="11">
        <v>836</v>
      </c>
      <c r="I15" s="11">
        <v>840.44</v>
      </c>
      <c r="J15" s="11">
        <v>939</v>
      </c>
      <c r="K15" s="19">
        <v>892.44494080000004</v>
      </c>
      <c r="L15" s="19">
        <v>949.9737265738496</v>
      </c>
      <c r="M15" s="19">
        <v>1011.2109329362531</v>
      </c>
      <c r="N15" s="19">
        <v>1076.3956120951898</v>
      </c>
      <c r="O15" s="19">
        <v>1145.7822260420699</v>
      </c>
      <c r="P15" s="19">
        <v>1350.18</v>
      </c>
      <c r="Q15" s="19">
        <v>929</v>
      </c>
      <c r="R15" s="19">
        <v>950.5</v>
      </c>
      <c r="S15" s="19">
        <v>967.5</v>
      </c>
      <c r="T15" s="19">
        <v>989</v>
      </c>
      <c r="U15" s="19">
        <v>1008.5</v>
      </c>
      <c r="V15" s="19">
        <v>1029</v>
      </c>
      <c r="W15" s="19">
        <v>1049</v>
      </c>
      <c r="X15" s="19">
        <v>1049</v>
      </c>
      <c r="Y15" s="19">
        <v>1049</v>
      </c>
      <c r="Z15" s="199">
        <v>1049</v>
      </c>
      <c r="AA15" s="199">
        <v>1049</v>
      </c>
      <c r="AB15" s="199">
        <v>1049</v>
      </c>
      <c r="AC15" s="199">
        <v>1049</v>
      </c>
      <c r="AD15" s="199">
        <v>1049</v>
      </c>
      <c r="AE15" s="199">
        <v>1049</v>
      </c>
      <c r="AF15" s="199">
        <v>1049</v>
      </c>
      <c r="AG15" s="199">
        <v>1049</v>
      </c>
      <c r="AH15" s="199">
        <v>1049</v>
      </c>
      <c r="AI15" s="11"/>
      <c r="AJ15" s="20" t="s">
        <v>8</v>
      </c>
    </row>
    <row r="16" spans="1:37" ht="11.5" customHeight="1" x14ac:dyDescent="0.15">
      <c r="A16" s="223" t="s">
        <v>9</v>
      </c>
      <c r="B16" s="224"/>
      <c r="C16" s="8" t="s">
        <v>3</v>
      </c>
      <c r="D16" s="11"/>
      <c r="E16" s="21">
        <f t="shared" ref="E16:W18" si="2">+E23/E$15</f>
        <v>1055.0091743119267</v>
      </c>
      <c r="F16" s="21">
        <f t="shared" si="2"/>
        <v>620.25284450063214</v>
      </c>
      <c r="G16" s="21">
        <f t="shared" si="2"/>
        <v>428.70848708487085</v>
      </c>
      <c r="H16" s="21">
        <f t="shared" si="2"/>
        <v>541.86602870813397</v>
      </c>
      <c r="I16" s="21">
        <f t="shared" si="2"/>
        <v>6050.4021702917516</v>
      </c>
      <c r="J16" s="21">
        <f t="shared" si="2"/>
        <v>6376.9968051118212</v>
      </c>
      <c r="K16" s="21">
        <f t="shared" si="2"/>
        <v>0</v>
      </c>
      <c r="L16" s="21">
        <f t="shared" si="2"/>
        <v>0</v>
      </c>
      <c r="M16" s="21">
        <f t="shared" si="2"/>
        <v>0</v>
      </c>
      <c r="N16" s="21">
        <f t="shared" si="2"/>
        <v>0</v>
      </c>
      <c r="O16" s="21">
        <f t="shared" si="2"/>
        <v>0</v>
      </c>
      <c r="P16" s="21">
        <f t="shared" si="2"/>
        <v>0</v>
      </c>
      <c r="Q16" s="21">
        <f t="shared" si="2"/>
        <v>0</v>
      </c>
      <c r="R16" s="21">
        <f t="shared" si="2"/>
        <v>0</v>
      </c>
      <c r="S16" s="21">
        <f t="shared" si="2"/>
        <v>0</v>
      </c>
      <c r="T16" s="21">
        <f t="shared" si="2"/>
        <v>0</v>
      </c>
      <c r="U16" s="21">
        <f t="shared" si="2"/>
        <v>0</v>
      </c>
      <c r="V16" s="21">
        <f t="shared" si="2"/>
        <v>0</v>
      </c>
      <c r="W16" s="21">
        <f t="shared" si="2"/>
        <v>2244.6198760724501</v>
      </c>
      <c r="X16" s="21">
        <f t="shared" ref="X16:Y16" si="3">+X23/X$15</f>
        <v>3257.8808388941848</v>
      </c>
      <c r="Y16" s="21">
        <f t="shared" si="3"/>
        <v>4892.1372735938985</v>
      </c>
      <c r="Z16" s="21">
        <f t="shared" ref="Z16:AA16" si="4">+Z23/Z$15</f>
        <v>5336.28217349857</v>
      </c>
      <c r="AA16" s="21">
        <f t="shared" si="4"/>
        <v>6136.7244995233559</v>
      </c>
      <c r="AB16" s="21">
        <f t="shared" ref="AB16:AC16" si="5">+AB23/AB$15</f>
        <v>5525.2755004766441</v>
      </c>
      <c r="AC16" s="21">
        <f t="shared" si="5"/>
        <v>5577.1129561487123</v>
      </c>
      <c r="AD16" s="21">
        <f t="shared" ref="AD16:AE16" si="6">+AD23/AD$15</f>
        <v>6131.4979418493804</v>
      </c>
      <c r="AE16" s="21">
        <f t="shared" si="6"/>
        <v>5599.2883555767394</v>
      </c>
      <c r="AF16" s="21">
        <f t="shared" ref="AF16:AH16" si="7">+AF23/AF$15</f>
        <v>5975.615971570066</v>
      </c>
      <c r="AG16" s="21">
        <f t="shared" si="7"/>
        <v>0</v>
      </c>
      <c r="AH16" s="21">
        <f t="shared" si="7"/>
        <v>0</v>
      </c>
      <c r="AI16" s="11"/>
      <c r="AJ16" s="22">
        <f t="shared" ref="AJ16:AJ18" si="8">SUM(K16:V16)</f>
        <v>0</v>
      </c>
      <c r="AK16" s="1">
        <f>+W16*W15</f>
        <v>2354606.25</v>
      </c>
    </row>
    <row r="17" spans="1:37" ht="11.5" customHeight="1" x14ac:dyDescent="0.15">
      <c r="A17" s="225"/>
      <c r="B17" s="226"/>
      <c r="C17" s="8" t="s">
        <v>4</v>
      </c>
      <c r="D17" s="11"/>
      <c r="E17" s="21">
        <f t="shared" si="2"/>
        <v>138.49541284403671</v>
      </c>
      <c r="F17" s="21">
        <f t="shared" si="2"/>
        <v>64.551201011377998</v>
      </c>
      <c r="G17" s="21">
        <f t="shared" si="2"/>
        <v>40.959409594095938</v>
      </c>
      <c r="H17" s="21">
        <f t="shared" si="2"/>
        <v>57.41626794258373</v>
      </c>
      <c r="I17" s="21">
        <f t="shared" si="2"/>
        <v>913.80705344819376</v>
      </c>
      <c r="J17" s="21">
        <f t="shared" si="2"/>
        <v>1568.6900958466454</v>
      </c>
      <c r="K17" s="21">
        <f t="shared" si="2"/>
        <v>0</v>
      </c>
      <c r="L17" s="21">
        <f t="shared" si="2"/>
        <v>0</v>
      </c>
      <c r="M17" s="21">
        <f t="shared" si="2"/>
        <v>0</v>
      </c>
      <c r="N17" s="21">
        <f t="shared" si="2"/>
        <v>0</v>
      </c>
      <c r="O17" s="21">
        <f t="shared" si="2"/>
        <v>0</v>
      </c>
      <c r="P17" s="21">
        <f t="shared" si="2"/>
        <v>0</v>
      </c>
      <c r="Q17" s="21">
        <f t="shared" si="2"/>
        <v>0</v>
      </c>
      <c r="R17" s="21">
        <f t="shared" si="2"/>
        <v>0</v>
      </c>
      <c r="S17" s="21">
        <f t="shared" si="2"/>
        <v>0</v>
      </c>
      <c r="T17" s="21">
        <f t="shared" si="2"/>
        <v>0</v>
      </c>
      <c r="U17" s="21">
        <f t="shared" si="2"/>
        <v>0</v>
      </c>
      <c r="V17" s="21">
        <f t="shared" si="2"/>
        <v>0</v>
      </c>
      <c r="W17" s="21">
        <f t="shared" si="2"/>
        <v>117.6954242135367</v>
      </c>
      <c r="X17" s="21">
        <f t="shared" ref="X17:AC17" si="9">+X24/X$15</f>
        <v>145.0095328884652</v>
      </c>
      <c r="Y17" s="21">
        <f t="shared" si="9"/>
        <v>241.70638703527169</v>
      </c>
      <c r="Z17" s="21">
        <f t="shared" si="9"/>
        <v>244.57959961868445</v>
      </c>
      <c r="AA17" s="21">
        <f t="shared" si="9"/>
        <v>144.52430886558628</v>
      </c>
      <c r="AB17" s="21">
        <f t="shared" si="9"/>
        <v>322.4003813155386</v>
      </c>
      <c r="AC17" s="21">
        <f t="shared" si="9"/>
        <v>277.19249285033362</v>
      </c>
      <c r="AD17" s="21">
        <f t="shared" ref="AD17:AE17" si="10">+AD24/AD$15</f>
        <v>277.19249285033362</v>
      </c>
      <c r="AE17" s="21">
        <f t="shared" si="10"/>
        <v>210.66629456625358</v>
      </c>
      <c r="AF17" s="21">
        <f t="shared" ref="AF17:AH17" si="11">+AF24/AF$15</f>
        <v>341.80051908388936</v>
      </c>
      <c r="AG17" s="21">
        <f t="shared" si="11"/>
        <v>0</v>
      </c>
      <c r="AH17" s="21">
        <f t="shared" si="11"/>
        <v>0</v>
      </c>
      <c r="AI17" s="11"/>
      <c r="AJ17" s="22">
        <f t="shared" si="8"/>
        <v>0</v>
      </c>
      <c r="AK17" s="1">
        <f>+W17*W16</f>
        <v>264181.48851248319</v>
      </c>
    </row>
    <row r="18" spans="1:37" ht="12" customHeight="1" x14ac:dyDescent="0.15">
      <c r="A18" s="225"/>
      <c r="B18" s="226"/>
      <c r="C18" s="8" t="s">
        <v>6</v>
      </c>
      <c r="D18" s="11"/>
      <c r="E18" s="21"/>
      <c r="F18" s="21"/>
      <c r="G18" s="21"/>
      <c r="H18" s="21"/>
      <c r="I18" s="21"/>
      <c r="J18" s="21"/>
      <c r="K18" s="21">
        <f>+IF(K25/K$15&lt;3150,K25/K$15,3150)</f>
        <v>0</v>
      </c>
      <c r="L18" s="21">
        <f t="shared" si="2"/>
        <v>0</v>
      </c>
      <c r="M18" s="21">
        <f t="shared" si="2"/>
        <v>0</v>
      </c>
      <c r="N18" s="21">
        <f t="shared" si="2"/>
        <v>0</v>
      </c>
      <c r="O18" s="21">
        <f t="shared" si="2"/>
        <v>0</v>
      </c>
      <c r="P18" s="21">
        <f t="shared" si="2"/>
        <v>0</v>
      </c>
      <c r="Q18" s="21">
        <f t="shared" si="2"/>
        <v>0</v>
      </c>
      <c r="R18" s="21">
        <f t="shared" si="2"/>
        <v>0</v>
      </c>
      <c r="S18" s="21">
        <f t="shared" si="2"/>
        <v>0</v>
      </c>
      <c r="T18" s="21"/>
      <c r="U18" s="2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"/>
      <c r="AJ18" s="22">
        <f t="shared" si="8"/>
        <v>0</v>
      </c>
    </row>
    <row r="19" spans="1:37" ht="12" customHeight="1" x14ac:dyDescent="0.15">
      <c r="A19" s="107"/>
      <c r="B19" s="107"/>
      <c r="C19" s="8" t="s">
        <v>94</v>
      </c>
      <c r="D19" s="1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11"/>
      <c r="AJ19" s="22"/>
    </row>
    <row r="20" spans="1:37" x14ac:dyDescent="0.15">
      <c r="A20" s="11"/>
      <c r="B20" s="11"/>
      <c r="C20" s="23" t="s">
        <v>10</v>
      </c>
      <c r="D20" s="24"/>
      <c r="E20" s="25">
        <f t="shared" ref="E20:J20" si="12">SUM(E16:E17)</f>
        <v>1193.5045871559635</v>
      </c>
      <c r="F20" s="25">
        <f t="shared" si="12"/>
        <v>684.80404551201013</v>
      </c>
      <c r="G20" s="25">
        <f t="shared" si="12"/>
        <v>469.66789667896677</v>
      </c>
      <c r="H20" s="25">
        <f t="shared" si="12"/>
        <v>599.28229665071774</v>
      </c>
      <c r="I20" s="25">
        <f t="shared" si="12"/>
        <v>6964.2092237399456</v>
      </c>
      <c r="J20" s="25">
        <f t="shared" si="12"/>
        <v>7945.6869009584661</v>
      </c>
      <c r="K20" s="25">
        <f>SUM(K16:K18)</f>
        <v>0</v>
      </c>
      <c r="L20" s="25">
        <f t="shared" ref="L20:S20" si="13">SUM(L16:L18)</f>
        <v>0</v>
      </c>
      <c r="M20" s="25">
        <f t="shared" si="13"/>
        <v>0</v>
      </c>
      <c r="N20" s="25">
        <f t="shared" si="13"/>
        <v>0</v>
      </c>
      <c r="O20" s="25">
        <f t="shared" si="13"/>
        <v>0</v>
      </c>
      <c r="P20" s="25">
        <f t="shared" si="13"/>
        <v>0</v>
      </c>
      <c r="Q20" s="25">
        <f t="shared" si="13"/>
        <v>0</v>
      </c>
      <c r="R20" s="25">
        <f t="shared" si="13"/>
        <v>0</v>
      </c>
      <c r="S20" s="25">
        <f t="shared" si="13"/>
        <v>0</v>
      </c>
      <c r="T20" s="25">
        <f>SUM(T16:T19)</f>
        <v>0</v>
      </c>
      <c r="U20" s="25">
        <f>SUM(U16:U19)</f>
        <v>0</v>
      </c>
      <c r="V20" s="25">
        <f>SUM(V16:V19)</f>
        <v>0</v>
      </c>
      <c r="W20" s="25">
        <f t="shared" ref="W20:AB20" si="14">+W16+W17</f>
        <v>2362.3153002859867</v>
      </c>
      <c r="X20" s="25">
        <f t="shared" si="14"/>
        <v>3402.8903717826502</v>
      </c>
      <c r="Y20" s="25">
        <f t="shared" si="14"/>
        <v>5133.8436606291698</v>
      </c>
      <c r="Z20" s="25">
        <f t="shared" si="14"/>
        <v>5580.8617731172544</v>
      </c>
      <c r="AA20" s="25">
        <f t="shared" si="14"/>
        <v>6281.2488083889421</v>
      </c>
      <c r="AB20" s="25">
        <f t="shared" si="14"/>
        <v>5847.6758817921827</v>
      </c>
      <c r="AC20" s="25">
        <f t="shared" ref="AC20:AD20" si="15">+AC16+AC17</f>
        <v>5854.3054489990463</v>
      </c>
      <c r="AD20" s="25">
        <f t="shared" si="15"/>
        <v>6408.6904346997144</v>
      </c>
      <c r="AE20" s="25">
        <f t="shared" ref="AE20:AH20" si="16">+AE16+AE17</f>
        <v>5809.9546501429932</v>
      </c>
      <c r="AF20" s="25">
        <f t="shared" si="16"/>
        <v>6317.4164906539554</v>
      </c>
      <c r="AG20" s="25">
        <f t="shared" si="16"/>
        <v>0</v>
      </c>
      <c r="AH20" s="25">
        <f t="shared" si="16"/>
        <v>0</v>
      </c>
      <c r="AI20" s="11"/>
      <c r="AJ20" s="26">
        <f>SUM(K20:V20)</f>
        <v>0</v>
      </c>
    </row>
    <row r="21" spans="1:37" x14ac:dyDescent="0.15"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</row>
    <row r="22" spans="1:37" x14ac:dyDescent="0.1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05"/>
      <c r="L22" s="105"/>
      <c r="M22" s="105"/>
      <c r="N22" s="105"/>
      <c r="O22" s="105"/>
      <c r="P22" s="105"/>
      <c r="Q22" s="105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</row>
    <row r="23" spans="1:37" ht="11.5" customHeight="1" x14ac:dyDescent="0.15">
      <c r="A23" s="223" t="s">
        <v>11</v>
      </c>
      <c r="B23" s="224"/>
      <c r="C23" s="8" t="s">
        <v>3</v>
      </c>
      <c r="D23" s="11"/>
      <c r="E23" s="21">
        <f t="shared" ref="E23:U23" si="17">+E6*E10</f>
        <v>574980</v>
      </c>
      <c r="F23" s="21">
        <f t="shared" si="17"/>
        <v>490620</v>
      </c>
      <c r="G23" s="21">
        <f t="shared" si="17"/>
        <v>348540</v>
      </c>
      <c r="H23" s="21">
        <f t="shared" si="17"/>
        <v>453000</v>
      </c>
      <c r="I23" s="21">
        <f t="shared" si="17"/>
        <v>5085000</v>
      </c>
      <c r="J23" s="21">
        <f t="shared" si="17"/>
        <v>5988000</v>
      </c>
      <c r="K23" s="21">
        <f>+K6*K10</f>
        <v>0</v>
      </c>
      <c r="L23" s="21">
        <f>+L6*L10</f>
        <v>0</v>
      </c>
      <c r="M23" s="21">
        <f t="shared" si="17"/>
        <v>0</v>
      </c>
      <c r="N23" s="21">
        <f t="shared" si="17"/>
        <v>0</v>
      </c>
      <c r="O23" s="21">
        <f t="shared" si="17"/>
        <v>0</v>
      </c>
      <c r="P23" s="21">
        <f t="shared" si="17"/>
        <v>0</v>
      </c>
      <c r="Q23" s="21">
        <f t="shared" si="17"/>
        <v>0</v>
      </c>
      <c r="R23" s="21">
        <f t="shared" si="17"/>
        <v>0</v>
      </c>
      <c r="S23" s="21">
        <f t="shared" si="17"/>
        <v>0</v>
      </c>
      <c r="T23" s="21">
        <f t="shared" si="17"/>
        <v>0</v>
      </c>
      <c r="U23" s="21">
        <f t="shared" si="17"/>
        <v>0</v>
      </c>
      <c r="V23" s="21">
        <f t="shared" ref="V23:AA23" si="18">+V6*V10</f>
        <v>0</v>
      </c>
      <c r="W23" s="21">
        <f t="shared" si="18"/>
        <v>2354606.25</v>
      </c>
      <c r="X23" s="21">
        <f t="shared" si="18"/>
        <v>3417517</v>
      </c>
      <c r="Y23" s="21">
        <f t="shared" si="18"/>
        <v>5131852</v>
      </c>
      <c r="Z23" s="21">
        <f t="shared" si="18"/>
        <v>5597760</v>
      </c>
      <c r="AA23" s="21">
        <f t="shared" si="18"/>
        <v>6437424</v>
      </c>
      <c r="AB23" s="21">
        <f t="shared" ref="AB23:AC23" si="19">+AB6*AB10</f>
        <v>5796014</v>
      </c>
      <c r="AC23" s="21">
        <f t="shared" si="19"/>
        <v>5850391.4909999995</v>
      </c>
      <c r="AD23" s="21">
        <f t="shared" ref="AD23:AE23" si="20">+AD6*AD10</f>
        <v>6431941.341</v>
      </c>
      <c r="AE23" s="21">
        <f t="shared" si="20"/>
        <v>5873653.4849999994</v>
      </c>
      <c r="AF23" s="21">
        <f t="shared" ref="AF23:AH23" si="21">+AF6*AF10</f>
        <v>6268421.1541769989</v>
      </c>
      <c r="AG23" s="21">
        <f t="shared" si="21"/>
        <v>0</v>
      </c>
      <c r="AH23" s="21">
        <f t="shared" si="21"/>
        <v>0</v>
      </c>
      <c r="AI23" s="11"/>
      <c r="AJ23" s="22">
        <f>SUM(K23:V23)</f>
        <v>0</v>
      </c>
    </row>
    <row r="24" spans="1:37" ht="11.5" customHeight="1" x14ac:dyDescent="0.15">
      <c r="A24" s="225"/>
      <c r="B24" s="226"/>
      <c r="C24" s="8" t="s">
        <v>4</v>
      </c>
      <c r="D24" s="11"/>
      <c r="E24" s="21">
        <f t="shared" ref="E24:W24" si="22">+E7*E10</f>
        <v>75480</v>
      </c>
      <c r="F24" s="21">
        <f t="shared" si="22"/>
        <v>51060</v>
      </c>
      <c r="G24" s="21">
        <f t="shared" si="22"/>
        <v>33300</v>
      </c>
      <c r="H24" s="21">
        <f t="shared" si="22"/>
        <v>48000</v>
      </c>
      <c r="I24" s="21">
        <f t="shared" si="22"/>
        <v>768000</v>
      </c>
      <c r="J24" s="21">
        <f t="shared" si="22"/>
        <v>1473000</v>
      </c>
      <c r="K24" s="21">
        <f>+K7*K10</f>
        <v>0</v>
      </c>
      <c r="L24" s="21">
        <f t="shared" si="22"/>
        <v>0</v>
      </c>
      <c r="M24" s="21">
        <f t="shared" si="22"/>
        <v>0</v>
      </c>
      <c r="N24" s="21">
        <f t="shared" si="22"/>
        <v>0</v>
      </c>
      <c r="O24" s="21">
        <f t="shared" si="22"/>
        <v>0</v>
      </c>
      <c r="P24" s="21">
        <f t="shared" si="22"/>
        <v>0</v>
      </c>
      <c r="Q24" s="21">
        <f t="shared" si="22"/>
        <v>0</v>
      </c>
      <c r="R24" s="21">
        <f>+R7*R10</f>
        <v>0</v>
      </c>
      <c r="S24" s="21">
        <f>+S7*S10</f>
        <v>0</v>
      </c>
      <c r="T24" s="21">
        <f t="shared" si="22"/>
        <v>0</v>
      </c>
      <c r="U24" s="21">
        <f t="shared" si="22"/>
        <v>0</v>
      </c>
      <c r="V24" s="21">
        <f t="shared" si="22"/>
        <v>0</v>
      </c>
      <c r="W24" s="21">
        <f t="shared" si="22"/>
        <v>123462.5</v>
      </c>
      <c r="X24" s="21">
        <f t="shared" ref="X24:AC24" si="23">+X7*X10</f>
        <v>152115</v>
      </c>
      <c r="Y24" s="21">
        <f t="shared" si="23"/>
        <v>253550</v>
      </c>
      <c r="Z24" s="21">
        <f t="shared" si="23"/>
        <v>256564</v>
      </c>
      <c r="AA24" s="21">
        <f t="shared" si="23"/>
        <v>151606</v>
      </c>
      <c r="AB24" s="21">
        <f t="shared" si="23"/>
        <v>338198</v>
      </c>
      <c r="AC24" s="21">
        <f t="shared" si="23"/>
        <v>290774.92499999999</v>
      </c>
      <c r="AD24" s="21">
        <f t="shared" ref="AD24:AE24" si="24">+AD7*AD10</f>
        <v>290774.92499999999</v>
      </c>
      <c r="AE24" s="21">
        <f t="shared" si="24"/>
        <v>220988.943</v>
      </c>
      <c r="AF24" s="21">
        <f t="shared" ref="AF24:AH24" si="25">+AF7*AF10</f>
        <v>358548.74451899994</v>
      </c>
      <c r="AG24" s="21">
        <f t="shared" si="25"/>
        <v>0</v>
      </c>
      <c r="AH24" s="21">
        <f t="shared" si="25"/>
        <v>0</v>
      </c>
      <c r="AI24" s="11"/>
      <c r="AJ24" s="22">
        <f>SUM(K24:V24)</f>
        <v>0</v>
      </c>
    </row>
    <row r="25" spans="1:37" ht="12" customHeight="1" x14ac:dyDescent="0.15">
      <c r="A25" s="225"/>
      <c r="B25" s="226"/>
      <c r="C25" s="8" t="s">
        <v>6</v>
      </c>
      <c r="D25" s="28">
        <v>0.2</v>
      </c>
      <c r="E25" s="21"/>
      <c r="F25" s="21"/>
      <c r="G25" s="21"/>
      <c r="H25" s="21"/>
      <c r="I25" s="21"/>
      <c r="J25" s="21"/>
      <c r="K25" s="21">
        <f>+IF(SUM(K23:K24)*$D$25&gt;3150*K15,3150*K15,SUM(K23:K24)*$D$25)</f>
        <v>0</v>
      </c>
      <c r="L25" s="21">
        <f t="shared" ref="L25:S25" si="26">+IF(SUM(L23:L24)*$D$25&gt;3150*L15,3150*L15,SUM(L23:L24)*$D$25)</f>
        <v>0</v>
      </c>
      <c r="M25" s="21">
        <f t="shared" si="26"/>
        <v>0</v>
      </c>
      <c r="N25" s="21">
        <f t="shared" si="26"/>
        <v>0</v>
      </c>
      <c r="O25" s="21">
        <f t="shared" si="26"/>
        <v>0</v>
      </c>
      <c r="P25" s="21">
        <f t="shared" si="26"/>
        <v>0</v>
      </c>
      <c r="Q25" s="21">
        <f t="shared" si="26"/>
        <v>0</v>
      </c>
      <c r="R25" s="21">
        <f>+IF(SUM(R23:R24)*$D$25&gt;3150*R15,3150*R15,SUM(R23:R24)*$D$25)</f>
        <v>0</v>
      </c>
      <c r="S25" s="21">
        <f t="shared" si="26"/>
        <v>0</v>
      </c>
      <c r="T25" s="21">
        <f>+IF(SUM(T23:T24)*$D$25&gt;3150*T15,3150*T15,SUM(T23:T24)*$D$25)</f>
        <v>0</v>
      </c>
      <c r="U25" s="21">
        <f>+IF(SUM(U23:U24)*$D$25&gt;3150*U15,3150*U15,SUM(U23:U24)*$D$25)</f>
        <v>0</v>
      </c>
      <c r="V25" s="21">
        <f>+IF(SUM(V23:V24)*$D$25&gt;3150*V15,3150*V15,SUM(V23:V24)*$D$25)</f>
        <v>0</v>
      </c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11"/>
      <c r="AJ25" s="22">
        <f>SUM(K25:V25)</f>
        <v>0</v>
      </c>
    </row>
    <row r="26" spans="1:37" ht="12" customHeight="1" x14ac:dyDescent="0.15">
      <c r="A26" s="107"/>
      <c r="B26" s="107"/>
      <c r="C26" s="8" t="s">
        <v>94</v>
      </c>
      <c r="D26" s="28"/>
      <c r="E26" s="21"/>
      <c r="F26" s="21"/>
      <c r="G26" s="21"/>
      <c r="H26" s="21"/>
      <c r="I26" s="21"/>
      <c r="J26" s="21"/>
      <c r="K26" s="21">
        <f>+K19*K15</f>
        <v>0</v>
      </c>
      <c r="L26" s="21">
        <f t="shared" ref="L26:W26" si="27">+L19*L15</f>
        <v>0</v>
      </c>
      <c r="M26" s="21">
        <f t="shared" si="27"/>
        <v>0</v>
      </c>
      <c r="N26" s="21">
        <f t="shared" si="27"/>
        <v>0</v>
      </c>
      <c r="O26" s="21">
        <f t="shared" si="27"/>
        <v>0</v>
      </c>
      <c r="P26" s="21">
        <f t="shared" si="27"/>
        <v>0</v>
      </c>
      <c r="Q26" s="21">
        <f t="shared" si="27"/>
        <v>0</v>
      </c>
      <c r="R26" s="21">
        <f t="shared" si="27"/>
        <v>0</v>
      </c>
      <c r="S26" s="21">
        <f t="shared" si="27"/>
        <v>0</v>
      </c>
      <c r="T26" s="21">
        <f t="shared" si="27"/>
        <v>0</v>
      </c>
      <c r="U26" s="21">
        <f t="shared" si="27"/>
        <v>0</v>
      </c>
      <c r="V26" s="21">
        <f t="shared" si="27"/>
        <v>0</v>
      </c>
      <c r="W26" s="21">
        <f t="shared" si="27"/>
        <v>0</v>
      </c>
      <c r="X26" s="21">
        <f t="shared" ref="X26:Y26" si="28">+X19*X15</f>
        <v>0</v>
      </c>
      <c r="Y26" s="21">
        <f t="shared" si="28"/>
        <v>0</v>
      </c>
      <c r="Z26" s="21">
        <f t="shared" ref="Z26:AA26" si="29">+Z19*Z15</f>
        <v>0</v>
      </c>
      <c r="AA26" s="21">
        <f t="shared" si="29"/>
        <v>0</v>
      </c>
      <c r="AB26" s="21">
        <f t="shared" ref="AB26:AC26" si="30">+AB19*AB15</f>
        <v>0</v>
      </c>
      <c r="AC26" s="21">
        <f t="shared" si="30"/>
        <v>0</v>
      </c>
      <c r="AD26" s="21">
        <f t="shared" ref="AD26:AE26" si="31">+AD19*AD15</f>
        <v>0</v>
      </c>
      <c r="AE26" s="21">
        <f t="shared" si="31"/>
        <v>0</v>
      </c>
      <c r="AF26" s="21">
        <f t="shared" ref="AF26:AH26" si="32">+AF19*AF15</f>
        <v>0</v>
      </c>
      <c r="AG26" s="21">
        <f t="shared" si="32"/>
        <v>0</v>
      </c>
      <c r="AH26" s="21">
        <f t="shared" si="32"/>
        <v>0</v>
      </c>
      <c r="AI26" s="11"/>
      <c r="AJ26" s="22"/>
    </row>
    <row r="27" spans="1:37" x14ac:dyDescent="0.15">
      <c r="A27" s="11"/>
      <c r="B27" s="11"/>
      <c r="C27" s="23" t="s">
        <v>12</v>
      </c>
      <c r="D27" s="24"/>
      <c r="E27" s="25">
        <f t="shared" ref="E27:J27" si="33">SUM(E23:E24)</f>
        <v>650460</v>
      </c>
      <c r="F27" s="25">
        <f t="shared" si="33"/>
        <v>541680</v>
      </c>
      <c r="G27" s="25">
        <f t="shared" si="33"/>
        <v>381840</v>
      </c>
      <c r="H27" s="25">
        <f t="shared" si="33"/>
        <v>501000</v>
      </c>
      <c r="I27" s="25">
        <f t="shared" si="33"/>
        <v>5853000</v>
      </c>
      <c r="J27" s="25">
        <f t="shared" si="33"/>
        <v>7461000</v>
      </c>
      <c r="K27" s="25">
        <f t="shared" ref="K27:S27" si="34">SUM(K23:K26)</f>
        <v>0</v>
      </c>
      <c r="L27" s="25">
        <f t="shared" si="34"/>
        <v>0</v>
      </c>
      <c r="M27" s="25">
        <f t="shared" si="34"/>
        <v>0</v>
      </c>
      <c r="N27" s="25">
        <f t="shared" si="34"/>
        <v>0</v>
      </c>
      <c r="O27" s="25">
        <f t="shared" si="34"/>
        <v>0</v>
      </c>
      <c r="P27" s="25">
        <f t="shared" si="34"/>
        <v>0</v>
      </c>
      <c r="Q27" s="25">
        <f t="shared" si="34"/>
        <v>0</v>
      </c>
      <c r="R27" s="25">
        <f t="shared" si="34"/>
        <v>0</v>
      </c>
      <c r="S27" s="25">
        <f t="shared" si="34"/>
        <v>0</v>
      </c>
      <c r="T27" s="25">
        <f t="shared" ref="T27:Z27" si="35">SUM(T23:T26)</f>
        <v>0</v>
      </c>
      <c r="U27" s="25">
        <f t="shared" si="35"/>
        <v>0</v>
      </c>
      <c r="V27" s="25">
        <f t="shared" si="35"/>
        <v>0</v>
      </c>
      <c r="W27" s="25">
        <f t="shared" si="35"/>
        <v>2478068.75</v>
      </c>
      <c r="X27" s="25">
        <f t="shared" si="35"/>
        <v>3569632</v>
      </c>
      <c r="Y27" s="25">
        <f t="shared" si="35"/>
        <v>5385402</v>
      </c>
      <c r="Z27" s="25">
        <f t="shared" si="35"/>
        <v>5854324</v>
      </c>
      <c r="AA27" s="25">
        <f t="shared" ref="AA27:AB27" si="36">SUM(AA23:AA26)</f>
        <v>6589030</v>
      </c>
      <c r="AB27" s="25">
        <f t="shared" si="36"/>
        <v>6134212</v>
      </c>
      <c r="AC27" s="25">
        <f t="shared" ref="AC27:AD27" si="37">SUM(AC23:AC26)</f>
        <v>6141166.4159999993</v>
      </c>
      <c r="AD27" s="25">
        <f t="shared" si="37"/>
        <v>6722716.2659999998</v>
      </c>
      <c r="AE27" s="25">
        <f t="shared" ref="AE27:AH27" si="38">SUM(AE23:AE26)</f>
        <v>6094642.4279999994</v>
      </c>
      <c r="AF27" s="25">
        <f t="shared" si="38"/>
        <v>6626969.8986959988</v>
      </c>
      <c r="AG27" s="25">
        <f t="shared" si="38"/>
        <v>0</v>
      </c>
      <c r="AH27" s="25">
        <f t="shared" si="38"/>
        <v>0</v>
      </c>
      <c r="AI27" s="11"/>
      <c r="AJ27" s="26">
        <f>SUM(K27:V27)</f>
        <v>0</v>
      </c>
    </row>
    <row r="30" spans="1:37" x14ac:dyDescent="0.15">
      <c r="K30" s="27"/>
      <c r="L30" s="29"/>
      <c r="O30" s="30"/>
      <c r="P30" s="108">
        <f>+P23+P24</f>
        <v>0</v>
      </c>
      <c r="Q30" s="108">
        <f t="shared" ref="Q30:T30" si="39">+Q23+Q24</f>
        <v>0</v>
      </c>
      <c r="R30" s="108">
        <f t="shared" si="39"/>
        <v>0</v>
      </c>
      <c r="S30" s="108">
        <f t="shared" si="39"/>
        <v>0</v>
      </c>
      <c r="T30" s="108">
        <f t="shared" si="39"/>
        <v>0</v>
      </c>
      <c r="U30" s="108">
        <f>+U23+U24</f>
        <v>0</v>
      </c>
      <c r="V30" s="108">
        <f t="shared" ref="V30:W30" si="40">+V23+V24</f>
        <v>0</v>
      </c>
      <c r="W30" s="108">
        <f t="shared" si="40"/>
        <v>2478068.75</v>
      </c>
      <c r="X30" s="108">
        <f t="shared" ref="X30:Y30" si="41">+X23+X24</f>
        <v>3569632</v>
      </c>
      <c r="Y30" s="108">
        <f t="shared" si="41"/>
        <v>5385402</v>
      </c>
      <c r="Z30" s="108">
        <f t="shared" ref="Z30:AA30" si="42">+Z23+Z24</f>
        <v>5854324</v>
      </c>
      <c r="AA30" s="108">
        <f t="shared" si="42"/>
        <v>6589030</v>
      </c>
      <c r="AB30" s="108">
        <f t="shared" ref="AB30:AC30" si="43">+AB23+AB24</f>
        <v>6134212</v>
      </c>
      <c r="AC30" s="108">
        <f t="shared" si="43"/>
        <v>6141166.4159999993</v>
      </c>
      <c r="AD30" s="108">
        <f t="shared" ref="AD30:AE30" si="44">+AD23+AD24</f>
        <v>6722716.2659999998</v>
      </c>
      <c r="AE30" s="108">
        <f t="shared" si="44"/>
        <v>6094642.4279999994</v>
      </c>
      <c r="AF30" s="108">
        <f t="shared" ref="AF30:AH30" si="45">+AF23+AF24</f>
        <v>6626969.8986959988</v>
      </c>
      <c r="AG30" s="108">
        <f t="shared" si="45"/>
        <v>0</v>
      </c>
      <c r="AH30" s="108">
        <f t="shared" si="45"/>
        <v>0</v>
      </c>
    </row>
    <row r="31" spans="1:37" x14ac:dyDescent="0.15">
      <c r="K31" s="104"/>
      <c r="O31" s="30"/>
      <c r="P31" s="109">
        <f>+P25</f>
        <v>0</v>
      </c>
      <c r="Q31" s="109">
        <f t="shared" ref="Q31:T31" si="46">+Q25</f>
        <v>0</v>
      </c>
      <c r="R31" s="109">
        <f t="shared" si="46"/>
        <v>0</v>
      </c>
      <c r="S31" s="109">
        <f t="shared" si="46"/>
        <v>0</v>
      </c>
      <c r="T31" s="109">
        <f t="shared" si="46"/>
        <v>0</v>
      </c>
      <c r="U31" s="109">
        <f>+U25</f>
        <v>0</v>
      </c>
      <c r="V31" s="109">
        <f t="shared" ref="V31:W31" si="47">+V25</f>
        <v>0</v>
      </c>
      <c r="W31" s="109">
        <f t="shared" si="47"/>
        <v>0</v>
      </c>
      <c r="X31" s="109">
        <f t="shared" ref="X31:Y31" si="48">+X25</f>
        <v>0</v>
      </c>
      <c r="Y31" s="109">
        <f t="shared" si="48"/>
        <v>0</v>
      </c>
      <c r="Z31" s="109">
        <f t="shared" ref="Z31:AA31" si="49">+Z25</f>
        <v>0</v>
      </c>
      <c r="AA31" s="109">
        <f t="shared" si="49"/>
        <v>0</v>
      </c>
      <c r="AB31" s="109">
        <f t="shared" ref="AB31:AC31" si="50">+AB25</f>
        <v>0</v>
      </c>
      <c r="AC31" s="109">
        <f t="shared" si="50"/>
        <v>0</v>
      </c>
      <c r="AD31" s="109">
        <f t="shared" ref="AD31:AE31" si="51">+AD25</f>
        <v>0</v>
      </c>
      <c r="AE31" s="109">
        <f t="shared" si="51"/>
        <v>0</v>
      </c>
      <c r="AF31" s="109">
        <f t="shared" ref="AF31:AH31" si="52">+AF25</f>
        <v>0</v>
      </c>
      <c r="AG31" s="109">
        <f t="shared" si="52"/>
        <v>0</v>
      </c>
      <c r="AH31" s="109">
        <f t="shared" si="52"/>
        <v>0</v>
      </c>
    </row>
    <row r="32" spans="1:37" x14ac:dyDescent="0.15">
      <c r="O32" s="30"/>
      <c r="P32" s="110">
        <f t="shared" ref="P32:S32" si="53">+P30+P31</f>
        <v>0</v>
      </c>
      <c r="Q32" s="110">
        <f t="shared" si="53"/>
        <v>0</v>
      </c>
      <c r="R32" s="110">
        <f t="shared" si="53"/>
        <v>0</v>
      </c>
      <c r="S32" s="110">
        <f t="shared" si="53"/>
        <v>0</v>
      </c>
      <c r="T32" s="110">
        <f t="shared" ref="T32:Z32" si="54">+T30+T31</f>
        <v>0</v>
      </c>
      <c r="U32" s="110">
        <f t="shared" si="54"/>
        <v>0</v>
      </c>
      <c r="V32" s="110">
        <f t="shared" si="54"/>
        <v>0</v>
      </c>
      <c r="W32" s="110">
        <f t="shared" si="54"/>
        <v>2478068.75</v>
      </c>
      <c r="X32" s="110">
        <f t="shared" si="54"/>
        <v>3569632</v>
      </c>
      <c r="Y32" s="110">
        <f t="shared" si="54"/>
        <v>5385402</v>
      </c>
      <c r="Z32" s="110">
        <f t="shared" si="54"/>
        <v>5854324</v>
      </c>
      <c r="AA32" s="110">
        <f t="shared" ref="AA32:AB32" si="55">+AA30+AA31</f>
        <v>6589030</v>
      </c>
      <c r="AB32" s="110">
        <f t="shared" si="55"/>
        <v>6134212</v>
      </c>
      <c r="AC32" s="110">
        <f t="shared" ref="AC32:AD32" si="56">+AC30+AC31</f>
        <v>6141166.4159999993</v>
      </c>
      <c r="AD32" s="110">
        <f t="shared" si="56"/>
        <v>6722716.2659999998</v>
      </c>
      <c r="AE32" s="110">
        <f t="shared" ref="AE32:AH32" si="57">+AE30+AE31</f>
        <v>6094642.4279999994</v>
      </c>
      <c r="AF32" s="110">
        <f t="shared" si="57"/>
        <v>6626969.8986959988</v>
      </c>
      <c r="AG32" s="110">
        <f t="shared" si="57"/>
        <v>0</v>
      </c>
      <c r="AH32" s="110">
        <f t="shared" si="57"/>
        <v>0</v>
      </c>
    </row>
    <row r="33" spans="11:21" x14ac:dyDescent="0.15">
      <c r="O33" s="30"/>
      <c r="P33" s="32"/>
      <c r="Q33" s="31"/>
    </row>
    <row r="34" spans="11:21" x14ac:dyDescent="0.15">
      <c r="O34" s="30"/>
      <c r="P34" s="32"/>
      <c r="Q34" s="31"/>
    </row>
    <row r="35" spans="11:21" x14ac:dyDescent="0.15">
      <c r="O35" s="30"/>
      <c r="P35" s="32"/>
      <c r="Q35" s="31"/>
    </row>
    <row r="36" spans="11:21" x14ac:dyDescent="0.15">
      <c r="O36" s="30"/>
      <c r="P36" s="32"/>
      <c r="Q36" s="31"/>
    </row>
    <row r="37" spans="11:21" x14ac:dyDescent="0.15">
      <c r="O37" s="30"/>
      <c r="P37" s="32"/>
      <c r="Q37" s="31"/>
    </row>
    <row r="38" spans="11:21" x14ac:dyDescent="0.15">
      <c r="K38" s="113"/>
      <c r="L38" s="113"/>
      <c r="O38" s="30"/>
      <c r="P38" s="112"/>
      <c r="Q38" s="31"/>
      <c r="U38" s="113"/>
    </row>
    <row r="39" spans="11:21" x14ac:dyDescent="0.15">
      <c r="O39" s="30"/>
      <c r="P39" s="32"/>
      <c r="Q39" s="31"/>
    </row>
  </sheetData>
  <mergeCells count="35">
    <mergeCell ref="A23:B25"/>
    <mergeCell ref="R10:R11"/>
    <mergeCell ref="S10:S11"/>
    <mergeCell ref="T10:T11"/>
    <mergeCell ref="L10:L11"/>
    <mergeCell ref="M10:M11"/>
    <mergeCell ref="N10:N11"/>
    <mergeCell ref="O10:O11"/>
    <mergeCell ref="P10:P11"/>
    <mergeCell ref="Q10:Q11"/>
    <mergeCell ref="X10:X11"/>
    <mergeCell ref="W10:W11"/>
    <mergeCell ref="AD10:AD11"/>
    <mergeCell ref="AC10:AC11"/>
    <mergeCell ref="A16:B18"/>
    <mergeCell ref="AB10:AB11"/>
    <mergeCell ref="AA10:AA11"/>
    <mergeCell ref="Z10:Z11"/>
    <mergeCell ref="D1:V3"/>
    <mergeCell ref="A6:B7"/>
    <mergeCell ref="A10:B11"/>
    <mergeCell ref="E10:E11"/>
    <mergeCell ref="F10:F11"/>
    <mergeCell ref="G10:G11"/>
    <mergeCell ref="H10:H11"/>
    <mergeCell ref="I10:I11"/>
    <mergeCell ref="J10:J11"/>
    <mergeCell ref="K10:K11"/>
    <mergeCell ref="U10:U11"/>
    <mergeCell ref="V10:V11"/>
    <mergeCell ref="AE10:AE11"/>
    <mergeCell ref="AF10:AF11"/>
    <mergeCell ref="AG10:AG11"/>
    <mergeCell ref="AH10:AH11"/>
    <mergeCell ref="Y10:Y11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1231-10D2-4782-A704-B452F68690CB}">
  <dimension ref="A1:Y113"/>
  <sheetViews>
    <sheetView topLeftCell="H1" workbookViewId="0">
      <selection activeCell="N12" sqref="N12"/>
    </sheetView>
  </sheetViews>
  <sheetFormatPr baseColWidth="10" defaultColWidth="11.5" defaultRowHeight="15" x14ac:dyDescent="0.2"/>
  <cols>
    <col min="1" max="1" width="0.83203125" style="33" customWidth="1"/>
    <col min="2" max="2" width="43.5" style="38" customWidth="1"/>
    <col min="3" max="3" width="0.83203125" style="33" customWidth="1"/>
    <col min="4" max="4" width="13.5" style="38" customWidth="1"/>
    <col min="5" max="5" width="11.33203125" style="38" customWidth="1"/>
    <col min="6" max="6" width="11.6640625" style="38" customWidth="1"/>
    <col min="7" max="7" width="11.33203125" style="38" customWidth="1"/>
    <col min="8" max="8" width="11.6640625" style="38" customWidth="1"/>
    <col min="9" max="10" width="11.5" style="38"/>
    <col min="11" max="11" width="11.1640625" style="38" customWidth="1"/>
    <col min="12" max="12" width="11" style="38" customWidth="1"/>
    <col min="13" max="13" width="10.6640625" style="38" customWidth="1"/>
    <col min="14" max="14" width="12.5" style="38" bestFit="1" customWidth="1"/>
    <col min="15" max="15" width="12.5" style="38" customWidth="1"/>
    <col min="16" max="16" width="1.5" style="33" customWidth="1"/>
    <col min="17" max="17" width="20.1640625" style="33" customWidth="1"/>
    <col min="18" max="18" width="18.1640625" style="35" customWidth="1"/>
    <col min="19" max="25" width="11.5" style="33"/>
    <col min="26" max="16384" width="11.5" style="38"/>
  </cols>
  <sheetData>
    <row r="1" spans="2:20" s="33" customFormat="1" ht="9" customHeight="1" x14ac:dyDescent="0.25">
      <c r="P1" s="34"/>
      <c r="R1" s="35"/>
    </row>
    <row r="2" spans="2:20" s="33" customFormat="1" ht="9" customHeight="1" x14ac:dyDescent="0.25">
      <c r="P2" s="34"/>
      <c r="R2" s="35"/>
    </row>
    <row r="3" spans="2:20" s="33" customFormat="1" ht="19.5" customHeight="1" x14ac:dyDescent="0.25">
      <c r="B3" s="229" t="s">
        <v>13</v>
      </c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</row>
    <row r="4" spans="2:20" s="33" customFormat="1" ht="4" customHeight="1" thickBot="1" x14ac:dyDescent="0.3"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R4" s="35"/>
    </row>
    <row r="5" spans="2:20" ht="16.5" customHeight="1" thickBot="1" x14ac:dyDescent="0.25">
      <c r="B5" s="36" t="s">
        <v>14</v>
      </c>
      <c r="C5" s="37"/>
      <c r="D5" s="230" t="s">
        <v>15</v>
      </c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</row>
    <row r="6" spans="2:20" ht="3" customHeight="1" thickBot="1" x14ac:dyDescent="0.25">
      <c r="B6" s="39"/>
      <c r="C6" s="37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</row>
    <row r="7" spans="2:20" ht="16" thickBot="1" x14ac:dyDescent="0.25">
      <c r="B7" s="36" t="s">
        <v>16</v>
      </c>
      <c r="C7" s="37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1"/>
      <c r="Q7" s="42"/>
      <c r="R7" s="43"/>
      <c r="S7" s="44"/>
    </row>
    <row r="8" spans="2:20" ht="3" customHeight="1" thickBot="1" x14ac:dyDescent="0.25">
      <c r="B8" s="39"/>
      <c r="C8" s="37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1"/>
      <c r="Q8" s="42"/>
      <c r="R8" s="43"/>
    </row>
    <row r="9" spans="2:20" ht="16" thickBot="1" x14ac:dyDescent="0.25">
      <c r="B9" s="36" t="s">
        <v>17</v>
      </c>
      <c r="C9" s="37"/>
      <c r="D9" s="46">
        <v>45292</v>
      </c>
      <c r="E9" s="46">
        <v>45323</v>
      </c>
      <c r="F9" s="46">
        <v>45352</v>
      </c>
      <c r="G9" s="46">
        <v>45383</v>
      </c>
      <c r="H9" s="46">
        <v>45413</v>
      </c>
      <c r="I9" s="46">
        <v>45444</v>
      </c>
      <c r="J9" s="46">
        <v>45474</v>
      </c>
      <c r="K9" s="46">
        <v>45505</v>
      </c>
      <c r="L9" s="46">
        <v>45536</v>
      </c>
      <c r="M9" s="46">
        <v>45566</v>
      </c>
      <c r="N9" s="46">
        <v>45597</v>
      </c>
      <c r="O9" s="46">
        <v>45627</v>
      </c>
      <c r="P9" s="47"/>
      <c r="Q9" s="48" t="s">
        <v>18</v>
      </c>
      <c r="R9" s="48" t="s">
        <v>19</v>
      </c>
    </row>
    <row r="10" spans="2:20" ht="3" customHeight="1" x14ac:dyDescent="0.2">
      <c r="B10" s="39"/>
      <c r="C10" s="37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50"/>
    </row>
    <row r="11" spans="2:20" x14ac:dyDescent="0.2">
      <c r="B11" s="36" t="s">
        <v>20</v>
      </c>
      <c r="C11" s="35"/>
    </row>
    <row r="12" spans="2:20" x14ac:dyDescent="0.2">
      <c r="B12" s="51" t="s">
        <v>21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/>
      <c r="O12" s="52"/>
      <c r="P12" s="53"/>
      <c r="Q12" s="54">
        <f>SUM(D12:O12)</f>
        <v>0</v>
      </c>
      <c r="R12" s="54">
        <f>IFERROR(Q12/(COUNT(D12:O12)),0)</f>
        <v>0</v>
      </c>
      <c r="T12" s="55"/>
    </row>
    <row r="13" spans="2:20" x14ac:dyDescent="0.2">
      <c r="B13" s="51" t="s">
        <v>22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/>
      <c r="O13" s="56"/>
      <c r="P13" s="57"/>
      <c r="Q13" s="58">
        <f>SUM(D13:O13)</f>
        <v>0</v>
      </c>
      <c r="R13" s="58">
        <f>IFERROR(Q13/(COUNT(D13:O13)),0)</f>
        <v>0</v>
      </c>
      <c r="T13" s="44"/>
    </row>
    <row r="14" spans="2:20" x14ac:dyDescent="0.2">
      <c r="B14" s="51" t="s">
        <v>23</v>
      </c>
      <c r="D14" s="59">
        <v>0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/>
      <c r="O14" s="59"/>
      <c r="P14" s="53"/>
      <c r="Q14" s="60"/>
      <c r="R14" s="60">
        <f>IFERROR(Q13/Q12,0)</f>
        <v>0</v>
      </c>
    </row>
    <row r="15" spans="2:20" x14ac:dyDescent="0.2">
      <c r="B15" s="36" t="s">
        <v>24</v>
      </c>
      <c r="C15" s="35"/>
      <c r="D15"/>
      <c r="E15"/>
      <c r="F15"/>
      <c r="G15"/>
      <c r="H15"/>
      <c r="I15"/>
      <c r="J15"/>
      <c r="K15"/>
      <c r="L15"/>
      <c r="M15"/>
      <c r="N15"/>
      <c r="O15"/>
      <c r="P15" s="42"/>
      <c r="Q15" s="61"/>
      <c r="R15" s="61"/>
    </row>
    <row r="16" spans="2:20" x14ac:dyDescent="0.2">
      <c r="B16" s="51" t="s">
        <v>25</v>
      </c>
      <c r="D16" s="52">
        <v>1703</v>
      </c>
      <c r="E16" s="52">
        <v>1604</v>
      </c>
      <c r="F16" s="52">
        <v>1757</v>
      </c>
      <c r="G16" s="52">
        <v>1527</v>
      </c>
      <c r="H16" s="52">
        <v>1568</v>
      </c>
      <c r="I16" s="52">
        <v>1621</v>
      </c>
      <c r="J16" s="52">
        <v>1738</v>
      </c>
      <c r="K16" s="52">
        <v>1675</v>
      </c>
      <c r="L16" s="52">
        <v>2062</v>
      </c>
      <c r="M16" s="52">
        <v>2572</v>
      </c>
      <c r="N16" s="52"/>
      <c r="O16" s="52"/>
      <c r="P16" s="62"/>
      <c r="Q16" s="54">
        <f>SUM(D16:O16)</f>
        <v>17827</v>
      </c>
      <c r="R16" s="54">
        <f>IFERROR(Q16/(COUNT(D16:O16)),0)</f>
        <v>1782.7</v>
      </c>
    </row>
    <row r="17" spans="2:18" s="63" customFormat="1" x14ac:dyDescent="0.2">
      <c r="B17" s="64" t="s">
        <v>26</v>
      </c>
      <c r="D17" s="65">
        <v>1141</v>
      </c>
      <c r="E17" s="65">
        <v>1013</v>
      </c>
      <c r="F17" s="65">
        <v>1083</v>
      </c>
      <c r="G17" s="65">
        <v>1110</v>
      </c>
      <c r="H17" s="65">
        <v>1256</v>
      </c>
      <c r="I17" s="65">
        <v>1301</v>
      </c>
      <c r="J17" s="65">
        <v>1445</v>
      </c>
      <c r="K17" s="65">
        <v>1256</v>
      </c>
      <c r="L17" s="65">
        <v>1501</v>
      </c>
      <c r="M17" s="65">
        <v>1887</v>
      </c>
      <c r="N17" s="65"/>
      <c r="O17" s="65"/>
      <c r="P17" s="66"/>
      <c r="Q17" s="67">
        <f>SUM(D17:O17)</f>
        <v>12993</v>
      </c>
      <c r="R17" s="67">
        <f>IFERROR(Q17/(COUNT(D17:O17)),0)</f>
        <v>1299.3</v>
      </c>
    </row>
    <row r="18" spans="2:18" x14ac:dyDescent="0.2">
      <c r="B18" s="51" t="s">
        <v>27</v>
      </c>
      <c r="D18" s="68">
        <v>0.66999412800939517</v>
      </c>
      <c r="E18" s="68">
        <v>0.63154613466334164</v>
      </c>
      <c r="F18" s="68">
        <v>0.61639157655093912</v>
      </c>
      <c r="G18" s="68">
        <v>0.7269155206286837</v>
      </c>
      <c r="H18" s="68">
        <v>0.80102040816326525</v>
      </c>
      <c r="I18" s="68">
        <v>0.80259099321406535</v>
      </c>
      <c r="J18" s="68">
        <v>0.83141542002301494</v>
      </c>
      <c r="K18" s="68">
        <v>0.74985074626865666</v>
      </c>
      <c r="L18" s="68">
        <v>0.72793404461687683</v>
      </c>
      <c r="M18" s="68">
        <v>0.73367029548989116</v>
      </c>
      <c r="N18" s="68"/>
      <c r="O18" s="68"/>
      <c r="P18" s="62"/>
      <c r="Q18" s="69">
        <f>IFERROR(Q17/Q16,0)</f>
        <v>0.72883827901497733</v>
      </c>
      <c r="R18" s="69">
        <f>IFERROR(R17/R16,0)</f>
        <v>0.72883827901497722</v>
      </c>
    </row>
    <row r="19" spans="2:18" s="33" customFormat="1" x14ac:dyDescent="0.2">
      <c r="B19" s="70" t="s">
        <v>28</v>
      </c>
      <c r="D19" s="52">
        <v>1141</v>
      </c>
      <c r="E19" s="52">
        <v>1013</v>
      </c>
      <c r="F19" s="52">
        <v>1083</v>
      </c>
      <c r="G19" s="52">
        <v>1110</v>
      </c>
      <c r="H19" s="52">
        <v>1256</v>
      </c>
      <c r="I19" s="52">
        <v>1301</v>
      </c>
      <c r="J19" s="52">
        <v>1445</v>
      </c>
      <c r="K19" s="52">
        <v>1256</v>
      </c>
      <c r="L19" s="52">
        <v>1501</v>
      </c>
      <c r="M19" s="52">
        <v>1886</v>
      </c>
      <c r="N19" s="52"/>
      <c r="O19" s="52"/>
      <c r="P19" s="62"/>
      <c r="Q19" s="54">
        <f t="shared" ref="Q19:Q27" si="0">SUM(D19:O19)</f>
        <v>12992</v>
      </c>
      <c r="R19" s="54">
        <f t="shared" ref="R19:R27" si="1">IFERROR(Q19/(COUNT(D19:O19)),0)</f>
        <v>1299.2</v>
      </c>
    </row>
    <row r="20" spans="2:18" s="33" customFormat="1" x14ac:dyDescent="0.2">
      <c r="B20" s="70" t="s">
        <v>29</v>
      </c>
      <c r="D20" s="52">
        <v>786</v>
      </c>
      <c r="E20" s="52">
        <v>732</v>
      </c>
      <c r="F20" s="52">
        <v>828</v>
      </c>
      <c r="G20" s="52">
        <v>832</v>
      </c>
      <c r="H20" s="52">
        <v>916</v>
      </c>
      <c r="I20" s="52">
        <v>934</v>
      </c>
      <c r="J20" s="52">
        <v>1032</v>
      </c>
      <c r="K20" s="52">
        <v>869</v>
      </c>
      <c r="L20" s="52">
        <v>888</v>
      </c>
      <c r="M20" s="52">
        <v>1600</v>
      </c>
      <c r="N20" s="52"/>
      <c r="O20" s="52"/>
      <c r="P20" s="62"/>
      <c r="Q20" s="54">
        <f t="shared" si="0"/>
        <v>9417</v>
      </c>
      <c r="R20" s="54">
        <f t="shared" si="1"/>
        <v>941.7</v>
      </c>
    </row>
    <row r="21" spans="2:18" s="33" customFormat="1" x14ac:dyDescent="0.2">
      <c r="B21" s="70" t="s">
        <v>30</v>
      </c>
      <c r="D21" s="52">
        <v>355</v>
      </c>
      <c r="E21" s="52">
        <v>281</v>
      </c>
      <c r="F21" s="52">
        <v>255</v>
      </c>
      <c r="G21" s="52">
        <v>278</v>
      </c>
      <c r="H21" s="52">
        <v>340</v>
      </c>
      <c r="I21" s="52">
        <v>367</v>
      </c>
      <c r="J21" s="52">
        <v>413</v>
      </c>
      <c r="K21" s="52">
        <v>387</v>
      </c>
      <c r="L21" s="52">
        <v>613</v>
      </c>
      <c r="M21" s="52">
        <v>286</v>
      </c>
      <c r="N21" s="52"/>
      <c r="O21" s="52"/>
      <c r="P21" s="62"/>
      <c r="Q21" s="54">
        <f t="shared" si="0"/>
        <v>3575</v>
      </c>
      <c r="R21" s="54">
        <f t="shared" si="1"/>
        <v>357.5</v>
      </c>
    </row>
    <row r="22" spans="2:18" x14ac:dyDescent="0.2">
      <c r="B22" s="51" t="s">
        <v>31</v>
      </c>
      <c r="D22" s="52">
        <v>1</v>
      </c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52">
        <v>0</v>
      </c>
      <c r="K22" s="52">
        <v>0</v>
      </c>
      <c r="L22" s="52">
        <v>0</v>
      </c>
      <c r="M22" s="52">
        <v>0</v>
      </c>
      <c r="N22" s="52"/>
      <c r="O22" s="52"/>
      <c r="P22" s="62"/>
      <c r="Q22" s="54">
        <f t="shared" si="0"/>
        <v>1</v>
      </c>
      <c r="R22" s="54">
        <f t="shared" si="1"/>
        <v>0.1</v>
      </c>
    </row>
    <row r="23" spans="2:18" x14ac:dyDescent="0.2">
      <c r="B23" s="51" t="s">
        <v>32</v>
      </c>
      <c r="D23" s="52">
        <v>20</v>
      </c>
      <c r="E23" s="52">
        <v>16</v>
      </c>
      <c r="F23" s="52">
        <v>25</v>
      </c>
      <c r="G23" s="52">
        <v>19</v>
      </c>
      <c r="H23" s="52">
        <v>4</v>
      </c>
      <c r="I23" s="52">
        <v>5</v>
      </c>
      <c r="J23" s="52">
        <v>2</v>
      </c>
      <c r="K23" s="52">
        <v>2</v>
      </c>
      <c r="L23" s="52">
        <v>2</v>
      </c>
      <c r="M23" s="52">
        <v>8</v>
      </c>
      <c r="N23" s="52"/>
      <c r="O23" s="52"/>
      <c r="P23" s="62"/>
      <c r="Q23" s="54">
        <f t="shared" si="0"/>
        <v>103</v>
      </c>
      <c r="R23" s="54">
        <f t="shared" si="1"/>
        <v>10.3</v>
      </c>
    </row>
    <row r="24" spans="2:18" x14ac:dyDescent="0.2">
      <c r="B24" s="51" t="s">
        <v>33</v>
      </c>
      <c r="D24" s="52">
        <v>301</v>
      </c>
      <c r="E24" s="52">
        <v>314</v>
      </c>
      <c r="F24" s="52">
        <v>425</v>
      </c>
      <c r="G24" s="52">
        <v>240</v>
      </c>
      <c r="H24" s="52">
        <v>154</v>
      </c>
      <c r="I24" s="52">
        <v>150</v>
      </c>
      <c r="J24" s="52">
        <v>107</v>
      </c>
      <c r="K24" s="52">
        <v>262</v>
      </c>
      <c r="L24" s="52">
        <v>390</v>
      </c>
      <c r="M24" s="52">
        <v>392</v>
      </c>
      <c r="N24" s="52"/>
      <c r="O24" s="52"/>
      <c r="P24" s="62"/>
      <c r="Q24" s="54">
        <f t="shared" si="0"/>
        <v>2735</v>
      </c>
      <c r="R24" s="54">
        <f t="shared" si="1"/>
        <v>273.5</v>
      </c>
    </row>
    <row r="25" spans="2:18" x14ac:dyDescent="0.2">
      <c r="B25" s="51" t="s">
        <v>34</v>
      </c>
      <c r="D25" s="52">
        <v>12</v>
      </c>
      <c r="E25" s="52">
        <v>6</v>
      </c>
      <c r="F25" s="52">
        <v>2</v>
      </c>
      <c r="G25" s="52">
        <v>3</v>
      </c>
      <c r="H25" s="52">
        <v>15</v>
      </c>
      <c r="I25" s="52">
        <v>12</v>
      </c>
      <c r="J25" s="52">
        <v>28</v>
      </c>
      <c r="K25" s="52">
        <v>20</v>
      </c>
      <c r="L25" s="52">
        <v>68</v>
      </c>
      <c r="M25" s="52">
        <v>1</v>
      </c>
      <c r="N25" s="52"/>
      <c r="O25" s="52"/>
      <c r="P25" s="62"/>
      <c r="Q25" s="54">
        <f t="shared" si="0"/>
        <v>167</v>
      </c>
      <c r="R25" s="54">
        <f t="shared" si="1"/>
        <v>16.7</v>
      </c>
    </row>
    <row r="26" spans="2:18" x14ac:dyDescent="0.2">
      <c r="B26" s="51" t="s">
        <v>35</v>
      </c>
      <c r="D26" s="52">
        <v>1114</v>
      </c>
      <c r="E26" s="52">
        <v>997</v>
      </c>
      <c r="F26" s="52">
        <v>1069</v>
      </c>
      <c r="G26" s="52">
        <v>1093</v>
      </c>
      <c r="H26" s="52">
        <v>1210</v>
      </c>
      <c r="I26" s="52">
        <v>1258</v>
      </c>
      <c r="J26" s="52">
        <v>1379</v>
      </c>
      <c r="K26" s="52">
        <v>1204</v>
      </c>
      <c r="L26" s="52">
        <v>1413</v>
      </c>
      <c r="M26" s="52">
        <v>1868</v>
      </c>
      <c r="N26" s="52"/>
      <c r="O26" s="52"/>
      <c r="P26" s="62"/>
      <c r="Q26" s="54">
        <f t="shared" si="0"/>
        <v>12605</v>
      </c>
      <c r="R26" s="54">
        <f t="shared" si="1"/>
        <v>1260.5</v>
      </c>
    </row>
    <row r="27" spans="2:18" s="63" customFormat="1" x14ac:dyDescent="0.2">
      <c r="B27" s="64" t="s">
        <v>36</v>
      </c>
      <c r="D27" s="65">
        <v>39</v>
      </c>
      <c r="E27" s="65">
        <v>60</v>
      </c>
      <c r="F27" s="65">
        <v>43</v>
      </c>
      <c r="G27" s="65">
        <v>46</v>
      </c>
      <c r="H27" s="65">
        <v>40</v>
      </c>
      <c r="I27" s="65">
        <v>44</v>
      </c>
      <c r="J27" s="65">
        <v>38</v>
      </c>
      <c r="K27" s="65">
        <v>39</v>
      </c>
      <c r="L27" s="65">
        <v>44</v>
      </c>
      <c r="M27" s="65">
        <v>85</v>
      </c>
      <c r="N27" s="65"/>
      <c r="O27" s="65"/>
      <c r="P27" s="66"/>
      <c r="Q27" s="67">
        <f t="shared" si="0"/>
        <v>478</v>
      </c>
      <c r="R27" s="67">
        <f t="shared" si="1"/>
        <v>47.8</v>
      </c>
    </row>
    <row r="28" spans="2:18" x14ac:dyDescent="0.2">
      <c r="B28" s="51" t="s">
        <v>37</v>
      </c>
      <c r="D28" s="68">
        <v>2.2900763358778626E-2</v>
      </c>
      <c r="E28" s="68">
        <v>3.7406483790523692E-2</v>
      </c>
      <c r="F28" s="68">
        <v>2.4473534433693798E-2</v>
      </c>
      <c r="G28" s="68">
        <v>3.0124426981008513E-2</v>
      </c>
      <c r="H28" s="68">
        <v>2.5510204081632654E-2</v>
      </c>
      <c r="I28" s="68">
        <v>2.7143738433066007E-2</v>
      </c>
      <c r="J28" s="68">
        <v>2.1864211737629459E-2</v>
      </c>
      <c r="K28" s="68">
        <v>2.3283582089552238E-2</v>
      </c>
      <c r="L28" s="68">
        <v>2.133850630455868E-2</v>
      </c>
      <c r="M28" s="68">
        <v>3.3048211508553652E-2</v>
      </c>
      <c r="N28" s="68"/>
      <c r="O28" s="68"/>
      <c r="P28" s="62"/>
      <c r="Q28" s="69">
        <f>IFERROR(Q27/Q16,0)</f>
        <v>2.6813260784203735E-2</v>
      </c>
      <c r="R28" s="69">
        <f>IFERROR(R27/R16,0)</f>
        <v>2.6813260784203735E-2</v>
      </c>
    </row>
    <row r="29" spans="2:18" x14ac:dyDescent="0.2">
      <c r="B29" s="51" t="s">
        <v>38</v>
      </c>
      <c r="D29" s="52">
        <v>523</v>
      </c>
      <c r="E29" s="52">
        <v>531</v>
      </c>
      <c r="F29" s="52">
        <v>631</v>
      </c>
      <c r="G29" s="52">
        <v>371</v>
      </c>
      <c r="H29" s="52">
        <v>272</v>
      </c>
      <c r="I29" s="52">
        <v>276</v>
      </c>
      <c r="J29" s="52">
        <v>255</v>
      </c>
      <c r="K29" s="52">
        <v>380</v>
      </c>
      <c r="L29" s="52">
        <v>517</v>
      </c>
      <c r="M29" s="52">
        <v>600</v>
      </c>
      <c r="N29" s="52"/>
      <c r="O29" s="52"/>
      <c r="P29" s="62"/>
      <c r="Q29" s="54">
        <f>SUM(D29:O29)</f>
        <v>4356</v>
      </c>
      <c r="R29" s="54">
        <f>IFERROR(Q29/(COUNT(D29:O29)),0)</f>
        <v>435.6</v>
      </c>
    </row>
    <row r="30" spans="2:18" x14ac:dyDescent="0.2">
      <c r="B30" s="51" t="s">
        <v>39</v>
      </c>
      <c r="D30" s="68">
        <v>0.30710510863182616</v>
      </c>
      <c r="E30" s="68">
        <v>0.33104738154613467</v>
      </c>
      <c r="F30" s="68">
        <v>0.35913488901536711</v>
      </c>
      <c r="G30" s="68">
        <v>0.2429600523903078</v>
      </c>
      <c r="H30" s="68">
        <v>0.17346938775510204</v>
      </c>
      <c r="I30" s="68">
        <v>0.17026526835286859</v>
      </c>
      <c r="J30" s="68">
        <v>0.14672036823935558</v>
      </c>
      <c r="K30" s="68">
        <v>0.22686567164179106</v>
      </c>
      <c r="L30" s="68">
        <v>0.25072744907856448</v>
      </c>
      <c r="M30" s="68">
        <v>0.23328149300155521</v>
      </c>
      <c r="N30" s="68"/>
      <c r="O30" s="68"/>
      <c r="P30" s="62"/>
      <c r="Q30" s="69">
        <f>IFERROR(Q29/Q16,0)</f>
        <v>0.24434846020081899</v>
      </c>
      <c r="R30" s="69">
        <f>IFERROR(R29/R16,0)</f>
        <v>0.24434846020081899</v>
      </c>
    </row>
    <row r="31" spans="2:18" x14ac:dyDescent="0.2">
      <c r="B31" s="36" t="s">
        <v>40</v>
      </c>
      <c r="C31" s="35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42"/>
      <c r="Q31" s="61"/>
      <c r="R31" s="61"/>
    </row>
    <row r="32" spans="2:18" s="33" customFormat="1" x14ac:dyDescent="0.2">
      <c r="B32" s="70" t="s">
        <v>41</v>
      </c>
      <c r="D32" s="56">
        <v>45132.738841405509</v>
      </c>
      <c r="E32" s="56">
        <v>41013.096866096865</v>
      </c>
      <c r="F32" s="56">
        <v>49114.453941120606</v>
      </c>
      <c r="G32" s="56">
        <v>47042.912630579296</v>
      </c>
      <c r="H32" s="56">
        <v>53472.491927825264</v>
      </c>
      <c r="I32" s="56">
        <v>57247.452041785378</v>
      </c>
      <c r="J32" s="56">
        <v>65379.523836657165</v>
      </c>
      <c r="K32" s="56">
        <v>54445.266628679958</v>
      </c>
      <c r="L32" s="56">
        <v>49852.703038936372</v>
      </c>
      <c r="M32" s="56">
        <v>94738.991642924986</v>
      </c>
      <c r="N32" s="56"/>
      <c r="O32" s="56"/>
      <c r="P32" s="72"/>
      <c r="Q32" s="58">
        <f t="shared" ref="Q32:Q37" si="2">SUM(D32:O32)</f>
        <v>557439.63139601133</v>
      </c>
      <c r="R32" s="58">
        <f t="shared" ref="R32:R37" si="3">IFERROR(Q32/(COUNT(D32:O32)),0)</f>
        <v>55743.963139601132</v>
      </c>
    </row>
    <row r="33" spans="2:18" s="33" customFormat="1" x14ac:dyDescent="0.2">
      <c r="B33" s="70" t="s">
        <v>42</v>
      </c>
      <c r="D33" s="56">
        <v>41231.337108262109</v>
      </c>
      <c r="E33" s="56">
        <v>36791.149097815767</v>
      </c>
      <c r="F33" s="56">
        <v>29035.050332383667</v>
      </c>
      <c r="G33" s="56">
        <v>25339.440645773979</v>
      </c>
      <c r="H33" s="56">
        <v>25659.942070275403</v>
      </c>
      <c r="I33" s="56">
        <v>29731.974833808166</v>
      </c>
      <c r="J33" s="56">
        <v>37756.348528015194</v>
      </c>
      <c r="K33" s="56">
        <v>34639.311111111107</v>
      </c>
      <c r="L33" s="56">
        <v>48036.064197530868</v>
      </c>
      <c r="M33" s="56">
        <v>23281.182336182337</v>
      </c>
      <c r="N33" s="56"/>
      <c r="O33" s="56"/>
      <c r="P33" s="72"/>
      <c r="Q33" s="58">
        <f t="shared" si="2"/>
        <v>331501.80026115861</v>
      </c>
      <c r="R33" s="58">
        <f t="shared" si="3"/>
        <v>33150.180026115864</v>
      </c>
    </row>
    <row r="34" spans="2:18" s="33" customFormat="1" x14ac:dyDescent="0.2">
      <c r="B34" s="70" t="s">
        <v>43</v>
      </c>
      <c r="D34" s="56">
        <v>1012.0607787274454</v>
      </c>
      <c r="E34" s="56">
        <v>559.16429249762587</v>
      </c>
      <c r="F34" s="56">
        <v>163.34283000949668</v>
      </c>
      <c r="G34" s="56">
        <v>126.11585944919278</v>
      </c>
      <c r="H34" s="56">
        <v>998.00569800569804</v>
      </c>
      <c r="I34" s="56">
        <v>507.69230769230768</v>
      </c>
      <c r="J34" s="56">
        <v>1353.4453941120607</v>
      </c>
      <c r="K34" s="56">
        <v>1198.6381766381767</v>
      </c>
      <c r="L34" s="56">
        <v>4360.4226020892684</v>
      </c>
      <c r="M34" s="56">
        <v>135.2773029439696</v>
      </c>
      <c r="N34" s="56"/>
      <c r="O34" s="56"/>
      <c r="P34" s="72"/>
      <c r="Q34" s="58">
        <f t="shared" si="2"/>
        <v>10414.165242165243</v>
      </c>
      <c r="R34" s="58">
        <f t="shared" si="3"/>
        <v>1041.4165242165243</v>
      </c>
    </row>
    <row r="35" spans="2:18" s="33" customFormat="1" x14ac:dyDescent="0.2">
      <c r="B35" s="70" t="s">
        <v>44</v>
      </c>
      <c r="D35" s="56">
        <v>85352.015170940169</v>
      </c>
      <c r="E35" s="56">
        <v>77245.081671415013</v>
      </c>
      <c r="F35" s="56">
        <v>77986.161443494784</v>
      </c>
      <c r="G35" s="56">
        <v>72256.237416904085</v>
      </c>
      <c r="H35" s="56">
        <v>78134.428300094965</v>
      </c>
      <c r="I35" s="56">
        <v>86471.734567901236</v>
      </c>
      <c r="J35" s="56">
        <v>101782.42697056031</v>
      </c>
      <c r="K35" s="56">
        <v>87885.93956315289</v>
      </c>
      <c r="L35" s="56">
        <v>93528.34463437798</v>
      </c>
      <c r="M35" s="56">
        <v>117884.89667616335</v>
      </c>
      <c r="N35" s="56"/>
      <c r="O35" s="56"/>
      <c r="P35" s="72"/>
      <c r="Q35" s="58">
        <f t="shared" si="2"/>
        <v>878527.26641500473</v>
      </c>
      <c r="R35" s="58">
        <f t="shared" si="3"/>
        <v>87852.726641500471</v>
      </c>
    </row>
    <row r="36" spans="2:18" s="33" customFormat="1" x14ac:dyDescent="0.2">
      <c r="B36" s="70" t="s">
        <v>45</v>
      </c>
      <c r="D36" s="56">
        <v>63231</v>
      </c>
      <c r="E36" s="56">
        <v>0</v>
      </c>
      <c r="F36" s="56">
        <v>0</v>
      </c>
      <c r="G36" s="56">
        <v>2104408</v>
      </c>
      <c r="H36" s="56">
        <v>0</v>
      </c>
      <c r="I36" s="56">
        <v>0</v>
      </c>
      <c r="J36" s="56">
        <v>0</v>
      </c>
      <c r="K36" s="56">
        <v>0</v>
      </c>
      <c r="L36" s="56">
        <v>0</v>
      </c>
      <c r="M36" s="56">
        <v>0</v>
      </c>
      <c r="N36" s="56"/>
      <c r="O36" s="56"/>
      <c r="P36" s="72"/>
      <c r="Q36" s="58">
        <f t="shared" si="2"/>
        <v>2167639</v>
      </c>
      <c r="R36" s="58">
        <f t="shared" si="3"/>
        <v>216763.9</v>
      </c>
    </row>
    <row r="37" spans="2:18" s="33" customFormat="1" x14ac:dyDescent="0.2">
      <c r="B37" s="70" t="s">
        <v>46</v>
      </c>
      <c r="D37" s="56">
        <v>149595.0759496676</v>
      </c>
      <c r="E37" s="56">
        <v>77804.245963912632</v>
      </c>
      <c r="F37" s="56">
        <v>78149.504273504281</v>
      </c>
      <c r="G37" s="56">
        <v>2176790.3532763533</v>
      </c>
      <c r="H37" s="56">
        <v>79132.433998100663</v>
      </c>
      <c r="I37" s="56">
        <v>86979.426875593548</v>
      </c>
      <c r="J37" s="56">
        <v>103135.87236467237</v>
      </c>
      <c r="K37" s="56">
        <v>89084.577739791072</v>
      </c>
      <c r="L37" s="56">
        <v>97888.767236467247</v>
      </c>
      <c r="M37" s="56">
        <v>118020.17397910732</v>
      </c>
      <c r="N37" s="56"/>
      <c r="O37" s="56"/>
      <c r="P37" s="72"/>
      <c r="Q37" s="58">
        <f t="shared" si="2"/>
        <v>3056580.4316571699</v>
      </c>
      <c r="R37" s="58">
        <f t="shared" si="3"/>
        <v>305658.04316571698</v>
      </c>
    </row>
    <row r="38" spans="2:18" x14ac:dyDescent="0.2">
      <c r="B38" s="36" t="s">
        <v>47</v>
      </c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41"/>
      <c r="Q38" s="61"/>
      <c r="R38" s="61"/>
    </row>
    <row r="39" spans="2:18" x14ac:dyDescent="0.2">
      <c r="B39" s="74" t="s">
        <v>48</v>
      </c>
      <c r="C39" s="75"/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/>
      <c r="O39" s="52"/>
      <c r="P39" s="76"/>
      <c r="Q39" s="54">
        <f>SUM(D39:O39)</f>
        <v>0</v>
      </c>
      <c r="R39" s="54">
        <f>IFERROR(Q39/(COUNT(D39:O39)),0)</f>
        <v>0</v>
      </c>
    </row>
    <row r="40" spans="2:18" x14ac:dyDescent="0.2">
      <c r="B40" s="74" t="s">
        <v>49</v>
      </c>
      <c r="C40" s="75"/>
      <c r="D40" s="77">
        <v>0</v>
      </c>
      <c r="E40" s="77">
        <v>0</v>
      </c>
      <c r="F40" s="77">
        <v>0</v>
      </c>
      <c r="G40" s="77">
        <v>0</v>
      </c>
      <c r="H40" s="77">
        <v>0</v>
      </c>
      <c r="I40" s="77">
        <v>0</v>
      </c>
      <c r="J40" s="77">
        <v>0</v>
      </c>
      <c r="K40" s="77">
        <v>0</v>
      </c>
      <c r="L40" s="77">
        <v>0</v>
      </c>
      <c r="M40" s="77">
        <v>0</v>
      </c>
      <c r="N40" s="77"/>
      <c r="O40" s="77"/>
      <c r="P40" s="76"/>
      <c r="Q40" s="69">
        <f>IFERROR(Q39/Q12,0)</f>
        <v>0</v>
      </c>
      <c r="R40" s="69">
        <f>IFERROR(R39/R12,0)</f>
        <v>0</v>
      </c>
    </row>
    <row r="41" spans="2:18" x14ac:dyDescent="0.2">
      <c r="B41" s="74" t="s">
        <v>50</v>
      </c>
      <c r="C41" s="75"/>
      <c r="D41" s="77">
        <v>0</v>
      </c>
      <c r="E41" s="77">
        <v>0</v>
      </c>
      <c r="F41" s="77">
        <v>0</v>
      </c>
      <c r="G41" s="77">
        <v>0</v>
      </c>
      <c r="H41" s="77">
        <v>0</v>
      </c>
      <c r="I41" s="77">
        <v>0</v>
      </c>
      <c r="J41" s="77">
        <v>0</v>
      </c>
      <c r="K41" s="77">
        <v>0</v>
      </c>
      <c r="L41" s="77">
        <v>0</v>
      </c>
      <c r="M41" s="77">
        <v>0</v>
      </c>
      <c r="N41" s="77"/>
      <c r="O41" s="77"/>
      <c r="P41" s="76"/>
      <c r="Q41" s="69">
        <f>IFERROR(Q52/Q39,0)</f>
        <v>0</v>
      </c>
      <c r="R41" s="69">
        <f>IFERROR(R52/R39,0)</f>
        <v>0</v>
      </c>
    </row>
    <row r="42" spans="2:18" x14ac:dyDescent="0.2">
      <c r="B42" s="36" t="s">
        <v>51</v>
      </c>
      <c r="C42" s="35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42"/>
      <c r="Q42" s="61"/>
      <c r="R42" s="61"/>
    </row>
    <row r="43" spans="2:18" x14ac:dyDescent="0.2">
      <c r="B43" s="79" t="s">
        <v>52</v>
      </c>
      <c r="C43" s="80"/>
      <c r="D43" s="81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76"/>
      <c r="Q43" s="54">
        <f>SUM(D43:O43)</f>
        <v>0</v>
      </c>
      <c r="R43" s="54">
        <f>IFERROR(Q43/(COUNT(D43:O43)),0)</f>
        <v>0</v>
      </c>
    </row>
    <row r="44" spans="2:18" x14ac:dyDescent="0.2">
      <c r="B44" s="79" t="s">
        <v>53</v>
      </c>
      <c r="C44" s="80"/>
      <c r="D44" s="81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76"/>
      <c r="Q44" s="54">
        <f>SUM(D44:O44)</f>
        <v>0</v>
      </c>
      <c r="R44" s="54">
        <f>IFERROR(Q44/(COUNT(D44:O44)),0)</f>
        <v>0</v>
      </c>
    </row>
    <row r="45" spans="2:18" x14ac:dyDescent="0.2">
      <c r="B45" s="79" t="s">
        <v>54</v>
      </c>
      <c r="C45" s="80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76"/>
      <c r="Q45" s="84">
        <f>IFERROR((SUM(D45:O45))/(COUNT(D45:O45)),0)</f>
        <v>0</v>
      </c>
      <c r="R45" s="84">
        <f>IFERROR((SUM(D45:O45))/(COUNT(D45:O45)),0)</f>
        <v>0</v>
      </c>
    </row>
    <row r="46" spans="2:18" x14ac:dyDescent="0.2">
      <c r="B46" s="79" t="s">
        <v>55</v>
      </c>
      <c r="C46" s="80"/>
      <c r="D46" s="81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76"/>
      <c r="Q46" s="54">
        <f>SUM(D46:O46)</f>
        <v>0</v>
      </c>
      <c r="R46" s="54">
        <f>IFERROR(Q46/(COUNT(D46:O46)),0)</f>
        <v>0</v>
      </c>
    </row>
    <row r="47" spans="2:18" x14ac:dyDescent="0.2">
      <c r="B47" s="79" t="s">
        <v>56</v>
      </c>
      <c r="C47" s="80"/>
      <c r="D47" s="81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76"/>
      <c r="Q47" s="54">
        <f>SUM(D47:O47)</f>
        <v>0</v>
      </c>
      <c r="R47" s="54">
        <f>IFERROR(Q47/(COUNT(D47:O47)),0)</f>
        <v>0</v>
      </c>
    </row>
    <row r="48" spans="2:18" x14ac:dyDescent="0.2">
      <c r="B48" s="79" t="s">
        <v>57</v>
      </c>
      <c r="C48" s="80"/>
      <c r="D48" s="85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76"/>
      <c r="Q48" s="87">
        <f>IFERROR(Q47/Q43,0)</f>
        <v>0</v>
      </c>
      <c r="R48" s="87">
        <f>IFERROR(R47/R43,0)</f>
        <v>0</v>
      </c>
    </row>
    <row r="49" spans="2:19" x14ac:dyDescent="0.2">
      <c r="B49" s="79" t="s">
        <v>58</v>
      </c>
      <c r="C49" s="80"/>
      <c r="D49" s="85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76"/>
      <c r="Q49" s="87">
        <f>IFERROR(Q46/Q44,0)</f>
        <v>0</v>
      </c>
      <c r="R49" s="87">
        <f>IFERROR(R46/R44,0)</f>
        <v>0</v>
      </c>
    </row>
    <row r="50" spans="2:19" x14ac:dyDescent="0.2">
      <c r="B50" s="36" t="s">
        <v>59</v>
      </c>
      <c r="C50" s="35"/>
      <c r="D50"/>
      <c r="E50"/>
      <c r="F50"/>
      <c r="G50"/>
      <c r="H50"/>
      <c r="I50"/>
      <c r="J50"/>
      <c r="K50"/>
      <c r="L50"/>
      <c r="M50"/>
      <c r="N50"/>
      <c r="O50"/>
      <c r="P50" s="42"/>
      <c r="Q50" s="61"/>
      <c r="R50" s="61"/>
    </row>
    <row r="51" spans="2:19" x14ac:dyDescent="0.2">
      <c r="B51" s="79" t="s">
        <v>60</v>
      </c>
      <c r="C51" s="80"/>
      <c r="D51" s="81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76"/>
      <c r="Q51" s="54">
        <f>SUM(D51:O51)</f>
        <v>0</v>
      </c>
      <c r="R51" s="54">
        <f>IFERROR(Q51/(COUNT(D51:O51)),0)</f>
        <v>0</v>
      </c>
    </row>
    <row r="52" spans="2:19" x14ac:dyDescent="0.2">
      <c r="B52" s="79" t="s">
        <v>61</v>
      </c>
      <c r="C52" s="80"/>
      <c r="D52" s="81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76"/>
      <c r="Q52" s="54">
        <f>SUM(D52:O52)</f>
        <v>0</v>
      </c>
      <c r="R52" s="54">
        <f>IFERROR(Q52/(COUNT(D52:O52)),0)</f>
        <v>0</v>
      </c>
      <c r="S52" s="55"/>
    </row>
    <row r="53" spans="2:19" x14ac:dyDescent="0.2">
      <c r="B53" s="79" t="s">
        <v>62</v>
      </c>
      <c r="C53" s="80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76"/>
      <c r="Q53" s="84">
        <f>IFERROR((SUM(D53:O53))/(COUNT(D53:O53)),0)</f>
        <v>0</v>
      </c>
      <c r="R53" s="84">
        <f>IFERROR((SUM(D53:O53))/(COUNT(D53:O53)),0)</f>
        <v>0</v>
      </c>
      <c r="S53" s="55"/>
    </row>
    <row r="54" spans="2:19" x14ac:dyDescent="0.2">
      <c r="B54" s="79" t="s">
        <v>63</v>
      </c>
      <c r="C54" s="80"/>
      <c r="D54" s="81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76"/>
      <c r="Q54" s="54">
        <f>SUM(D54:O54)</f>
        <v>0</v>
      </c>
      <c r="R54" s="54">
        <f>IFERROR(Q54/(COUNT(D54:O54)),0)</f>
        <v>0</v>
      </c>
    </row>
    <row r="55" spans="2:19" x14ac:dyDescent="0.2">
      <c r="B55" s="79" t="s">
        <v>64</v>
      </c>
      <c r="C55" s="80"/>
      <c r="D55" s="81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76"/>
      <c r="Q55" s="54">
        <f>SUM(D55:O55)</f>
        <v>0</v>
      </c>
      <c r="R55" s="54">
        <f>IFERROR(Q55/(COUNT(D55:O55)),0)</f>
        <v>0</v>
      </c>
    </row>
    <row r="56" spans="2:19" x14ac:dyDescent="0.2">
      <c r="B56" s="79" t="s">
        <v>65</v>
      </c>
      <c r="C56" s="80"/>
      <c r="D56" s="85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76"/>
      <c r="Q56" s="87">
        <f>IFERROR(Q55/Q51,0)</f>
        <v>0</v>
      </c>
      <c r="R56" s="87">
        <f>IFERROR(R55/R51,0)</f>
        <v>0</v>
      </c>
    </row>
    <row r="57" spans="2:19" x14ac:dyDescent="0.2">
      <c r="B57" s="79" t="s">
        <v>66</v>
      </c>
      <c r="C57" s="80"/>
      <c r="D57" s="85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76"/>
      <c r="Q57" s="87">
        <f>IFERROR(Q54/Q52,0)</f>
        <v>0</v>
      </c>
      <c r="R57" s="87">
        <f>IFERROR(R54/R52,0)</f>
        <v>0</v>
      </c>
    </row>
    <row r="58" spans="2:19" x14ac:dyDescent="0.2">
      <c r="B58" s="36" t="s">
        <v>67</v>
      </c>
      <c r="C58" s="80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9"/>
      <c r="Q58" s="90"/>
      <c r="R58" s="91"/>
    </row>
    <row r="59" spans="2:19" x14ac:dyDescent="0.2">
      <c r="B59" s="79" t="s">
        <v>68</v>
      </c>
      <c r="C59" s="80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76"/>
      <c r="Q59" s="54">
        <f>SUM(D59:O59)</f>
        <v>0</v>
      </c>
      <c r="R59" s="54">
        <f>IFERROR(Q59/(COUNT(D59:O59)),0)</f>
        <v>0</v>
      </c>
    </row>
    <row r="60" spans="2:19" x14ac:dyDescent="0.2">
      <c r="B60" s="79" t="s">
        <v>69</v>
      </c>
      <c r="C60" s="80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76"/>
      <c r="Q60" s="54">
        <f>IFERROR((SUM(D60:O60))/(COUNT(D60:O60)),0)</f>
        <v>0</v>
      </c>
      <c r="R60" s="54">
        <f>IFERROR((SUM(D60:O60))/(COUNT(D60:O60)),0)</f>
        <v>0</v>
      </c>
    </row>
    <row r="61" spans="2:19" x14ac:dyDescent="0.2">
      <c r="B61" s="79" t="s">
        <v>70</v>
      </c>
      <c r="C61" s="80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76"/>
      <c r="Q61" s="54">
        <f>IFERROR((SUM(D61:O61))/(COUNT(D61:O61)),0)</f>
        <v>0</v>
      </c>
      <c r="R61" s="54">
        <f>IFERROR((SUM(D61:O61))/(COUNT(D61:O61)),0)</f>
        <v>0</v>
      </c>
    </row>
    <row r="62" spans="2:19" x14ac:dyDescent="0.2">
      <c r="B62" s="79" t="s">
        <v>71</v>
      </c>
      <c r="C62" s="80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76"/>
      <c r="Q62" s="54">
        <f>IFERROR((SUM(D62:O62))/(COUNT(D62:O62)),0)</f>
        <v>0</v>
      </c>
      <c r="R62" s="54">
        <f>IFERROR((SUM(D62:O62))/(COUNT(D62:O62)),0)</f>
        <v>0</v>
      </c>
    </row>
    <row r="63" spans="2:19" x14ac:dyDescent="0.2">
      <c r="B63" s="36" t="s">
        <v>72</v>
      </c>
      <c r="C63" s="93"/>
      <c r="D63"/>
      <c r="E63"/>
      <c r="F63"/>
      <c r="G63"/>
      <c r="H63"/>
      <c r="I63"/>
      <c r="J63"/>
      <c r="K63"/>
      <c r="L63"/>
      <c r="M63"/>
      <c r="N63"/>
      <c r="O63"/>
      <c r="P63" s="42"/>
      <c r="Q63" s="61"/>
      <c r="R63" s="61"/>
    </row>
    <row r="64" spans="2:19" x14ac:dyDescent="0.2">
      <c r="B64" s="79" t="s">
        <v>73</v>
      </c>
      <c r="C64" s="75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53"/>
      <c r="Q64" s="54">
        <f>SUM(D64:O64)</f>
        <v>0</v>
      </c>
      <c r="R64" s="54">
        <f>IFERROR(Q64/(COUNT(D64:O64)),0)</f>
        <v>0</v>
      </c>
    </row>
    <row r="65" spans="2:18" x14ac:dyDescent="0.2">
      <c r="B65" s="79" t="s">
        <v>74</v>
      </c>
      <c r="C65" s="75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53"/>
      <c r="Q65" s="54">
        <f>SUM(D65:O65)</f>
        <v>0</v>
      </c>
      <c r="R65" s="54">
        <f>IFERROR(Q65/(COUNT(D65:O65)),0)</f>
        <v>0</v>
      </c>
    </row>
    <row r="66" spans="2:18" ht="14.25" customHeight="1" x14ac:dyDescent="0.2">
      <c r="B66" s="79" t="s">
        <v>75</v>
      </c>
      <c r="C66" s="75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53"/>
      <c r="Q66" s="84">
        <f>IFERROR((SUM(D66:O66))/(COUNT(D66:O66)),0)</f>
        <v>0</v>
      </c>
      <c r="R66" s="84">
        <f>IFERROR((SUM(D66:O66))/(COUNT(D66:O66)),0)</f>
        <v>0</v>
      </c>
    </row>
    <row r="67" spans="2:18" ht="14.25" customHeight="1" x14ac:dyDescent="0.2">
      <c r="B67" s="79" t="s">
        <v>76</v>
      </c>
      <c r="C67" s="75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53"/>
      <c r="Q67" s="54">
        <f>SUM(D67:O67)</f>
        <v>0</v>
      </c>
      <c r="R67" s="54">
        <f>IFERROR(Q67/(COUNT(D67:O67)),0)</f>
        <v>0</v>
      </c>
    </row>
    <row r="68" spans="2:18" ht="14.25" customHeight="1" x14ac:dyDescent="0.2">
      <c r="B68" s="79" t="s">
        <v>77</v>
      </c>
      <c r="C68" s="75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53"/>
      <c r="Q68" s="54">
        <f>SUM(D68:O68)</f>
        <v>0</v>
      </c>
      <c r="R68" s="54">
        <f>IFERROR(Q68/(COUNT(D68:O68)),0)</f>
        <v>0</v>
      </c>
    </row>
    <row r="69" spans="2:18" x14ac:dyDescent="0.2">
      <c r="B69" s="79" t="s">
        <v>78</v>
      </c>
      <c r="C69" s="7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53"/>
      <c r="Q69" s="87">
        <f>IFERROR(Q68/Q64,0)</f>
        <v>0</v>
      </c>
      <c r="R69" s="87">
        <f>IFERROR(R68/R64,0)</f>
        <v>0</v>
      </c>
    </row>
    <row r="70" spans="2:18" x14ac:dyDescent="0.2">
      <c r="B70" s="79" t="s">
        <v>79</v>
      </c>
      <c r="C70" s="75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53"/>
      <c r="Q70" s="87">
        <f>IFERROR(Q67/Q65,0)</f>
        <v>0</v>
      </c>
      <c r="R70" s="87">
        <f>IFERROR(R67/R65,0)</f>
        <v>0</v>
      </c>
    </row>
    <row r="71" spans="2:18" x14ac:dyDescent="0.2">
      <c r="B71" s="36" t="s">
        <v>80</v>
      </c>
      <c r="C71" s="80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9"/>
      <c r="Q71" s="90"/>
      <c r="R71" s="91"/>
    </row>
    <row r="72" spans="2:18" x14ac:dyDescent="0.2">
      <c r="B72" s="79" t="s">
        <v>81</v>
      </c>
      <c r="C72" s="80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76"/>
      <c r="Q72" s="54">
        <f>SUM(D72:O72)</f>
        <v>0</v>
      </c>
      <c r="R72" s="54">
        <f>IFERROR(Q72/(COUNT(D72:O72)),0)</f>
        <v>0</v>
      </c>
    </row>
    <row r="73" spans="2:18" x14ac:dyDescent="0.2">
      <c r="B73" s="79" t="s">
        <v>82</v>
      </c>
      <c r="C73" s="80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76"/>
      <c r="Q73" s="54">
        <f>IFERROR((SUM(D73:O73))/(COUNT(D73:O73)),0)</f>
        <v>0</v>
      </c>
      <c r="R73" s="54">
        <f>IFERROR((SUM(D73:O73))/(COUNT(D73:O73)),0)</f>
        <v>0</v>
      </c>
    </row>
    <row r="74" spans="2:18" x14ac:dyDescent="0.2">
      <c r="B74" s="36" t="s">
        <v>83</v>
      </c>
      <c r="C74" s="9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</row>
    <row r="75" spans="2:18" x14ac:dyDescent="0.2">
      <c r="B75" s="99" t="s">
        <v>84</v>
      </c>
      <c r="C75" s="98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100"/>
      <c r="Q75" s="54">
        <f>SUM(D75:O75)</f>
        <v>0</v>
      </c>
      <c r="R75" s="54">
        <f>IFERROR(Q75/(COUNT(D75:O75)),0)</f>
        <v>0</v>
      </c>
    </row>
    <row r="76" spans="2:18" x14ac:dyDescent="0.2">
      <c r="B76" s="99" t="s">
        <v>85</v>
      </c>
      <c r="C76" s="98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100"/>
      <c r="Q76" s="54">
        <f>SUM(D76:O76)</f>
        <v>0</v>
      </c>
      <c r="R76" s="54">
        <f>IFERROR(Q76/(COUNT(D76:O76)),0)</f>
        <v>0</v>
      </c>
    </row>
    <row r="77" spans="2:18" x14ac:dyDescent="0.2">
      <c r="B77" s="99" t="s">
        <v>86</v>
      </c>
      <c r="C77" s="98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0"/>
      <c r="Q77" s="54">
        <f>SUM(D77:O77)</f>
        <v>0</v>
      </c>
      <c r="R77" s="54">
        <f>IFERROR(Q77/(COUNT(D77:O77)),0)</f>
        <v>0</v>
      </c>
    </row>
    <row r="78" spans="2:18" x14ac:dyDescent="0.2">
      <c r="B78" s="36" t="s">
        <v>87</v>
      </c>
      <c r="C78" s="93"/>
      <c r="D78"/>
      <c r="E78"/>
      <c r="F78"/>
      <c r="G78"/>
      <c r="H78"/>
      <c r="I78"/>
      <c r="J78"/>
      <c r="K78"/>
      <c r="L78"/>
      <c r="M78"/>
      <c r="N78"/>
      <c r="O78"/>
      <c r="P78" s="88"/>
      <c r="Q78" s="61"/>
      <c r="R78" s="61"/>
    </row>
    <row r="79" spans="2:18" x14ac:dyDescent="0.2">
      <c r="B79" s="51" t="s">
        <v>88</v>
      </c>
      <c r="D79" s="68">
        <v>0</v>
      </c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0</v>
      </c>
      <c r="K79" s="68">
        <v>0</v>
      </c>
      <c r="L79" s="68">
        <v>0</v>
      </c>
      <c r="M79" s="68">
        <v>0</v>
      </c>
      <c r="N79" s="68"/>
      <c r="O79" s="68"/>
      <c r="P79" s="102"/>
      <c r="Q79" s="87">
        <f>IFERROR(Q16/Q$12,0)</f>
        <v>0</v>
      </c>
      <c r="R79" s="61"/>
    </row>
    <row r="80" spans="2:18" x14ac:dyDescent="0.2">
      <c r="B80" s="51" t="s">
        <v>89</v>
      </c>
      <c r="D80" s="68">
        <v>0</v>
      </c>
      <c r="E80" s="68">
        <v>0</v>
      </c>
      <c r="F80" s="68">
        <v>0</v>
      </c>
      <c r="G80" s="68">
        <v>0</v>
      </c>
      <c r="H80" s="68">
        <v>0</v>
      </c>
      <c r="I80" s="68">
        <v>0</v>
      </c>
      <c r="J80" s="68">
        <v>0</v>
      </c>
      <c r="K80" s="68">
        <v>0</v>
      </c>
      <c r="L80" s="68">
        <v>0</v>
      </c>
      <c r="M80" s="68">
        <v>0</v>
      </c>
      <c r="N80" s="68"/>
      <c r="O80" s="68"/>
      <c r="P80" s="102"/>
      <c r="Q80" s="87">
        <f>IFERROR(Q19/Q$12,0)</f>
        <v>0</v>
      </c>
      <c r="R80" s="61"/>
    </row>
    <row r="81" spans="2:18" x14ac:dyDescent="0.2">
      <c r="B81" s="51" t="s">
        <v>90</v>
      </c>
      <c r="D81" s="68">
        <v>0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  <c r="K81" s="68">
        <v>0</v>
      </c>
      <c r="L81" s="68">
        <v>0</v>
      </c>
      <c r="M81" s="68">
        <v>0</v>
      </c>
      <c r="N81" s="68"/>
      <c r="O81" s="68"/>
      <c r="P81" s="102"/>
      <c r="Q81" s="87">
        <f>IFERROR(Q37/Q13,0)</f>
        <v>0</v>
      </c>
      <c r="R81" s="61"/>
    </row>
    <row r="82" spans="2:18" x14ac:dyDescent="0.2">
      <c r="B82" s="51" t="s">
        <v>91</v>
      </c>
      <c r="D82" s="68">
        <v>1.0657193605683837E-2</v>
      </c>
      <c r="E82" s="68">
        <v>5.9820538384845467E-3</v>
      </c>
      <c r="F82" s="68">
        <v>1.8674136321195146E-3</v>
      </c>
      <c r="G82" s="68">
        <v>2.7372262773722629E-3</v>
      </c>
      <c r="H82" s="68">
        <v>1.2244897959183673E-2</v>
      </c>
      <c r="I82" s="68">
        <v>9.4488188976377951E-3</v>
      </c>
      <c r="J82" s="68">
        <v>1.9900497512437811E-2</v>
      </c>
      <c r="K82" s="68">
        <v>1.6339869281045753E-2</v>
      </c>
      <c r="L82" s="68">
        <v>4.5914922349763673E-2</v>
      </c>
      <c r="M82" s="68">
        <v>5.3504547886570354E-4</v>
      </c>
      <c r="N82" s="68"/>
      <c r="O82" s="68"/>
      <c r="P82" s="102"/>
      <c r="Q82" s="87">
        <f>IFERROR(Q25/(Q25+Q26),0)</f>
        <v>1.3075477607265894E-2</v>
      </c>
      <c r="R82" s="61"/>
    </row>
    <row r="83" spans="2:18" x14ac:dyDescent="0.2">
      <c r="B83" s="51" t="s">
        <v>92</v>
      </c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102"/>
      <c r="Q83" s="87" t="e">
        <f>Q25/([4]SERVICIOS!Q83+[4]SERVICIOS!Q84+[4]SERVICIOS!Q85)</f>
        <v>#DIV/0!</v>
      </c>
      <c r="R83" s="61"/>
    </row>
    <row r="84" spans="2:18" x14ac:dyDescent="0.2">
      <c r="B84" s="51" t="s">
        <v>93</v>
      </c>
      <c r="D84" s="59">
        <v>75.691565249489571</v>
      </c>
      <c r="E84" s="59">
        <v>76.805770941670914</v>
      </c>
      <c r="F84" s="59">
        <v>72.160207085414854</v>
      </c>
      <c r="G84" s="59">
        <v>65.209327275993985</v>
      </c>
      <c r="H84" s="59">
        <v>63.003530253264856</v>
      </c>
      <c r="I84" s="59">
        <v>66.855823885928942</v>
      </c>
      <c r="J84" s="59">
        <v>71.374306134721365</v>
      </c>
      <c r="K84" s="59">
        <v>70.927211576266771</v>
      </c>
      <c r="L84" s="59">
        <v>65.21570102362908</v>
      </c>
      <c r="M84" s="59">
        <v>62.576974538232939</v>
      </c>
      <c r="N84" s="59"/>
      <c r="O84" s="59"/>
      <c r="P84" s="102"/>
      <c r="Q84" s="60">
        <f>(Q37-Q36)/Q19</f>
        <v>68.422216106617142</v>
      </c>
      <c r="R84" s="61"/>
    </row>
    <row r="85" spans="2:18" s="33" customFormat="1" x14ac:dyDescent="0.2">
      <c r="R85" s="35"/>
    </row>
    <row r="86" spans="2:18" s="33" customFormat="1" x14ac:dyDescent="0.2">
      <c r="L86" s="103"/>
      <c r="R86" s="35"/>
    </row>
    <row r="87" spans="2:18" s="33" customFormat="1" x14ac:dyDescent="0.2">
      <c r="R87" s="35"/>
    </row>
    <row r="88" spans="2:18" s="33" customFormat="1" x14ac:dyDescent="0.2">
      <c r="R88" s="35"/>
    </row>
    <row r="89" spans="2:18" s="33" customFormat="1" x14ac:dyDescent="0.2">
      <c r="R89" s="35"/>
    </row>
    <row r="90" spans="2:18" s="33" customFormat="1" x14ac:dyDescent="0.2">
      <c r="R90" s="35"/>
    </row>
    <row r="91" spans="2:18" s="33" customFormat="1" x14ac:dyDescent="0.2">
      <c r="R91" s="35"/>
    </row>
    <row r="92" spans="2:18" s="33" customFormat="1" x14ac:dyDescent="0.2">
      <c r="R92" s="35"/>
    </row>
    <row r="93" spans="2:18" s="33" customFormat="1" x14ac:dyDescent="0.2">
      <c r="R93" s="35"/>
    </row>
    <row r="94" spans="2:18" s="33" customFormat="1" x14ac:dyDescent="0.2">
      <c r="R94" s="35"/>
    </row>
    <row r="95" spans="2:18" s="33" customFormat="1" x14ac:dyDescent="0.2">
      <c r="R95" s="35"/>
    </row>
    <row r="96" spans="2:18" s="33" customFormat="1" x14ac:dyDescent="0.2">
      <c r="R96" s="35"/>
    </row>
    <row r="97" spans="12:18" s="33" customFormat="1" x14ac:dyDescent="0.2">
      <c r="R97" s="35"/>
    </row>
    <row r="98" spans="12:18" s="33" customFormat="1" x14ac:dyDescent="0.2">
      <c r="R98" s="35"/>
    </row>
    <row r="99" spans="12:18" s="33" customFormat="1" x14ac:dyDescent="0.2">
      <c r="R99" s="35"/>
    </row>
    <row r="100" spans="12:18" s="33" customFormat="1" x14ac:dyDescent="0.2">
      <c r="R100" s="35"/>
    </row>
    <row r="101" spans="12:18" s="33" customFormat="1" x14ac:dyDescent="0.2">
      <c r="R101" s="35"/>
    </row>
    <row r="102" spans="12:18" s="33" customFormat="1" x14ac:dyDescent="0.2">
      <c r="R102" s="35"/>
    </row>
    <row r="103" spans="12:18" s="33" customFormat="1" x14ac:dyDescent="0.2">
      <c r="L103" s="103"/>
      <c r="R103" s="35"/>
    </row>
    <row r="104" spans="12:18" s="33" customFormat="1" x14ac:dyDescent="0.2">
      <c r="R104" s="35"/>
    </row>
    <row r="105" spans="12:18" s="33" customFormat="1" x14ac:dyDescent="0.2">
      <c r="R105" s="35"/>
    </row>
    <row r="106" spans="12:18" s="33" customFormat="1" x14ac:dyDescent="0.2">
      <c r="R106" s="35"/>
    </row>
    <row r="107" spans="12:18" s="33" customFormat="1" x14ac:dyDescent="0.2">
      <c r="R107" s="35"/>
    </row>
    <row r="108" spans="12:18" s="33" customFormat="1" x14ac:dyDescent="0.2">
      <c r="R108" s="35"/>
    </row>
    <row r="109" spans="12:18" s="33" customFormat="1" x14ac:dyDescent="0.2">
      <c r="R109" s="35"/>
    </row>
    <row r="110" spans="12:18" s="33" customFormat="1" x14ac:dyDescent="0.2">
      <c r="R110" s="35"/>
    </row>
    <row r="111" spans="12:18" s="33" customFormat="1" x14ac:dyDescent="0.2">
      <c r="R111" s="35"/>
    </row>
    <row r="112" spans="12:18" s="33" customFormat="1" x14ac:dyDescent="0.2">
      <c r="R112" s="35"/>
    </row>
    <row r="113" spans="18:18" s="33" customFormat="1" x14ac:dyDescent="0.2">
      <c r="R113" s="35"/>
    </row>
  </sheetData>
  <mergeCells count="2">
    <mergeCell ref="B3:T3"/>
    <mergeCell ref="D5:O6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F6F4-B720-2943-A46E-0792BBE1CE59}">
  <dimension ref="A1:Y113"/>
  <sheetViews>
    <sheetView topLeftCell="F1" workbookViewId="0">
      <selection activeCell="M12" sqref="M12:M84"/>
    </sheetView>
  </sheetViews>
  <sheetFormatPr baseColWidth="10" defaultRowHeight="15" x14ac:dyDescent="0.2"/>
  <cols>
    <col min="1" max="1" width="0.83203125" style="42" customWidth="1"/>
    <col min="2" max="2" width="40.5" bestFit="1" customWidth="1"/>
    <col min="3" max="3" width="0.83203125" style="42" customWidth="1"/>
    <col min="4" max="4" width="13.33203125" customWidth="1"/>
    <col min="5" max="6" width="12.5" customWidth="1"/>
    <col min="7" max="7" width="13.5" customWidth="1"/>
    <col min="8" max="13" width="12.5" customWidth="1"/>
    <col min="14" max="14" width="12.5" bestFit="1" customWidth="1"/>
    <col min="15" max="15" width="11" customWidth="1"/>
    <col min="16" max="16" width="0.83203125" style="42" customWidth="1"/>
    <col min="17" max="17" width="20.1640625" style="42" customWidth="1"/>
    <col min="18" max="18" width="18.1640625" style="43" customWidth="1"/>
    <col min="19" max="25" width="10.83203125" style="42"/>
  </cols>
  <sheetData>
    <row r="1" spans="2:20" s="42" customFormat="1" ht="9" customHeight="1" x14ac:dyDescent="0.25">
      <c r="P1" s="157"/>
      <c r="R1" s="43"/>
    </row>
    <row r="2" spans="2:20" s="42" customFormat="1" ht="9" customHeight="1" x14ac:dyDescent="0.25">
      <c r="P2" s="157"/>
      <c r="R2" s="43"/>
    </row>
    <row r="3" spans="2:20" s="42" customFormat="1" ht="19.5" customHeight="1" x14ac:dyDescent="0.25">
      <c r="B3" s="231" t="s">
        <v>105</v>
      </c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</row>
    <row r="4" spans="2:20" s="42" customFormat="1" ht="5.25" customHeight="1" thickBot="1" x14ac:dyDescent="0.3"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R4" s="43"/>
    </row>
    <row r="5" spans="2:20" ht="16.5" customHeight="1" thickBot="1" x14ac:dyDescent="0.25">
      <c r="B5" s="36" t="s">
        <v>14</v>
      </c>
      <c r="C5" s="158"/>
      <c r="D5" s="230" t="s">
        <v>15</v>
      </c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</row>
    <row r="6" spans="2:20" ht="3" customHeight="1" thickBot="1" x14ac:dyDescent="0.25">
      <c r="B6" s="39"/>
      <c r="C6" s="158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</row>
    <row r="7" spans="2:20" ht="16" thickBot="1" x14ac:dyDescent="0.25">
      <c r="B7" s="36" t="s">
        <v>16</v>
      </c>
      <c r="C7" s="158"/>
      <c r="D7" s="40">
        <v>1053</v>
      </c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1"/>
      <c r="S7" s="159"/>
    </row>
    <row r="8" spans="2:20" ht="3" customHeight="1" thickBot="1" x14ac:dyDescent="0.25">
      <c r="B8" s="39"/>
      <c r="C8" s="158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1"/>
    </row>
    <row r="9" spans="2:20" ht="16" thickBot="1" x14ac:dyDescent="0.25">
      <c r="B9" s="36" t="s">
        <v>17</v>
      </c>
      <c r="C9" s="158"/>
      <c r="D9" s="46">
        <v>45658</v>
      </c>
      <c r="E9" s="46">
        <v>45689</v>
      </c>
      <c r="F9" s="46">
        <v>45717</v>
      </c>
      <c r="G9" s="46">
        <v>45748</v>
      </c>
      <c r="H9" s="46">
        <v>45778</v>
      </c>
      <c r="I9" s="46">
        <v>45809</v>
      </c>
      <c r="J9" s="46">
        <v>45839</v>
      </c>
      <c r="K9" s="46">
        <v>45870</v>
      </c>
      <c r="L9" s="46">
        <v>45901</v>
      </c>
      <c r="M9" s="46">
        <v>45931</v>
      </c>
      <c r="N9" s="46">
        <v>45962</v>
      </c>
      <c r="O9" s="46">
        <v>45992</v>
      </c>
      <c r="P9" s="47"/>
      <c r="Q9" s="48" t="s">
        <v>18</v>
      </c>
      <c r="R9" s="48" t="s">
        <v>19</v>
      </c>
    </row>
    <row r="10" spans="2:20" ht="3" customHeight="1" x14ac:dyDescent="0.2">
      <c r="B10" s="39"/>
      <c r="C10" s="158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41"/>
    </row>
    <row r="11" spans="2:20" x14ac:dyDescent="0.2">
      <c r="B11" s="36" t="s">
        <v>20</v>
      </c>
      <c r="C11" s="43"/>
    </row>
    <row r="12" spans="2:20" x14ac:dyDescent="0.2">
      <c r="B12" s="51" t="s">
        <v>21</v>
      </c>
      <c r="C12" s="70"/>
      <c r="D12" s="52">
        <f>SUM([5]CUENTAS!D12:D37)</f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f>SUM([5]CUENTAS!N12:N37)</f>
        <v>0</v>
      </c>
      <c r="O12" s="52">
        <f>SUM([5]CUENTAS!O12:O37)</f>
        <v>0</v>
      </c>
      <c r="P12" s="53"/>
      <c r="Q12" s="54">
        <f>SUM(D12:O12)</f>
        <v>0</v>
      </c>
      <c r="R12" s="54">
        <f>IFERROR(Q12/(COUNT(D12:O12)),0)</f>
        <v>0</v>
      </c>
      <c r="T12" s="160"/>
    </row>
    <row r="13" spans="2:20" x14ac:dyDescent="0.2">
      <c r="B13" s="51" t="s">
        <v>22</v>
      </c>
      <c r="C13" s="70"/>
      <c r="D13" s="56">
        <f>SUM([5]CUENTAS!D68:D121)</f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f>SUM([5]CUENTAS!N68:N121)</f>
        <v>0</v>
      </c>
      <c r="O13" s="56">
        <f>SUM([5]CUENTAS!O68:O121)</f>
        <v>0</v>
      </c>
      <c r="P13" s="57"/>
      <c r="Q13" s="58">
        <f>SUM(D13:O13)</f>
        <v>0</v>
      </c>
      <c r="R13" s="58">
        <f>IFERROR(Q13/(COUNT(D13:O13)),0)</f>
        <v>0</v>
      </c>
      <c r="T13" s="159"/>
    </row>
    <row r="14" spans="2:20" x14ac:dyDescent="0.2">
      <c r="B14" s="51" t="s">
        <v>23</v>
      </c>
      <c r="C14" s="70"/>
      <c r="D14" s="59">
        <f t="shared" ref="D14:O14" si="0">IFERROR(D13/D12,0)</f>
        <v>0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f t="shared" si="0"/>
        <v>0</v>
      </c>
      <c r="O14" s="59">
        <f t="shared" si="0"/>
        <v>0</v>
      </c>
      <c r="P14" s="53"/>
      <c r="Q14" s="60"/>
      <c r="R14" s="60">
        <f>IFERROR(Q13/Q12,0)</f>
        <v>0</v>
      </c>
    </row>
    <row r="15" spans="2:20" x14ac:dyDescent="0.2">
      <c r="B15" s="36" t="s">
        <v>24</v>
      </c>
      <c r="C15" s="43"/>
      <c r="Q15" s="61"/>
      <c r="R15" s="61"/>
    </row>
    <row r="16" spans="2:20" x14ac:dyDescent="0.2">
      <c r="B16" s="51" t="s">
        <v>25</v>
      </c>
      <c r="C16" s="70"/>
      <c r="D16" s="52">
        <f>COUNTIF('[5]New Soa'!$J:$J,'[5]RESUMEN FILIAL'!D9)</f>
        <v>387</v>
      </c>
      <c r="E16" s="52">
        <v>508</v>
      </c>
      <c r="F16" s="52">
        <v>712</v>
      </c>
      <c r="G16" s="52">
        <v>637</v>
      </c>
      <c r="H16" s="52">
        <v>688</v>
      </c>
      <c r="I16" s="52">
        <v>680</v>
      </c>
      <c r="J16" s="52">
        <v>667</v>
      </c>
      <c r="K16" s="52">
        <v>744</v>
      </c>
      <c r="L16" s="52">
        <v>687</v>
      </c>
      <c r="M16" s="52">
        <v>767</v>
      </c>
      <c r="N16" s="52"/>
      <c r="O16" s="52"/>
      <c r="P16" s="62"/>
      <c r="Q16" s="54">
        <f>SUM(D16:O16)</f>
        <v>6477</v>
      </c>
      <c r="R16" s="54">
        <f>IFERROR(Q16/(COUNT(D16:O16)),0)</f>
        <v>647.70000000000005</v>
      </c>
    </row>
    <row r="17" spans="2:18" x14ac:dyDescent="0.2">
      <c r="B17" s="51" t="s">
        <v>26</v>
      </c>
      <c r="C17" s="70"/>
      <c r="D17" s="180">
        <f>COUNTIFS('[5]New Soa'!$J:$J,'[5]RESUMEN FILIAL'!D9,'[5]New Soa'!$B:$B,"CONCLUIDA")</f>
        <v>267</v>
      </c>
      <c r="E17" s="180">
        <v>337</v>
      </c>
      <c r="F17" s="180">
        <v>506</v>
      </c>
      <c r="G17" s="180">
        <v>480</v>
      </c>
      <c r="H17" s="180">
        <v>552</v>
      </c>
      <c r="I17" s="180">
        <v>497</v>
      </c>
      <c r="J17" s="52">
        <v>503</v>
      </c>
      <c r="K17" s="52">
        <v>553</v>
      </c>
      <c r="L17" s="52">
        <v>505</v>
      </c>
      <c r="M17" s="52">
        <v>507</v>
      </c>
      <c r="N17" s="52"/>
      <c r="O17" s="52"/>
      <c r="P17" s="62"/>
      <c r="Q17" s="54">
        <f>SUM(D17:O17)</f>
        <v>4707</v>
      </c>
      <c r="R17" s="54">
        <f>IFERROR(Q17/(COUNT(D17:O17)),0)</f>
        <v>470.7</v>
      </c>
    </row>
    <row r="18" spans="2:18" x14ac:dyDescent="0.2">
      <c r="B18" s="51" t="s">
        <v>27</v>
      </c>
      <c r="C18" s="70"/>
      <c r="D18" s="161">
        <f t="shared" ref="D18" si="1">+D17/D16</f>
        <v>0.68992248062015504</v>
      </c>
      <c r="E18" s="161">
        <v>0.66338582677165359</v>
      </c>
      <c r="F18" s="161">
        <v>0.7106741573033708</v>
      </c>
      <c r="G18" s="161">
        <v>0.75353218210361073</v>
      </c>
      <c r="H18" s="161">
        <v>0.80232558139534882</v>
      </c>
      <c r="I18" s="161">
        <v>0.73088235294117643</v>
      </c>
      <c r="J18" s="161">
        <v>0.75412293853073464</v>
      </c>
      <c r="K18" s="161">
        <v>0.74327956989247312</v>
      </c>
      <c r="L18" s="161">
        <v>0.735080058224163</v>
      </c>
      <c r="M18" s="161">
        <v>0.66101694915254239</v>
      </c>
      <c r="N18" s="161"/>
      <c r="O18" s="161"/>
      <c r="P18" s="62"/>
      <c r="Q18" s="162">
        <f>IFERROR(Q17/Q16,0)</f>
        <v>0.72672533580361276</v>
      </c>
      <c r="R18" s="162">
        <f>IFERROR(R17/R16,0)</f>
        <v>0.72672533580361276</v>
      </c>
    </row>
    <row r="19" spans="2:18" s="42" customFormat="1" x14ac:dyDescent="0.2">
      <c r="B19" s="70" t="s">
        <v>28</v>
      </c>
      <c r="C19" s="70"/>
      <c r="D19" s="52">
        <f>COUNTIFS('[5]New Soa'!$J:$J,'[5]RESUMEN FILIAL'!D9,'[5]New Soa'!$B:$B,"CONCLUIDA",'[5]New Soa'!$D:$D,"En cobertura")+COUNTIFS('[5]New Soa'!$J:$J,'[5]RESUMEN FILIAL'!D9,'[5]New Soa'!$B:$B,"CONCLUIDA",'[5]New Soa'!$D:$D,"En cortesía")</f>
        <v>267</v>
      </c>
      <c r="E19" s="52">
        <v>337</v>
      </c>
      <c r="F19" s="52">
        <v>506</v>
      </c>
      <c r="G19" s="52">
        <v>480</v>
      </c>
      <c r="H19" s="52">
        <v>552</v>
      </c>
      <c r="I19" s="52">
        <v>497</v>
      </c>
      <c r="J19" s="52">
        <v>503</v>
      </c>
      <c r="K19" s="52">
        <v>553</v>
      </c>
      <c r="L19" s="52">
        <v>505</v>
      </c>
      <c r="M19" s="52">
        <v>507</v>
      </c>
      <c r="N19" s="52"/>
      <c r="O19" s="52"/>
      <c r="P19" s="62"/>
      <c r="Q19" s="54">
        <f t="shared" ref="Q19:Q27" si="2">SUM(D19:O19)</f>
        <v>4707</v>
      </c>
      <c r="R19" s="54">
        <f t="shared" ref="R19:R27" si="3">IFERROR(Q19/(COUNT(D19:O19)),0)</f>
        <v>470.7</v>
      </c>
    </row>
    <row r="20" spans="2:18" s="42" customFormat="1" x14ac:dyDescent="0.2">
      <c r="B20" s="70" t="s">
        <v>29</v>
      </c>
      <c r="C20" s="70"/>
      <c r="D20" s="52">
        <f>COUNTIFS('[5]New Soa'!$J:$J,'[5]RESUMEN FILIAL'!D9,'[5]New Soa'!$B:$B,"CONCLUIDA",'[5]New Soa'!$D:$D,"EN COBERTURA",'[5]New Soa'!$F:$F,"LOCAL")+COUNTIFS('[5]New Soa'!$J:$J,'[5]RESUMEN FILIAL'!D9,'[5]New Soa'!$B:$B,"CONCLUIDA",'[5]New Soa'!$D:$D,"En cortesía",'[5]New Soa'!$F:$F,"LOCAL")</f>
        <v>156</v>
      </c>
      <c r="E20" s="52">
        <v>186</v>
      </c>
      <c r="F20" s="52">
        <v>287</v>
      </c>
      <c r="G20" s="52">
        <v>275</v>
      </c>
      <c r="H20" s="52">
        <v>316</v>
      </c>
      <c r="I20" s="52">
        <v>279</v>
      </c>
      <c r="J20" s="52">
        <v>290</v>
      </c>
      <c r="K20" s="52">
        <v>297</v>
      </c>
      <c r="L20" s="52">
        <v>247</v>
      </c>
      <c r="M20" s="52">
        <v>341</v>
      </c>
      <c r="N20" s="52"/>
      <c r="O20" s="52"/>
      <c r="P20" s="62"/>
      <c r="Q20" s="54">
        <f t="shared" si="2"/>
        <v>2674</v>
      </c>
      <c r="R20" s="54">
        <f t="shared" si="3"/>
        <v>267.39999999999998</v>
      </c>
    </row>
    <row r="21" spans="2:18" s="42" customFormat="1" x14ac:dyDescent="0.2">
      <c r="B21" s="70" t="s">
        <v>30</v>
      </c>
      <c r="C21" s="70"/>
      <c r="D21" s="52">
        <f>COUNTIFS('[5]New Soa'!$J:$J,'[5]RESUMEN FILIAL'!D9,'[5]New Soa'!$B:$B,"CONCLUIDA",'[5]New Soa'!$D:$D,"EN COBERTURA",'[5]New Soa'!$F:$F,"FORANEO")+COUNTIFS('[5]New Soa'!$J:$J,'[5]RESUMEN FILIAL'!D9,'[5]New Soa'!$B:$B,"CONCLUIDA",'[5]New Soa'!$D:$D,"En cortesía",'[5]New Soa'!$F:$F,"FORANEO")</f>
        <v>111</v>
      </c>
      <c r="E21" s="52">
        <v>151</v>
      </c>
      <c r="F21" s="52">
        <v>219</v>
      </c>
      <c r="G21" s="52">
        <v>205</v>
      </c>
      <c r="H21" s="52">
        <v>236</v>
      </c>
      <c r="I21" s="52">
        <v>218</v>
      </c>
      <c r="J21" s="52">
        <v>213</v>
      </c>
      <c r="K21" s="52">
        <v>256</v>
      </c>
      <c r="L21" s="52">
        <v>258</v>
      </c>
      <c r="M21" s="52">
        <v>166</v>
      </c>
      <c r="N21" s="52"/>
      <c r="O21" s="52"/>
      <c r="P21" s="62"/>
      <c r="Q21" s="54">
        <f t="shared" si="2"/>
        <v>2033</v>
      </c>
      <c r="R21" s="54">
        <f t="shared" si="3"/>
        <v>203.3</v>
      </c>
    </row>
    <row r="22" spans="2:18" x14ac:dyDescent="0.2">
      <c r="B22" s="51" t="s">
        <v>31</v>
      </c>
      <c r="C22" s="70"/>
      <c r="D22" s="52">
        <f>COUNTIFS('[5]New Soa'!$J:$J,'[5]RESUMEN FILIAL'!D9,'[5]New Soa'!$D:$D,"En adicional")</f>
        <v>0</v>
      </c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52">
        <v>0</v>
      </c>
      <c r="K22" s="52">
        <v>0</v>
      </c>
      <c r="L22" s="52">
        <v>0</v>
      </c>
      <c r="M22" s="52">
        <v>0</v>
      </c>
      <c r="N22" s="52"/>
      <c r="O22" s="52"/>
      <c r="P22" s="62"/>
      <c r="Q22" s="54">
        <f t="shared" si="2"/>
        <v>0</v>
      </c>
      <c r="R22" s="54">
        <f t="shared" si="3"/>
        <v>0</v>
      </c>
    </row>
    <row r="23" spans="2:18" x14ac:dyDescent="0.2">
      <c r="B23" s="51" t="s">
        <v>32</v>
      </c>
      <c r="C23" s="70"/>
      <c r="D23" s="52">
        <f>COUNTIFS('[5]New Soa'!$J:$J,'[5]RESUMEN FILIAL'!D9,'[5]New Soa'!$D:$D,"En conexión")</f>
        <v>0</v>
      </c>
      <c r="E23" s="52">
        <v>0</v>
      </c>
      <c r="F23" s="52">
        <v>2</v>
      </c>
      <c r="G23" s="52">
        <v>4</v>
      </c>
      <c r="H23" s="52">
        <v>1</v>
      </c>
      <c r="I23" s="52">
        <v>1</v>
      </c>
      <c r="J23" s="52">
        <v>1</v>
      </c>
      <c r="K23" s="52">
        <v>1</v>
      </c>
      <c r="L23" s="52">
        <v>0</v>
      </c>
      <c r="M23" s="52">
        <v>0</v>
      </c>
      <c r="N23" s="52"/>
      <c r="O23" s="52"/>
      <c r="P23" s="62"/>
      <c r="Q23" s="54">
        <f t="shared" si="2"/>
        <v>10</v>
      </c>
      <c r="R23" s="54">
        <f t="shared" si="3"/>
        <v>1</v>
      </c>
    </row>
    <row r="24" spans="2:18" x14ac:dyDescent="0.2">
      <c r="B24" s="51" t="s">
        <v>33</v>
      </c>
      <c r="C24" s="70"/>
      <c r="D24" s="52">
        <f>COUNTIFS('[5]New Soa'!$J:$J,'[5]RESUMEN FILIAL'!D9,'[5]New Soa'!$C:$C,"REFERENCIA - REFERENCIA Y CORDINANCION TELEFONICA")</f>
        <v>54</v>
      </c>
      <c r="E24" s="52">
        <v>45</v>
      </c>
      <c r="F24" s="52">
        <v>58</v>
      </c>
      <c r="G24" s="52">
        <v>52</v>
      </c>
      <c r="H24" s="52">
        <v>62</v>
      </c>
      <c r="I24" s="52">
        <v>67</v>
      </c>
      <c r="J24" s="52">
        <v>56</v>
      </c>
      <c r="K24" s="52">
        <v>83</v>
      </c>
      <c r="L24" s="52">
        <v>90</v>
      </c>
      <c r="M24" s="52">
        <v>167</v>
      </c>
      <c r="N24" s="52"/>
      <c r="O24" s="52"/>
      <c r="P24" s="62"/>
      <c r="Q24" s="54">
        <f t="shared" si="2"/>
        <v>734</v>
      </c>
      <c r="R24" s="54">
        <f t="shared" si="3"/>
        <v>73.400000000000006</v>
      </c>
    </row>
    <row r="25" spans="2:18" x14ac:dyDescent="0.2">
      <c r="B25" s="51" t="s">
        <v>34</v>
      </c>
      <c r="C25" s="70"/>
      <c r="D25" s="52">
        <f>COUNTIFS('[5]New Soa'!$J:$J,'[5]RESUMEN FILIAL'!D9,'[5]New Soa'!$B:$B,"CONCLUIDA",'[5]New Soa'!$D:$D,"En cobertura",'[5]New Soa'!$E:$E,"INTERNO")</f>
        <v>0</v>
      </c>
      <c r="E25" s="52">
        <v>0</v>
      </c>
      <c r="F25" s="52">
        <v>0</v>
      </c>
      <c r="G25" s="52">
        <v>0</v>
      </c>
      <c r="H25" s="52">
        <v>2</v>
      </c>
      <c r="I25" s="52">
        <v>5</v>
      </c>
      <c r="J25" s="52">
        <v>9</v>
      </c>
      <c r="K25" s="52">
        <v>2</v>
      </c>
      <c r="L25" s="52">
        <v>24</v>
      </c>
      <c r="M25" s="52">
        <v>0</v>
      </c>
      <c r="N25" s="52"/>
      <c r="O25" s="52"/>
      <c r="P25" s="62"/>
      <c r="Q25" s="54">
        <f t="shared" si="2"/>
        <v>42</v>
      </c>
      <c r="R25" s="54">
        <f t="shared" si="3"/>
        <v>4.2</v>
      </c>
    </row>
    <row r="26" spans="2:18" x14ac:dyDescent="0.2">
      <c r="B26" s="51" t="s">
        <v>35</v>
      </c>
      <c r="C26" s="70"/>
      <c r="D26" s="52">
        <f>COUNTIFS('[5]New Soa'!$J:$J,'[5]RESUMEN FILIAL'!D9,'[5]New Soa'!$B:$B,"CONCLUIDA",'[5]New Soa'!$D:$D,"En cobertura",'[5]New Soa'!$E:$E,"EXTERNO")</f>
        <v>265</v>
      </c>
      <c r="E26" s="52">
        <v>334</v>
      </c>
      <c r="F26" s="52">
        <v>503</v>
      </c>
      <c r="G26" s="52">
        <v>475</v>
      </c>
      <c r="H26" s="52">
        <v>534</v>
      </c>
      <c r="I26" s="52">
        <v>469</v>
      </c>
      <c r="J26" s="52">
        <v>471</v>
      </c>
      <c r="K26" s="52">
        <v>532</v>
      </c>
      <c r="L26" s="52">
        <v>468</v>
      </c>
      <c r="M26" s="52">
        <v>492</v>
      </c>
      <c r="N26" s="52"/>
      <c r="O26" s="52"/>
      <c r="P26" s="62"/>
      <c r="Q26" s="54">
        <f t="shared" si="2"/>
        <v>4543</v>
      </c>
      <c r="R26" s="54">
        <f t="shared" si="3"/>
        <v>454.3</v>
      </c>
    </row>
    <row r="27" spans="2:18" x14ac:dyDescent="0.2">
      <c r="B27" s="51" t="s">
        <v>36</v>
      </c>
      <c r="C27" s="70"/>
      <c r="D27" s="180">
        <f>COUNTIFS('[5]New Soa'!$J:$J,'[5]RESUMEN FILIAL'!D9,'[5]New Soa'!$B:$B,"CANCELADO POSTERIOR")</f>
        <v>14</v>
      </c>
      <c r="E27" s="180">
        <v>15</v>
      </c>
      <c r="F27" s="180">
        <v>25</v>
      </c>
      <c r="G27" s="180">
        <v>22</v>
      </c>
      <c r="H27" s="180">
        <v>13</v>
      </c>
      <c r="I27" s="180">
        <v>29</v>
      </c>
      <c r="J27" s="52">
        <v>25</v>
      </c>
      <c r="K27" s="52">
        <v>25</v>
      </c>
      <c r="L27" s="52">
        <v>19</v>
      </c>
      <c r="M27" s="52">
        <v>29</v>
      </c>
      <c r="N27" s="52"/>
      <c r="O27" s="52"/>
      <c r="P27" s="62"/>
      <c r="Q27" s="54">
        <f t="shared" si="2"/>
        <v>216</v>
      </c>
      <c r="R27" s="54">
        <f t="shared" si="3"/>
        <v>21.6</v>
      </c>
    </row>
    <row r="28" spans="2:18" x14ac:dyDescent="0.2">
      <c r="B28" s="51" t="s">
        <v>37</v>
      </c>
      <c r="C28" s="70"/>
      <c r="D28" s="161">
        <f t="shared" ref="D28" si="4">+D27/D16</f>
        <v>3.6175710594315243E-2</v>
      </c>
      <c r="E28" s="161">
        <v>2.952755905511811E-2</v>
      </c>
      <c r="F28" s="161">
        <v>3.51123595505618E-2</v>
      </c>
      <c r="G28" s="161">
        <v>3.453689167974882E-2</v>
      </c>
      <c r="H28" s="161">
        <v>1.8895348837209301E-2</v>
      </c>
      <c r="I28" s="161">
        <v>4.2647058823529413E-2</v>
      </c>
      <c r="J28" s="161">
        <v>3.7481259370314844E-2</v>
      </c>
      <c r="K28" s="161">
        <v>3.3602150537634407E-2</v>
      </c>
      <c r="L28" s="161">
        <v>2.7656477438136828E-2</v>
      </c>
      <c r="M28" s="161">
        <v>3.7809647979139507E-2</v>
      </c>
      <c r="N28" s="161"/>
      <c r="O28" s="161"/>
      <c r="P28" s="62"/>
      <c r="Q28" s="162">
        <f>IFERROR(Q27/Q16,0)</f>
        <v>3.3348772579898101E-2</v>
      </c>
      <c r="R28" s="162">
        <f>IFERROR(R27/R16,0)</f>
        <v>3.3348772579898101E-2</v>
      </c>
    </row>
    <row r="29" spans="2:18" x14ac:dyDescent="0.2">
      <c r="B29" s="51" t="s">
        <v>38</v>
      </c>
      <c r="C29" s="70"/>
      <c r="D29" s="52">
        <f>COUNTIFS('[5]New Soa'!$J:$J,'[5]RESUMEN FILIAL'!D9,'[5]New Soa'!$B:$B,"CANCELADO AL MOMENTO")</f>
        <v>106</v>
      </c>
      <c r="E29" s="52">
        <v>156</v>
      </c>
      <c r="F29" s="52">
        <v>181</v>
      </c>
      <c r="G29" s="52">
        <v>135</v>
      </c>
      <c r="H29" s="52">
        <v>123</v>
      </c>
      <c r="I29" s="52">
        <v>154</v>
      </c>
      <c r="J29" s="52">
        <v>139</v>
      </c>
      <c r="K29" s="52">
        <v>166</v>
      </c>
      <c r="L29" s="52">
        <v>163</v>
      </c>
      <c r="M29" s="52">
        <v>231</v>
      </c>
      <c r="N29" s="52"/>
      <c r="O29" s="52"/>
      <c r="P29" s="62"/>
      <c r="Q29" s="54">
        <f>SUM(D29:O29)</f>
        <v>1554</v>
      </c>
      <c r="R29" s="54">
        <f>IFERROR(Q29/(COUNT(D29:O29)),0)</f>
        <v>155.4</v>
      </c>
    </row>
    <row r="30" spans="2:18" x14ac:dyDescent="0.2">
      <c r="B30" s="51" t="s">
        <v>39</v>
      </c>
      <c r="C30" s="70"/>
      <c r="D30" s="161">
        <f t="shared" ref="D30" si="5">+D29/D16</f>
        <v>0.27390180878552972</v>
      </c>
      <c r="E30" s="161">
        <v>0.30708661417322836</v>
      </c>
      <c r="F30" s="161">
        <v>0.2542134831460674</v>
      </c>
      <c r="G30" s="161">
        <v>0.2119309262166405</v>
      </c>
      <c r="H30" s="161">
        <v>0.17877906976744187</v>
      </c>
      <c r="I30" s="161">
        <v>0.22647058823529412</v>
      </c>
      <c r="J30" s="161">
        <v>0.20839580209895053</v>
      </c>
      <c r="K30" s="161">
        <v>0.22311827956989247</v>
      </c>
      <c r="L30" s="161">
        <v>0.23726346433770015</v>
      </c>
      <c r="M30" s="161">
        <v>0.30117340286831812</v>
      </c>
      <c r="N30" s="161"/>
      <c r="O30" s="161"/>
      <c r="P30" s="62"/>
      <c r="Q30" s="162">
        <f>IFERROR(Q29/Q16,0)</f>
        <v>0.23992589161648911</v>
      </c>
      <c r="R30" s="162">
        <f>IFERROR(R29/R16,0)</f>
        <v>0.23992589161648911</v>
      </c>
    </row>
    <row r="31" spans="2:18" x14ac:dyDescent="0.2">
      <c r="B31" s="36" t="s">
        <v>40</v>
      </c>
      <c r="C31" s="4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Q31" s="61"/>
      <c r="R31" s="61"/>
    </row>
    <row r="32" spans="2:18" s="42" customFormat="1" x14ac:dyDescent="0.2">
      <c r="B32" s="70" t="s">
        <v>41</v>
      </c>
      <c r="C32" s="70"/>
      <c r="D32" s="56">
        <f>SUMIFS('[5]New Soa'!$G:$G,'[5]New Soa'!$J:$J,'[5]RESUMEN FILIAL'!D9,'[5]New Soa'!$F:$F,"LOCAL",'[5]New Soa'!$B:$B,"CONCLUIDA")/'[5]RESUMEN FILIAL'!D7</f>
        <v>7658.7416904083575</v>
      </c>
      <c r="E32" s="56">
        <v>8840.5479582146254</v>
      </c>
      <c r="F32" s="56">
        <v>13775.750237416903</v>
      </c>
      <c r="G32" s="56">
        <v>13262.98955365622</v>
      </c>
      <c r="H32" s="56">
        <v>15507.078822412155</v>
      </c>
      <c r="I32" s="56">
        <v>18056.042735042734</v>
      </c>
      <c r="J32" s="56">
        <v>16149.276353276353</v>
      </c>
      <c r="K32" s="56">
        <v>14917.779392212726</v>
      </c>
      <c r="L32" s="56">
        <v>14319.385280151948</v>
      </c>
      <c r="M32" s="56">
        <v>29675.208641975307</v>
      </c>
      <c r="N32" s="56"/>
      <c r="O32" s="56"/>
      <c r="P32" s="72"/>
      <c r="Q32" s="58">
        <f t="shared" ref="Q32:Q37" si="6">SUM(D32:O32)</f>
        <v>152162.80066476733</v>
      </c>
      <c r="R32" s="58">
        <f t="shared" ref="R32:R37" si="7">IFERROR(Q32/(COUNT(D32:O32)),0)</f>
        <v>15216.280066476733</v>
      </c>
    </row>
    <row r="33" spans="2:18" s="42" customFormat="1" x14ac:dyDescent="0.2">
      <c r="B33" s="70" t="s">
        <v>42</v>
      </c>
      <c r="C33" s="70"/>
      <c r="D33" s="56">
        <f>SUMIFS('[5]New Soa'!$G:$G,'[5]New Soa'!$J:$J,'[5]RESUMEN FILIAL'!D9,'[5]New Soa'!$F:$F,"FORANEO",'[5]New Soa'!$B:$B,"CONCLUIDA")/'[5]RESUMEN FILIAL'!D7</f>
        <v>19163.264957264957</v>
      </c>
      <c r="E33" s="56">
        <v>33024.91737891738</v>
      </c>
      <c r="F33" s="56">
        <v>26670.923076923078</v>
      </c>
      <c r="G33" s="56">
        <v>25004.446343779677</v>
      </c>
      <c r="H33" s="56">
        <v>29721.957264957266</v>
      </c>
      <c r="I33" s="56">
        <v>30116.994301994302</v>
      </c>
      <c r="J33" s="56">
        <v>33485.184235517569</v>
      </c>
      <c r="K33" s="56">
        <v>35173.584995251666</v>
      </c>
      <c r="L33" s="56">
        <v>31674.264007597343</v>
      </c>
      <c r="M33" s="56">
        <v>15909.396011396011</v>
      </c>
      <c r="N33" s="56"/>
      <c r="O33" s="56"/>
      <c r="P33" s="72"/>
      <c r="Q33" s="58">
        <f t="shared" si="6"/>
        <v>279944.93257359928</v>
      </c>
      <c r="R33" s="58">
        <f t="shared" si="7"/>
        <v>27994.493257359929</v>
      </c>
    </row>
    <row r="34" spans="2:18" s="42" customFormat="1" x14ac:dyDescent="0.2">
      <c r="B34" s="70" t="s">
        <v>43</v>
      </c>
      <c r="C34" s="70"/>
      <c r="D34" s="56">
        <f>SUMIFS('[5]New Soa'!$G:$G,'[5]New Soa'!$J:$J,'[5]RESUMEN FILIAL'!D9,'[5]New Soa'!$E:$E,"INTERNO",'[5]New Soa'!$B:$B,"CONCLUIDA")/'[5]RESUMEN FILIAL'!D7</f>
        <v>0</v>
      </c>
      <c r="E34" s="56">
        <v>0</v>
      </c>
      <c r="F34" s="56">
        <v>0</v>
      </c>
      <c r="G34" s="56">
        <v>0</v>
      </c>
      <c r="H34" s="56">
        <v>71.225071225071218</v>
      </c>
      <c r="I34" s="56">
        <v>201.99430199430199</v>
      </c>
      <c r="J34" s="56">
        <v>500.56980056980058</v>
      </c>
      <c r="K34" s="56">
        <v>97.815764482431149</v>
      </c>
      <c r="L34" s="56">
        <v>1352.9154795821462</v>
      </c>
      <c r="M34" s="56">
        <v>0</v>
      </c>
      <c r="N34" s="56"/>
      <c r="O34" s="56"/>
      <c r="P34" s="72"/>
      <c r="Q34" s="58">
        <f t="shared" si="6"/>
        <v>2224.520417853751</v>
      </c>
      <c r="R34" s="58">
        <f t="shared" si="7"/>
        <v>222.45204178537512</v>
      </c>
    </row>
    <row r="35" spans="2:18" s="42" customFormat="1" x14ac:dyDescent="0.2">
      <c r="B35" s="70" t="s">
        <v>44</v>
      </c>
      <c r="C35" s="70"/>
      <c r="D35" s="56">
        <f t="shared" ref="D35" si="8">(D32+D33-D34)</f>
        <v>26822.006647673315</v>
      </c>
      <c r="E35" s="56">
        <v>41865.465337132002</v>
      </c>
      <c r="F35" s="56">
        <v>40446.673314339983</v>
      </c>
      <c r="G35" s="56">
        <v>38267.435897435898</v>
      </c>
      <c r="H35" s="56">
        <v>45157.811016144355</v>
      </c>
      <c r="I35" s="56">
        <v>47971.042735042734</v>
      </c>
      <c r="J35" s="56">
        <v>49133.890788224126</v>
      </c>
      <c r="K35" s="56">
        <v>49993.548622981958</v>
      </c>
      <c r="L35" s="56">
        <v>44640.733808167148</v>
      </c>
      <c r="M35" s="56">
        <v>45584.604653371316</v>
      </c>
      <c r="N35" s="56"/>
      <c r="O35" s="56"/>
      <c r="P35" s="72"/>
      <c r="Q35" s="58">
        <f t="shared" si="6"/>
        <v>429883.21282051282</v>
      </c>
      <c r="R35" s="58">
        <f t="shared" si="7"/>
        <v>42988.321282051285</v>
      </c>
    </row>
    <row r="36" spans="2:18" s="42" customFormat="1" x14ac:dyDescent="0.2">
      <c r="B36" s="70" t="s">
        <v>45</v>
      </c>
      <c r="C36" s="70"/>
      <c r="D36" s="56">
        <f>SUMIFS('[5]New Soa'!G:G,'[5]New Soa'!$J:$J,'[5]RESUMEN FILIAL'!D9,'[5]New Soa'!$B:$B,"CANCELADO POSTERIOR")</f>
        <v>0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6">
        <v>0</v>
      </c>
      <c r="K36" s="56">
        <v>0</v>
      </c>
      <c r="L36" s="56">
        <v>0</v>
      </c>
      <c r="M36" s="56">
        <v>0</v>
      </c>
      <c r="N36" s="56"/>
      <c r="O36" s="56"/>
      <c r="P36" s="72"/>
      <c r="Q36" s="58">
        <f t="shared" si="6"/>
        <v>0</v>
      </c>
      <c r="R36" s="58">
        <f t="shared" si="7"/>
        <v>0</v>
      </c>
    </row>
    <row r="37" spans="2:18" s="42" customFormat="1" x14ac:dyDescent="0.2">
      <c r="B37" s="70" t="s">
        <v>46</v>
      </c>
      <c r="C37" s="70"/>
      <c r="D37" s="56">
        <f t="shared" ref="D37" si="9">D32+D33+D36</f>
        <v>26822.006647673315</v>
      </c>
      <c r="E37" s="56">
        <v>41865.465337132002</v>
      </c>
      <c r="F37" s="56">
        <v>40446.673314339983</v>
      </c>
      <c r="G37" s="56">
        <v>38267.435897435898</v>
      </c>
      <c r="H37" s="56">
        <v>45229.036087369423</v>
      </c>
      <c r="I37" s="56">
        <v>48173.037037037036</v>
      </c>
      <c r="J37" s="56">
        <v>49634.460588793925</v>
      </c>
      <c r="K37" s="56">
        <v>50091.364387464389</v>
      </c>
      <c r="L37" s="56">
        <v>45993.649287749293</v>
      </c>
      <c r="M37" s="56">
        <v>45584.604653371316</v>
      </c>
      <c r="N37" s="56"/>
      <c r="O37" s="56"/>
      <c r="P37" s="72"/>
      <c r="Q37" s="58">
        <f t="shared" si="6"/>
        <v>432107.73323836661</v>
      </c>
      <c r="R37" s="58">
        <f t="shared" si="7"/>
        <v>43210.773323836664</v>
      </c>
    </row>
    <row r="38" spans="2:18" x14ac:dyDescent="0.2">
      <c r="B38" s="36" t="s">
        <v>47</v>
      </c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41"/>
      <c r="Q38" s="61"/>
      <c r="R38" s="61"/>
    </row>
    <row r="39" spans="2:18" x14ac:dyDescent="0.2">
      <c r="B39" s="164" t="s">
        <v>48</v>
      </c>
      <c r="C39" s="165"/>
      <c r="D39" s="52">
        <f t="shared" ref="D39" si="10">D43+D51+D64</f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/>
      <c r="O39" s="52"/>
      <c r="P39" s="76"/>
      <c r="Q39" s="54">
        <f>SUM(D39:O39)</f>
        <v>0</v>
      </c>
      <c r="R39" s="54">
        <f>IFERROR(Q39/(COUNT(D39:O39)),0)</f>
        <v>0</v>
      </c>
    </row>
    <row r="40" spans="2:18" x14ac:dyDescent="0.2">
      <c r="B40" s="164" t="s">
        <v>49</v>
      </c>
      <c r="C40" s="165"/>
      <c r="D40" s="166">
        <f t="shared" ref="D40" si="11">IFERROR(D39/D12,0)</f>
        <v>0</v>
      </c>
      <c r="E40" s="166">
        <v>0</v>
      </c>
      <c r="F40" s="166">
        <v>0</v>
      </c>
      <c r="G40" s="166">
        <v>0</v>
      </c>
      <c r="H40" s="166">
        <v>0</v>
      </c>
      <c r="I40" s="166">
        <v>0</v>
      </c>
      <c r="J40" s="166">
        <v>0</v>
      </c>
      <c r="K40" s="166">
        <v>0</v>
      </c>
      <c r="L40" s="166">
        <v>0</v>
      </c>
      <c r="M40" s="166">
        <v>0</v>
      </c>
      <c r="N40" s="166"/>
      <c r="O40" s="166"/>
      <c r="P40" s="76"/>
      <c r="Q40" s="162">
        <f>IFERROR(Q39/Q12,0)</f>
        <v>0</v>
      </c>
      <c r="R40" s="162">
        <f>IFERROR(R39/R12,0)</f>
        <v>0</v>
      </c>
    </row>
    <row r="41" spans="2:18" x14ac:dyDescent="0.2">
      <c r="B41" s="164" t="s">
        <v>50</v>
      </c>
      <c r="C41" s="165"/>
      <c r="D41" s="166">
        <f t="shared" ref="D41" si="12">IFERROR(D51/D39,0)</f>
        <v>0</v>
      </c>
      <c r="E41" s="166">
        <v>0</v>
      </c>
      <c r="F41" s="166">
        <v>0</v>
      </c>
      <c r="G41" s="166">
        <v>0</v>
      </c>
      <c r="H41" s="166">
        <v>0</v>
      </c>
      <c r="I41" s="166">
        <v>0</v>
      </c>
      <c r="J41" s="166">
        <v>0</v>
      </c>
      <c r="K41" s="166">
        <v>0</v>
      </c>
      <c r="L41" s="166">
        <v>0</v>
      </c>
      <c r="M41" s="166">
        <v>0</v>
      </c>
      <c r="N41" s="166"/>
      <c r="O41" s="166"/>
      <c r="P41" s="76"/>
      <c r="Q41" s="162">
        <f>IFERROR(Q52/Q39,0)</f>
        <v>0</v>
      </c>
      <c r="R41" s="162">
        <f>IFERROR(R52/R39,0)</f>
        <v>0</v>
      </c>
    </row>
    <row r="42" spans="2:18" x14ac:dyDescent="0.2">
      <c r="B42" s="36" t="s">
        <v>51</v>
      </c>
      <c r="C42" s="43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Q42" s="61"/>
      <c r="R42" s="61"/>
    </row>
    <row r="43" spans="2:18" x14ac:dyDescent="0.2">
      <c r="B43" s="99" t="s">
        <v>52</v>
      </c>
      <c r="C43" s="168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76"/>
      <c r="Q43" s="54">
        <f>SUM(D43:O43)</f>
        <v>0</v>
      </c>
      <c r="R43" s="54">
        <f>IFERROR(Q43/(COUNT(D43:O43)),0)</f>
        <v>0</v>
      </c>
    </row>
    <row r="44" spans="2:18" ht="14.5" hidden="1" customHeight="1" x14ac:dyDescent="0.2">
      <c r="B44" s="99" t="s">
        <v>53</v>
      </c>
      <c r="C44" s="168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76"/>
      <c r="Q44" s="54">
        <f>SUM(D44:O44)</f>
        <v>0</v>
      </c>
      <c r="R44" s="54">
        <f>IFERROR(Q44/(COUNT(D44:O44)),0)</f>
        <v>0</v>
      </c>
    </row>
    <row r="45" spans="2:18" x14ac:dyDescent="0.2">
      <c r="B45" s="99" t="s">
        <v>54</v>
      </c>
      <c r="C45" s="168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76"/>
      <c r="Q45" s="84">
        <f>IFERROR((SUM(D45:O45))/(COUNT(D45:O45)),0)</f>
        <v>0</v>
      </c>
      <c r="R45" s="84">
        <f>IFERROR((SUM(D45:O45))/(COUNT(D45:O45)),0)</f>
        <v>0</v>
      </c>
    </row>
    <row r="46" spans="2:18" x14ac:dyDescent="0.2">
      <c r="B46" s="99" t="s">
        <v>55</v>
      </c>
      <c r="C46" s="168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76"/>
      <c r="Q46" s="54">
        <f>SUM(D46:O46)</f>
        <v>0</v>
      </c>
      <c r="R46" s="54">
        <f>IFERROR(Q46/(COUNT(D46:O46)),0)</f>
        <v>0</v>
      </c>
    </row>
    <row r="47" spans="2:18" x14ac:dyDescent="0.2">
      <c r="B47" s="99" t="s">
        <v>56</v>
      </c>
      <c r="C47" s="168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76"/>
      <c r="Q47" s="54">
        <f>SUM(D47:O47)</f>
        <v>0</v>
      </c>
      <c r="R47" s="54">
        <f>IFERROR(Q47/(COUNT(D47:O47)),0)</f>
        <v>0</v>
      </c>
    </row>
    <row r="48" spans="2:18" x14ac:dyDescent="0.2">
      <c r="B48" s="99" t="s">
        <v>57</v>
      </c>
      <c r="C48" s="168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76"/>
      <c r="Q48" s="169">
        <f>IFERROR(Q47/Q43,0)</f>
        <v>0</v>
      </c>
      <c r="R48" s="169">
        <f>IFERROR(R47/R43,0)</f>
        <v>0</v>
      </c>
    </row>
    <row r="49" spans="2:19" x14ac:dyDescent="0.2">
      <c r="B49" s="99" t="s">
        <v>58</v>
      </c>
      <c r="C49" s="168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76"/>
      <c r="Q49" s="169">
        <f>IFERROR(Q46/Q44,0)</f>
        <v>0</v>
      </c>
      <c r="R49" s="169">
        <f>IFERROR(R46/R44,0)</f>
        <v>0</v>
      </c>
    </row>
    <row r="50" spans="2:19" x14ac:dyDescent="0.2">
      <c r="B50" s="36" t="s">
        <v>59</v>
      </c>
      <c r="C50" s="43"/>
      <c r="Q50" s="61"/>
      <c r="R50" s="61"/>
    </row>
    <row r="51" spans="2:19" x14ac:dyDescent="0.2">
      <c r="B51" s="99" t="s">
        <v>60</v>
      </c>
      <c r="C51" s="168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76"/>
      <c r="Q51" s="54">
        <f>SUM(D51:O51)</f>
        <v>0</v>
      </c>
      <c r="R51" s="54">
        <f>IFERROR(Q51/(COUNT(D51:O51)),0)</f>
        <v>0</v>
      </c>
    </row>
    <row r="52" spans="2:19" ht="14.5" hidden="1" customHeight="1" x14ac:dyDescent="0.2">
      <c r="B52" s="99" t="s">
        <v>61</v>
      </c>
      <c r="C52" s="168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76"/>
      <c r="Q52" s="54">
        <f>SUM(D52:O52)</f>
        <v>0</v>
      </c>
      <c r="R52" s="54">
        <f>IFERROR(Q52/(COUNT(D52:O52)),0)</f>
        <v>0</v>
      </c>
      <c r="S52" s="160"/>
    </row>
    <row r="53" spans="2:19" x14ac:dyDescent="0.2">
      <c r="B53" s="99" t="s">
        <v>62</v>
      </c>
      <c r="C53" s="168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76"/>
      <c r="Q53" s="84">
        <f>IFERROR((SUM(D53:O53))/(COUNT(D53:O53)),0)</f>
        <v>0</v>
      </c>
      <c r="R53" s="84">
        <f>IFERROR((SUM(D53:O53))/(COUNT(D53:O53)),0)</f>
        <v>0</v>
      </c>
      <c r="S53" s="160"/>
    </row>
    <row r="54" spans="2:19" x14ac:dyDescent="0.2">
      <c r="B54" s="99" t="s">
        <v>63</v>
      </c>
      <c r="C54" s="168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76"/>
      <c r="Q54" s="54">
        <f>SUM(D54:O54)</f>
        <v>0</v>
      </c>
      <c r="R54" s="54">
        <f>IFERROR(Q54/(COUNT(D54:O54)),0)</f>
        <v>0</v>
      </c>
    </row>
    <row r="55" spans="2:19" x14ac:dyDescent="0.2">
      <c r="B55" s="99" t="s">
        <v>64</v>
      </c>
      <c r="C55" s="168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76"/>
      <c r="Q55" s="54">
        <f>SUM(D55:O55)</f>
        <v>0</v>
      </c>
      <c r="R55" s="54">
        <f>IFERROR(Q55/(COUNT(D55:O55)),0)</f>
        <v>0</v>
      </c>
    </row>
    <row r="56" spans="2:19" x14ac:dyDescent="0.2">
      <c r="B56" s="99" t="s">
        <v>65</v>
      </c>
      <c r="C56" s="168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76"/>
      <c r="Q56" s="169">
        <f>IFERROR(Q55/Q51,0)</f>
        <v>0</v>
      </c>
      <c r="R56" s="169">
        <f>IFERROR(R55/R51,0)</f>
        <v>0</v>
      </c>
    </row>
    <row r="57" spans="2:19" x14ac:dyDescent="0.2">
      <c r="B57" s="99" t="s">
        <v>66</v>
      </c>
      <c r="C57" s="168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76"/>
      <c r="Q57" s="169">
        <f>IFERROR(Q54/Q52,0)</f>
        <v>0</v>
      </c>
      <c r="R57" s="169">
        <f>IFERROR(R54/R52,0)</f>
        <v>0</v>
      </c>
    </row>
    <row r="58" spans="2:19" x14ac:dyDescent="0.2">
      <c r="B58" s="36" t="s">
        <v>67</v>
      </c>
      <c r="C58" s="98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89"/>
      <c r="Q58" s="171"/>
      <c r="R58" s="172"/>
    </row>
    <row r="59" spans="2:19" x14ac:dyDescent="0.2">
      <c r="B59" s="99" t="s">
        <v>68</v>
      </c>
      <c r="C59" s="168"/>
      <c r="D59" s="92">
        <v>6</v>
      </c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76"/>
      <c r="Q59" s="54">
        <f>SUM(D59:O59)</f>
        <v>6</v>
      </c>
      <c r="R59" s="54">
        <f>IFERROR(Q59/(COUNT(D59:O59)),0)</f>
        <v>6</v>
      </c>
    </row>
    <row r="60" spans="2:19" x14ac:dyDescent="0.2">
      <c r="B60" s="99" t="s">
        <v>69</v>
      </c>
      <c r="C60" s="168"/>
      <c r="D60" s="52">
        <f t="shared" ref="D60" si="13">D16/D59</f>
        <v>64.5</v>
      </c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76"/>
      <c r="Q60" s="54">
        <f>IFERROR((SUM(D60:O60))/(COUNT(D60:O60)),0)</f>
        <v>64.5</v>
      </c>
      <c r="R60" s="54">
        <f>IFERROR((SUM(D60:O60))/(COUNT(D60:O60)),0)</f>
        <v>64.5</v>
      </c>
    </row>
    <row r="61" spans="2:19" x14ac:dyDescent="0.2">
      <c r="B61" s="99" t="s">
        <v>70</v>
      </c>
      <c r="C61" s="168"/>
      <c r="D61" s="52">
        <f t="shared" ref="D61" si="14">D17/D59</f>
        <v>44.5</v>
      </c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76"/>
      <c r="Q61" s="54">
        <f>IFERROR((SUM(D61:O61))/(COUNT(D61:O61)),0)</f>
        <v>44.5</v>
      </c>
      <c r="R61" s="54">
        <f>IFERROR((SUM(D61:O61))/(COUNT(D61:O61)),0)</f>
        <v>44.5</v>
      </c>
    </row>
    <row r="62" spans="2:19" x14ac:dyDescent="0.2">
      <c r="B62" s="99" t="s">
        <v>71</v>
      </c>
      <c r="C62" s="168"/>
      <c r="D62" s="52">
        <f t="shared" ref="D62" si="15">(D44+D52)/D59</f>
        <v>0</v>
      </c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76"/>
      <c r="Q62" s="54">
        <f>IFERROR((SUM(D62:O62))/(COUNT(D62:O62)),0)</f>
        <v>0</v>
      </c>
      <c r="R62" s="54">
        <f>IFERROR((SUM(D62:O62))/(COUNT(D62:O62)),0)</f>
        <v>0</v>
      </c>
    </row>
    <row r="63" spans="2:19" x14ac:dyDescent="0.2">
      <c r="B63" s="36" t="s">
        <v>72</v>
      </c>
      <c r="C63" s="173"/>
      <c r="Q63" s="61"/>
      <c r="R63" s="61"/>
    </row>
    <row r="64" spans="2:19" x14ac:dyDescent="0.2">
      <c r="B64" s="99" t="s">
        <v>73</v>
      </c>
      <c r="C64" s="165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53"/>
      <c r="Q64" s="54">
        <f>SUM(D64:O64)</f>
        <v>0</v>
      </c>
      <c r="R64" s="54">
        <f>IFERROR(Q64/(COUNT(D64:O64)),0)</f>
        <v>0</v>
      </c>
    </row>
    <row r="65" spans="2:18" x14ac:dyDescent="0.2">
      <c r="B65" s="99" t="s">
        <v>74</v>
      </c>
      <c r="C65" s="165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53"/>
      <c r="Q65" s="54">
        <f>SUM(D65:O65)</f>
        <v>0</v>
      </c>
      <c r="R65" s="54">
        <f>IFERROR(Q65/(COUNT(D65:O65)),0)</f>
        <v>0</v>
      </c>
    </row>
    <row r="66" spans="2:18" ht="14.25" customHeight="1" x14ac:dyDescent="0.2">
      <c r="B66" s="99" t="s">
        <v>75</v>
      </c>
      <c r="C66" s="165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53"/>
      <c r="Q66" s="84">
        <f>IFERROR((SUM(D66:O66))/(COUNT(D66:O66)),0)</f>
        <v>0</v>
      </c>
      <c r="R66" s="84">
        <f>IFERROR((SUM(D66:O66))/(COUNT(D66:O66)),0)</f>
        <v>0</v>
      </c>
    </row>
    <row r="67" spans="2:18" ht="14.25" customHeight="1" x14ac:dyDescent="0.2">
      <c r="B67" s="99" t="s">
        <v>76</v>
      </c>
      <c r="C67" s="165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53"/>
      <c r="Q67" s="54">
        <f>SUM(D67:O67)</f>
        <v>0</v>
      </c>
      <c r="R67" s="54">
        <f>IFERROR(Q67/(COUNT(D67:O67)),0)</f>
        <v>0</v>
      </c>
    </row>
    <row r="68" spans="2:18" ht="14.25" customHeight="1" x14ac:dyDescent="0.2">
      <c r="B68" s="99" t="s">
        <v>77</v>
      </c>
      <c r="C68" s="165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53"/>
      <c r="Q68" s="54">
        <f>SUM(D68:O68)</f>
        <v>0</v>
      </c>
      <c r="R68" s="54">
        <f>IFERROR(Q68/(COUNT(D68:O68)),0)</f>
        <v>0</v>
      </c>
    </row>
    <row r="69" spans="2:18" x14ac:dyDescent="0.2">
      <c r="B69" s="99" t="s">
        <v>78</v>
      </c>
      <c r="C69" s="165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53"/>
      <c r="Q69" s="169">
        <f>IFERROR(Q68/Q64,0)</f>
        <v>0</v>
      </c>
      <c r="R69" s="169">
        <f>IFERROR(R68/R64,0)</f>
        <v>0</v>
      </c>
    </row>
    <row r="70" spans="2:18" x14ac:dyDescent="0.2">
      <c r="B70" s="99" t="s">
        <v>79</v>
      </c>
      <c r="C70" s="165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53"/>
      <c r="Q70" s="169">
        <f>IFERROR(Q67/Q65,0)</f>
        <v>0</v>
      </c>
      <c r="R70" s="169">
        <f>IFERROR(R67/R65,0)</f>
        <v>0</v>
      </c>
    </row>
    <row r="71" spans="2:18" x14ac:dyDescent="0.2">
      <c r="B71" s="36" t="s">
        <v>80</v>
      </c>
      <c r="C71" s="98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89"/>
      <c r="Q71" s="171"/>
      <c r="R71" s="172"/>
    </row>
    <row r="72" spans="2:18" x14ac:dyDescent="0.2">
      <c r="B72" s="99" t="s">
        <v>81</v>
      </c>
      <c r="C72" s="168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76"/>
      <c r="Q72" s="54">
        <f>SUM(D72:O72)</f>
        <v>0</v>
      </c>
      <c r="R72" s="54">
        <f>IFERROR(Q72/(COUNT(D72:O72)),0)</f>
        <v>0</v>
      </c>
    </row>
    <row r="73" spans="2:18" x14ac:dyDescent="0.2">
      <c r="B73" s="99" t="s">
        <v>82</v>
      </c>
      <c r="C73" s="168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76"/>
      <c r="Q73" s="54">
        <f>IFERROR((SUM(D73:O73))/(COUNT(D73:O73)),0)</f>
        <v>0</v>
      </c>
      <c r="R73" s="54">
        <f>IFERROR((SUM(D73:O73))/(COUNT(D73:O73)),0)</f>
        <v>0</v>
      </c>
    </row>
    <row r="74" spans="2:18" x14ac:dyDescent="0.2">
      <c r="B74" s="36" t="s">
        <v>83</v>
      </c>
      <c r="C74" s="98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</row>
    <row r="75" spans="2:18" x14ac:dyDescent="0.2">
      <c r="B75" s="99" t="s">
        <v>84</v>
      </c>
      <c r="C75" s="168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176"/>
      <c r="Q75" s="54"/>
      <c r="R75" s="54"/>
    </row>
    <row r="76" spans="2:18" x14ac:dyDescent="0.2">
      <c r="B76" s="99" t="s">
        <v>85</v>
      </c>
      <c r="C76" s="168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176"/>
      <c r="Q76" s="54"/>
      <c r="R76" s="54"/>
    </row>
    <row r="77" spans="2:18" x14ac:dyDescent="0.2">
      <c r="B77" s="99" t="s">
        <v>86</v>
      </c>
      <c r="C77" s="168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176"/>
      <c r="Q77" s="54"/>
      <c r="R77" s="54"/>
    </row>
    <row r="78" spans="2:18" x14ac:dyDescent="0.2">
      <c r="B78" s="36" t="s">
        <v>87</v>
      </c>
      <c r="C78" s="173"/>
      <c r="P78" s="170"/>
      <c r="Q78" s="61"/>
      <c r="R78" s="61"/>
    </row>
    <row r="79" spans="2:18" x14ac:dyDescent="0.2">
      <c r="B79" s="51" t="s">
        <v>88</v>
      </c>
      <c r="C79" s="70"/>
      <c r="D79" s="161">
        <f t="shared" ref="D79" si="16">IFERROR(D16/D$12,0)</f>
        <v>0</v>
      </c>
      <c r="E79" s="161">
        <v>0</v>
      </c>
      <c r="F79" s="161">
        <v>0</v>
      </c>
      <c r="G79" s="161">
        <v>0</v>
      </c>
      <c r="H79" s="161">
        <v>0</v>
      </c>
      <c r="I79" s="161">
        <v>0</v>
      </c>
      <c r="J79" s="161">
        <v>0</v>
      </c>
      <c r="K79" s="161">
        <v>0</v>
      </c>
      <c r="L79" s="161">
        <v>0</v>
      </c>
      <c r="M79" s="161">
        <v>0</v>
      </c>
      <c r="N79" s="161"/>
      <c r="O79" s="161"/>
      <c r="P79" s="102"/>
      <c r="Q79" s="169">
        <f>IFERROR(Q16/Q$12,0)</f>
        <v>0</v>
      </c>
      <c r="R79" s="61"/>
    </row>
    <row r="80" spans="2:18" x14ac:dyDescent="0.2">
      <c r="B80" s="51" t="s">
        <v>89</v>
      </c>
      <c r="C80" s="70"/>
      <c r="D80" s="161">
        <f t="shared" ref="D80" si="17">IFERROR(D19/D$12,0)</f>
        <v>0</v>
      </c>
      <c r="E80" s="161">
        <v>0</v>
      </c>
      <c r="F80" s="161">
        <v>0</v>
      </c>
      <c r="G80" s="161">
        <v>0</v>
      </c>
      <c r="H80" s="161">
        <v>0</v>
      </c>
      <c r="I80" s="161">
        <v>0</v>
      </c>
      <c r="J80" s="161">
        <v>0</v>
      </c>
      <c r="K80" s="161">
        <v>0</v>
      </c>
      <c r="L80" s="161">
        <v>0</v>
      </c>
      <c r="M80" s="161">
        <v>0</v>
      </c>
      <c r="N80" s="161"/>
      <c r="O80" s="161"/>
      <c r="P80" s="102"/>
      <c r="Q80" s="169">
        <f>IFERROR(Q19/Q$12,0)</f>
        <v>0</v>
      </c>
      <c r="R80" s="61"/>
    </row>
    <row r="81" spans="2:18" x14ac:dyDescent="0.2">
      <c r="B81" s="51" t="s">
        <v>90</v>
      </c>
      <c r="C81" s="70"/>
      <c r="D81" s="161">
        <f t="shared" ref="D81" si="18">IFERROR(D37/D13,0)</f>
        <v>0</v>
      </c>
      <c r="E81" s="161">
        <v>0</v>
      </c>
      <c r="F81" s="161">
        <v>0</v>
      </c>
      <c r="G81" s="161">
        <v>0</v>
      </c>
      <c r="H81" s="161">
        <v>0</v>
      </c>
      <c r="I81" s="161">
        <v>0</v>
      </c>
      <c r="J81" s="161">
        <v>0</v>
      </c>
      <c r="K81" s="161">
        <v>0</v>
      </c>
      <c r="L81" s="161">
        <v>0</v>
      </c>
      <c r="M81" s="161">
        <v>0</v>
      </c>
      <c r="N81" s="161"/>
      <c r="O81" s="161"/>
      <c r="P81" s="102"/>
      <c r="Q81" s="169">
        <f>IFERROR(Q37/Q13,0)</f>
        <v>0</v>
      </c>
      <c r="R81" s="61"/>
    </row>
    <row r="82" spans="2:18" x14ac:dyDescent="0.2">
      <c r="B82" s="51" t="s">
        <v>91</v>
      </c>
      <c r="C82" s="70"/>
      <c r="D82" s="161">
        <f t="shared" ref="D82" si="19">IFERROR(D25/(D25+D26),0)</f>
        <v>0</v>
      </c>
      <c r="E82" s="161">
        <v>0</v>
      </c>
      <c r="F82" s="161">
        <v>0</v>
      </c>
      <c r="G82" s="161">
        <v>0</v>
      </c>
      <c r="H82" s="161">
        <v>3.7313432835820895E-3</v>
      </c>
      <c r="I82" s="161">
        <v>1.0548523206751054E-2</v>
      </c>
      <c r="J82" s="161">
        <v>1.8749999999999999E-2</v>
      </c>
      <c r="K82" s="161">
        <v>3.7453183520599251E-3</v>
      </c>
      <c r="L82" s="161">
        <v>4.878048780487805E-2</v>
      </c>
      <c r="M82" s="161">
        <v>0</v>
      </c>
      <c r="N82" s="161"/>
      <c r="O82" s="161"/>
      <c r="P82" s="102"/>
      <c r="Q82" s="169">
        <f>IFERROR(Q25/(Q25+Q26),0)</f>
        <v>9.1603053435114507E-3</v>
      </c>
      <c r="R82" s="61"/>
    </row>
    <row r="83" spans="2:18" x14ac:dyDescent="0.2">
      <c r="B83" s="51" t="s">
        <v>92</v>
      </c>
      <c r="C83" s="70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02"/>
      <c r="Q83" s="169"/>
      <c r="R83" s="61"/>
    </row>
    <row r="84" spans="2:18" x14ac:dyDescent="0.2">
      <c r="B84" s="51" t="s">
        <v>93</v>
      </c>
      <c r="C84" s="70"/>
      <c r="D84" s="59">
        <f t="shared" ref="D84" si="20">(D37-D36)/D19</f>
        <v>100.45695373660418</v>
      </c>
      <c r="E84" s="59">
        <v>124.22986746923442</v>
      </c>
      <c r="F84" s="59">
        <v>79.934136984861624</v>
      </c>
      <c r="G84" s="59">
        <v>79.723824786324784</v>
      </c>
      <c r="H84" s="59">
        <v>81.936659578567799</v>
      </c>
      <c r="I84" s="59">
        <v>96.92763991355541</v>
      </c>
      <c r="J84" s="59">
        <v>98.676860017482952</v>
      </c>
      <c r="K84" s="59">
        <v>90.581129091255676</v>
      </c>
      <c r="L84" s="59">
        <v>91.0765332430679</v>
      </c>
      <c r="M84" s="59">
        <v>89.910462827162362</v>
      </c>
      <c r="N84" s="59"/>
      <c r="O84" s="59"/>
      <c r="P84" s="102"/>
      <c r="Q84" s="60">
        <f>(Q37-Q36)/Q19</f>
        <v>91.801090554146299</v>
      </c>
      <c r="R84" s="61"/>
    </row>
    <row r="85" spans="2:18" s="42" customFormat="1" x14ac:dyDescent="0.2">
      <c r="O85" s="178"/>
      <c r="R85" s="43"/>
    </row>
    <row r="86" spans="2:18" s="42" customFormat="1" x14ac:dyDescent="0.2">
      <c r="L86" s="179"/>
      <c r="R86" s="43"/>
    </row>
    <row r="87" spans="2:18" s="42" customFormat="1" x14ac:dyDescent="0.2">
      <c r="R87" s="43"/>
    </row>
    <row r="88" spans="2:18" s="42" customFormat="1" x14ac:dyDescent="0.2">
      <c r="R88" s="43"/>
    </row>
    <row r="89" spans="2:18" s="42" customFormat="1" x14ac:dyDescent="0.2">
      <c r="R89" s="43"/>
    </row>
    <row r="90" spans="2:18" s="42" customFormat="1" x14ac:dyDescent="0.2">
      <c r="R90" s="43"/>
    </row>
    <row r="91" spans="2:18" s="42" customFormat="1" x14ac:dyDescent="0.2">
      <c r="R91" s="43"/>
    </row>
    <row r="92" spans="2:18" s="42" customFormat="1" x14ac:dyDescent="0.2">
      <c r="R92" s="43"/>
    </row>
    <row r="93" spans="2:18" s="42" customFormat="1" x14ac:dyDescent="0.2">
      <c r="R93" s="43"/>
    </row>
    <row r="94" spans="2:18" s="42" customFormat="1" x14ac:dyDescent="0.2">
      <c r="R94" s="43"/>
    </row>
    <row r="95" spans="2:18" s="42" customFormat="1" x14ac:dyDescent="0.2">
      <c r="R95" s="43"/>
    </row>
    <row r="96" spans="2:18" s="42" customFormat="1" x14ac:dyDescent="0.2">
      <c r="R96" s="43"/>
    </row>
    <row r="97" spans="12:18" s="42" customFormat="1" x14ac:dyDescent="0.2">
      <c r="R97" s="43"/>
    </row>
    <row r="98" spans="12:18" s="42" customFormat="1" x14ac:dyDescent="0.2">
      <c r="R98" s="43"/>
    </row>
    <row r="99" spans="12:18" s="42" customFormat="1" x14ac:dyDescent="0.2">
      <c r="R99" s="43"/>
    </row>
    <row r="100" spans="12:18" s="42" customFormat="1" x14ac:dyDescent="0.2">
      <c r="R100" s="43"/>
    </row>
    <row r="101" spans="12:18" s="42" customFormat="1" x14ac:dyDescent="0.2">
      <c r="R101" s="43"/>
    </row>
    <row r="102" spans="12:18" s="42" customFormat="1" x14ac:dyDescent="0.2">
      <c r="R102" s="43"/>
    </row>
    <row r="103" spans="12:18" s="42" customFormat="1" x14ac:dyDescent="0.2">
      <c r="L103" s="179"/>
      <c r="R103" s="43"/>
    </row>
    <row r="104" spans="12:18" s="42" customFormat="1" x14ac:dyDescent="0.2">
      <c r="R104" s="43"/>
    </row>
    <row r="105" spans="12:18" s="42" customFormat="1" x14ac:dyDescent="0.2">
      <c r="R105" s="43"/>
    </row>
    <row r="106" spans="12:18" s="42" customFormat="1" x14ac:dyDescent="0.2">
      <c r="R106" s="43"/>
    </row>
    <row r="107" spans="12:18" s="42" customFormat="1" x14ac:dyDescent="0.2">
      <c r="R107" s="43"/>
    </row>
    <row r="108" spans="12:18" s="42" customFormat="1" x14ac:dyDescent="0.2">
      <c r="R108" s="43"/>
    </row>
    <row r="109" spans="12:18" s="42" customFormat="1" x14ac:dyDescent="0.2">
      <c r="R109" s="43"/>
    </row>
    <row r="110" spans="12:18" s="42" customFormat="1" x14ac:dyDescent="0.2">
      <c r="R110" s="43"/>
    </row>
    <row r="111" spans="12:18" s="42" customFormat="1" x14ac:dyDescent="0.2">
      <c r="R111" s="43"/>
    </row>
    <row r="112" spans="12:18" s="42" customFormat="1" x14ac:dyDescent="0.2">
      <c r="R112" s="43"/>
    </row>
    <row r="113" spans="18:18" s="42" customFormat="1" x14ac:dyDescent="0.2">
      <c r="R113" s="43"/>
    </row>
  </sheetData>
  <mergeCells count="2">
    <mergeCell ref="B3:T3"/>
    <mergeCell ref="D5:O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Calculadora</vt:lpstr>
      <vt:lpstr>Servicios Cabina Addiuva 2025</vt:lpstr>
      <vt:lpstr>Servicios Cabina AON 2025</vt:lpstr>
      <vt:lpstr>Servicios Cabina AON</vt:lpstr>
      <vt:lpstr>Indicadores Addiuva</vt:lpstr>
      <vt:lpstr>Indicadores AON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Lopez</dc:creator>
  <cp:lastModifiedBy>Laura Vinazco Posada</cp:lastModifiedBy>
  <dcterms:created xsi:type="dcterms:W3CDTF">2024-02-14T20:25:27Z</dcterms:created>
  <dcterms:modified xsi:type="dcterms:W3CDTF">2025-11-13T18:52:37Z</dcterms:modified>
</cp:coreProperties>
</file>